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mc:AlternateContent xmlns:mc="http://schemas.openxmlformats.org/markup-compatibility/2006">
    <mc:Choice Requires="x15">
      <x15ac:absPath xmlns:x15ac="http://schemas.microsoft.com/office/spreadsheetml/2010/11/ac" url="D:\Hang\Thau 04\2020\Final PD\MDDS\Tài liệu liên quan P.TTTT\"/>
    </mc:Choice>
  </mc:AlternateContent>
  <bookViews>
    <workbookView xWindow="0" yWindow="0" windowWidth="20490" windowHeight="7755" tabRatio="770" firstSheet="14" activeTab="19"/>
  </bookViews>
  <sheets>
    <sheet name="Title" sheetId="5" r:id="rId1"/>
    <sheet name="History" sheetId="24" r:id="rId2"/>
    <sheet name="Guildline" sheetId="11" r:id="rId3"/>
    <sheet name="Interface List" sheetId="26" r:id="rId4"/>
    <sheet name="Tag(Glossary)" sheetId="21" r:id="rId5"/>
    <sheet name="Header" sheetId="22" r:id="rId6"/>
    <sheet name="Trailer" sheetId="23" r:id="rId7"/>
    <sheet name="Security Definition" sheetId="25" r:id="rId8"/>
    <sheet name="Security Status" sheetId="27" r:id="rId9"/>
    <sheet name="Security Info Notification" sheetId="29" r:id="rId10"/>
    <sheet name="Symbol Closing Info" sheetId="30" r:id="rId11"/>
    <sheet name="Volatility Interruption" sheetId="31" r:id="rId12"/>
    <sheet name="Market Maker Information" sheetId="32" r:id="rId13"/>
    <sheet name="Symbol Event" sheetId="33" r:id="rId14"/>
    <sheet name="Index Constituents Information" sheetId="36" r:id="rId15"/>
    <sheet name="Random End" sheetId="64" r:id="rId16"/>
    <sheet name="Price" sheetId="63" r:id="rId17"/>
    <sheet name="PriceRecovery" sheetId="39" r:id="rId18"/>
    <sheet name="PriceRecovery(Bond)" sheetId="40" r:id="rId19"/>
    <sheet name="(Block Trade) PriceRecovery" sheetId="71" r:id="rId20"/>
    <sheet name="(Block Trade) PriceRecovery(B) " sheetId="72" r:id="rId21"/>
    <sheet name="Index" sheetId="41" r:id="rId22"/>
    <sheet name="Investor by Industry" sheetId="42" r:id="rId23"/>
    <sheet name="Investor by Industry(Bond)" sheetId="43" r:id="rId24"/>
    <sheet name="Investor by Industry(Drv)" sheetId="44" r:id="rId25"/>
    <sheet name="Investor per Symbol" sheetId="45" r:id="rId26"/>
    <sheet name="Top N Members per Symbol" sheetId="46" r:id="rId27"/>
    <sheet name="Open Interest" sheetId="68" r:id="rId28"/>
    <sheet name="Deem Trade Price" sheetId="49" r:id="rId29"/>
    <sheet name="Foreigner Order Limit" sheetId="50" r:id="rId30"/>
    <sheet name="Price Limit Expansion" sheetId="51" r:id="rId31"/>
    <sheet name="ETF iNav" sheetId="52" r:id="rId32"/>
    <sheet name="ETF iIndex" sheetId="53" r:id="rId33"/>
    <sheet name="ETF TrackingError" sheetId="54" r:id="rId34"/>
    <sheet name="Top N Symbols with Quantity" sheetId="55" r:id="rId35"/>
    <sheet name="Top N Symbols with Price" sheetId="56" r:id="rId36"/>
    <sheet name="Top N Symbols with High Ratio" sheetId="57" r:id="rId37"/>
    <sheet name="Top N Symbols with Low Ratio" sheetId="58" r:id="rId38"/>
    <sheet name="Trading Result of Foreigners" sheetId="59" r:id="rId39"/>
    <sheet name="Disclosure" sheetId="60" r:id="rId40"/>
    <sheet name="Time Stamp (Polling)" sheetId="61" r:id="rId41"/>
  </sheets>
  <definedNames>
    <definedName name="_xlnm._FilterDatabase" localSheetId="19" hidden="1">'(Block Trade) PriceRecovery'!$B$4:$I$4</definedName>
    <definedName name="_xlnm._FilterDatabase" localSheetId="20" hidden="1">'(Block Trade) PriceRecovery(B) '!$B$4:$I$4</definedName>
    <definedName name="_xlnm._FilterDatabase" localSheetId="28" hidden="1">'Deem Trade Price'!$B$4:$I$4</definedName>
    <definedName name="_xlnm._FilterDatabase" localSheetId="39" hidden="1">Disclosure!$B$4:$I$4</definedName>
    <definedName name="_xlnm._FilterDatabase" localSheetId="32" hidden="1">'ETF iIndex'!$B$4:$I$4</definedName>
    <definedName name="_xlnm._FilterDatabase" localSheetId="31" hidden="1">'ETF iNav'!$B$4:$I$4</definedName>
    <definedName name="_xlnm._FilterDatabase" localSheetId="33" hidden="1">'ETF TrackingError'!$B$4:$I$4</definedName>
    <definedName name="_xlnm._FilterDatabase" localSheetId="29" hidden="1">'Foreigner Order Limit'!$B$4:$I$4</definedName>
    <definedName name="_xlnm._FilterDatabase" localSheetId="5" hidden="1">Header!$B$4:$G$4</definedName>
    <definedName name="_xlnm._FilterDatabase" localSheetId="21" hidden="1">Index!$B$4:$I$4</definedName>
    <definedName name="_xlnm._FilterDatabase" localSheetId="14" hidden="1">'Index Constituents Information'!$B$4:$I$4</definedName>
    <definedName name="_xlnm._FilterDatabase" localSheetId="3" hidden="1">'Interface List'!$B$4:$AK$6</definedName>
    <definedName name="_xlnm._FilterDatabase" localSheetId="22" hidden="1">'Investor by Industry'!$B$4:$I$4</definedName>
    <definedName name="_xlnm._FilterDatabase" localSheetId="23" hidden="1">'Investor by Industry(Bond)'!$B$4:$I$4</definedName>
    <definedName name="_xlnm._FilterDatabase" localSheetId="24" hidden="1">'Investor by Industry(Drv)'!$B$4:$I$4</definedName>
    <definedName name="_xlnm._FilterDatabase" localSheetId="25" hidden="1">'Investor per Symbol'!$B$4:$I$4</definedName>
    <definedName name="_xlnm._FilterDatabase" localSheetId="12" hidden="1">'Market Maker Information'!$B$4:$I$4</definedName>
    <definedName name="_xlnm._FilterDatabase" localSheetId="27" hidden="1">'Open Interest'!$B$4:$I$4</definedName>
    <definedName name="_xlnm._FilterDatabase" localSheetId="30" hidden="1">'Price Limit Expansion'!$B$4:$I$4</definedName>
    <definedName name="_xlnm._FilterDatabase" localSheetId="17" hidden="1">PriceRecovery!$B$4:$I$4</definedName>
    <definedName name="_xlnm._FilterDatabase" localSheetId="18" hidden="1">'PriceRecovery(Bond)'!$B$4:$I$4</definedName>
    <definedName name="_xlnm._FilterDatabase" localSheetId="15" hidden="1">'Random End'!$B$4:$I$4</definedName>
    <definedName name="_xlnm._FilterDatabase" localSheetId="7" hidden="1">'Security Definition'!$B$4:$I$4</definedName>
    <definedName name="_xlnm._FilterDatabase" localSheetId="9" hidden="1">'Security Info Notification'!$B$4:$I$4</definedName>
    <definedName name="_xlnm._FilterDatabase" localSheetId="8" hidden="1">'Security Status'!$B$4:$I$4</definedName>
    <definedName name="_xlnm._FilterDatabase" localSheetId="10" hidden="1">'Symbol Closing Info'!$B$4:$I$4</definedName>
    <definedName name="_xlnm._FilterDatabase" localSheetId="13" hidden="1">'Symbol Event'!$B$4:$I$4</definedName>
    <definedName name="_xlnm._FilterDatabase" localSheetId="4" hidden="1">'Tag(Glossary)'!$B$4:$G$4</definedName>
    <definedName name="_xlnm._FilterDatabase" localSheetId="40" hidden="1">'Time Stamp (Polling)'!$B$4:$I$4</definedName>
    <definedName name="_xlnm._FilterDatabase" localSheetId="26" hidden="1">'Top N Members per Symbol'!$B$4:$I$4</definedName>
    <definedName name="_xlnm._FilterDatabase" localSheetId="36" hidden="1">'Top N Symbols with High Ratio'!$B$4:$I$4</definedName>
    <definedName name="_xlnm._FilterDatabase" localSheetId="37" hidden="1">'Top N Symbols with Low Ratio'!$B$4:$I$4</definedName>
    <definedName name="_xlnm._FilterDatabase" localSheetId="35" hidden="1">'Top N Symbols with Price'!$B$4:$I$4</definedName>
    <definedName name="_xlnm._FilterDatabase" localSheetId="34" hidden="1">'Top N Symbols with Quantity'!$B$4:$I$4</definedName>
    <definedName name="_xlnm._FilterDatabase" localSheetId="38" hidden="1">'Trading Result of Foreigners'!$B$4:$I$4</definedName>
    <definedName name="_xlnm._FilterDatabase" localSheetId="6" hidden="1">Trailer!$B$4:$G$4</definedName>
    <definedName name="_xlnm._FilterDatabase" localSheetId="11" hidden="1">'Volatility Interruption'!$B$4:$I$4</definedName>
    <definedName name="_xlnm.Print_Area" localSheetId="19">'(Block Trade) PriceRecovery'!$B$1:$I$17</definedName>
    <definedName name="_xlnm.Print_Area" localSheetId="20">'(Block Trade) PriceRecovery(B) '!$B$1:$I$21</definedName>
    <definedName name="_xlnm.Print_Area" localSheetId="28">'Deem Trade Price'!$B$1:$I$13</definedName>
    <definedName name="_xlnm.Print_Area" localSheetId="39">Disclosure!$B$1:$I$21</definedName>
    <definedName name="_xlnm.Print_Area" localSheetId="32">'ETF iIndex'!$B$1:$I$11</definedName>
    <definedName name="_xlnm.Print_Area" localSheetId="31">'ETF iNav'!$B$1:$I$11</definedName>
    <definedName name="_xlnm.Print_Area" localSheetId="33">'ETF TrackingError'!$B$1:$I$12</definedName>
    <definedName name="_xlnm.Print_Area" localSheetId="29">'Foreigner Order Limit'!$B$1:$I$11</definedName>
    <definedName name="_xlnm.Print_Area" localSheetId="2">Guildline!$B$1:$E$25</definedName>
    <definedName name="_xlnm.Print_Area" localSheetId="5">Header!$B$1:$G$42</definedName>
    <definedName name="_xlnm.Print_Area" localSheetId="1">History!$A$1:$E$46</definedName>
    <definedName name="_xlnm.Print_Area" localSheetId="21">Index!$B$1:$I$28</definedName>
    <definedName name="_xlnm.Print_Area" localSheetId="14">'Index Constituents Information'!$B$1:$I$16</definedName>
    <definedName name="_xlnm.Print_Area" localSheetId="3">'Interface List'!$B$1:$AK$44</definedName>
    <definedName name="_xlnm.Print_Area" localSheetId="22">'Investor by Industry'!$B$1:$I$17</definedName>
    <definedName name="_xlnm.Print_Area" localSheetId="23">'Investor by Industry(Bond)'!$B$1:$I$15</definedName>
    <definedName name="_xlnm.Print_Area" localSheetId="24">'Investor by Industry(Drv)'!$B$1:$I$15</definedName>
    <definedName name="_xlnm.Print_Area" localSheetId="25">'Investor per Symbol'!$B$1:$I$14</definedName>
    <definedName name="_xlnm.Print_Area" localSheetId="12">'Market Maker Information'!$B$1:$I$10</definedName>
    <definedName name="_xlnm.Print_Area" localSheetId="27">'Open Interest'!$B$1:$I$12</definedName>
    <definedName name="_xlnm.Print_Area" localSheetId="16">Price!$B$1:$I$30</definedName>
    <definedName name="_xlnm.Print_Area" localSheetId="30">'Price Limit Expansion'!$B$1:$I$15</definedName>
    <definedName name="_xlnm.Print_Area" localSheetId="17">PriceRecovery!$B$1:$I$31</definedName>
    <definedName name="_xlnm.Print_Area" localSheetId="18">'PriceRecovery(Bond)'!$B$1:$I$36</definedName>
    <definedName name="_xlnm.Print_Area" localSheetId="15">'Random End'!$B$1:$I$20</definedName>
    <definedName name="_xlnm.Print_Area" localSheetId="7">'Security Definition'!$B$1:$I$54</definedName>
    <definedName name="_xlnm.Print_Area" localSheetId="9">'Security Info Notification'!$B$1:$I$18</definedName>
    <definedName name="_xlnm.Print_Area" localSheetId="8">'Security Status'!$B$1:$I$15</definedName>
    <definedName name="_xlnm.Print_Area" localSheetId="10">'Symbol Closing Info'!$B$1:$I$13</definedName>
    <definedName name="_xlnm.Print_Area" localSheetId="13">'Symbol Event'!$B$1:$I$13</definedName>
    <definedName name="_xlnm.Print_Area" localSheetId="4">'Tag(Glossary)'!$B$1:$H$170</definedName>
    <definedName name="_xlnm.Print_Area" localSheetId="40">'Time Stamp (Polling)'!$B$1:$I$8</definedName>
    <definedName name="_xlnm.Print_Area" localSheetId="0">Title!$A$1:$P$31</definedName>
    <definedName name="_xlnm.Print_Area" localSheetId="26">'Top N Members per Symbol'!$B$1:$I$18</definedName>
    <definedName name="_xlnm.Print_Area" localSheetId="36">'Top N Symbols with High Ratio'!$B$1:$I$12</definedName>
    <definedName name="_xlnm.Print_Area" localSheetId="37">'Top N Symbols with Low Ratio'!$B$1:$I$12</definedName>
    <definedName name="_xlnm.Print_Area" localSheetId="35">'Top N Symbols with Price'!$B$1:$I$12</definedName>
    <definedName name="_xlnm.Print_Area" localSheetId="34">'Top N Symbols with Quantity'!$B$1:$I$12</definedName>
    <definedName name="_xlnm.Print_Area" localSheetId="38">'Trading Result of Foreigners'!$B$1:$I$21</definedName>
    <definedName name="_xlnm.Print_Area" localSheetId="6">Trailer!$B$1:$G$6</definedName>
    <definedName name="_xlnm.Print_Area" localSheetId="11">'Volatility Interruption'!$B$1:$I$17</definedName>
    <definedName name="_xlnm.Print_Titles" localSheetId="19">'(Block Trade) PriceRecovery'!$4:$4</definedName>
    <definedName name="_xlnm.Print_Titles" localSheetId="20">'(Block Trade) PriceRecovery(B) '!$4:$4</definedName>
    <definedName name="_xlnm.Print_Titles" localSheetId="28">'Deem Trade Price'!$4:$4</definedName>
    <definedName name="_xlnm.Print_Titles" localSheetId="39">Disclosure!$4:$4</definedName>
    <definedName name="_xlnm.Print_Titles" localSheetId="32">'ETF iIndex'!$4:$4</definedName>
    <definedName name="_xlnm.Print_Titles" localSheetId="31">'ETF iNav'!$4:$4</definedName>
    <definedName name="_xlnm.Print_Titles" localSheetId="33">'ETF TrackingError'!$4:$4</definedName>
    <definedName name="_xlnm.Print_Titles" localSheetId="29">'Foreigner Order Limit'!$4:$4</definedName>
    <definedName name="_xlnm.Print_Titles" localSheetId="2">Guildline!$2:$2</definedName>
    <definedName name="_xlnm.Print_Titles" localSheetId="5">Header!$4:$4</definedName>
    <definedName name="_xlnm.Print_Titles" localSheetId="21">Index!$4:$4</definedName>
    <definedName name="_xlnm.Print_Titles" localSheetId="14">'Index Constituents Information'!$4:$4</definedName>
    <definedName name="_xlnm.Print_Titles" localSheetId="3">'Interface List'!$4:$6</definedName>
    <definedName name="_xlnm.Print_Titles" localSheetId="22">'Investor by Industry'!$4:$4</definedName>
    <definedName name="_xlnm.Print_Titles" localSheetId="23">'Investor by Industry(Bond)'!$4:$4</definedName>
    <definedName name="_xlnm.Print_Titles" localSheetId="24">'Investor by Industry(Drv)'!$4:$4</definedName>
    <definedName name="_xlnm.Print_Titles" localSheetId="25">'Investor per Symbol'!$4:$4</definedName>
    <definedName name="_xlnm.Print_Titles" localSheetId="12">'Market Maker Information'!$4:$4</definedName>
    <definedName name="_xlnm.Print_Titles" localSheetId="27">'Open Interest'!$4:$4</definedName>
    <definedName name="_xlnm.Print_Titles" localSheetId="30">'Price Limit Expansion'!$4:$4</definedName>
    <definedName name="_xlnm.Print_Titles" localSheetId="17">PriceRecovery!$4:$4</definedName>
    <definedName name="_xlnm.Print_Titles" localSheetId="18">'PriceRecovery(Bond)'!$4:$4</definedName>
    <definedName name="_xlnm.Print_Titles" localSheetId="15">'Random End'!$4:$4</definedName>
    <definedName name="_xlnm.Print_Titles" localSheetId="7">'Security Definition'!$4:$4</definedName>
    <definedName name="_xlnm.Print_Titles" localSheetId="9">'Security Info Notification'!$4:$4</definedName>
    <definedName name="_xlnm.Print_Titles" localSheetId="8">'Security Status'!$4:$4</definedName>
    <definedName name="_xlnm.Print_Titles" localSheetId="10">'Symbol Closing Info'!$4:$4</definedName>
    <definedName name="_xlnm.Print_Titles" localSheetId="13">'Symbol Event'!$4:$4</definedName>
    <definedName name="_xlnm.Print_Titles" localSheetId="4">'Tag(Glossary)'!$4:$4</definedName>
    <definedName name="_xlnm.Print_Titles" localSheetId="40">'Time Stamp (Polling)'!$4:$4</definedName>
    <definedName name="_xlnm.Print_Titles" localSheetId="26">'Top N Members per Symbol'!$4:$4</definedName>
    <definedName name="_xlnm.Print_Titles" localSheetId="36">'Top N Symbols with High Ratio'!$4:$4</definedName>
    <definedName name="_xlnm.Print_Titles" localSheetId="37">'Top N Symbols with Low Ratio'!$4:$4</definedName>
    <definedName name="_xlnm.Print_Titles" localSheetId="35">'Top N Symbols with Price'!$4:$4</definedName>
    <definedName name="_xlnm.Print_Titles" localSheetId="34">'Top N Symbols with Quantity'!$4:$4</definedName>
    <definedName name="_xlnm.Print_Titles" localSheetId="38">'Trading Result of Foreigners'!$4:$4</definedName>
    <definedName name="_xlnm.Print_Titles" localSheetId="6">Trailer!$4:$4</definedName>
    <definedName name="_xlnm.Print_Titles" localSheetId="11">'Volatility Interruption'!$4:$4</definedName>
  </definedNames>
  <calcPr calcId="152511"/>
</workbook>
</file>

<file path=xl/calcChain.xml><?xml version="1.0" encoding="utf-8"?>
<calcChain xmlns="http://schemas.openxmlformats.org/spreadsheetml/2006/main">
  <c r="B20" i="72" l="1"/>
  <c r="I19" i="72"/>
  <c r="H19" i="72"/>
  <c r="G19" i="72"/>
  <c r="E19" i="72"/>
  <c r="B19" i="72"/>
  <c r="I18" i="72"/>
  <c r="H18" i="72"/>
  <c r="G18" i="72"/>
  <c r="E18" i="72"/>
  <c r="B18" i="72"/>
  <c r="I17" i="72"/>
  <c r="H17" i="72"/>
  <c r="G17" i="72"/>
  <c r="E17" i="72"/>
  <c r="B17" i="72"/>
  <c r="I16" i="72"/>
  <c r="H16" i="72"/>
  <c r="G16" i="72"/>
  <c r="E16" i="72"/>
  <c r="B16" i="72"/>
  <c r="I15" i="72"/>
  <c r="H15" i="72"/>
  <c r="G15" i="72"/>
  <c r="E15" i="72"/>
  <c r="B15" i="72"/>
  <c r="I14" i="72"/>
  <c r="H14" i="72"/>
  <c r="G14" i="72"/>
  <c r="E14" i="72"/>
  <c r="B14" i="72"/>
  <c r="I13" i="72"/>
  <c r="H13" i="72"/>
  <c r="G13" i="72"/>
  <c r="E13" i="72"/>
  <c r="B13" i="72"/>
  <c r="I12" i="72"/>
  <c r="H12" i="72"/>
  <c r="G12" i="72"/>
  <c r="E12" i="72"/>
  <c r="B12" i="72"/>
  <c r="I11" i="72"/>
  <c r="H11" i="72"/>
  <c r="G11" i="72"/>
  <c r="E11" i="72"/>
  <c r="B11" i="72"/>
  <c r="I10" i="72"/>
  <c r="H10" i="72"/>
  <c r="G10" i="72"/>
  <c r="E10" i="72"/>
  <c r="B10" i="72"/>
  <c r="I9" i="72"/>
  <c r="H9" i="72"/>
  <c r="G9" i="72"/>
  <c r="E9" i="72"/>
  <c r="B9" i="72"/>
  <c r="I8" i="72"/>
  <c r="H8" i="72"/>
  <c r="G8" i="72"/>
  <c r="E8" i="72"/>
  <c r="B8" i="72"/>
  <c r="I7" i="72"/>
  <c r="H7" i="72"/>
  <c r="G7" i="72"/>
  <c r="E7" i="72"/>
  <c r="B7" i="72"/>
  <c r="I6" i="72"/>
  <c r="H6" i="72"/>
  <c r="G6" i="72"/>
  <c r="E6" i="72"/>
  <c r="B6" i="72"/>
  <c r="B5" i="72"/>
  <c r="B16" i="71"/>
  <c r="I15" i="71"/>
  <c r="H15" i="71"/>
  <c r="G15" i="71"/>
  <c r="E15" i="71"/>
  <c r="B15" i="71"/>
  <c r="I14" i="71"/>
  <c r="H14" i="71"/>
  <c r="G14" i="71"/>
  <c r="E14" i="71"/>
  <c r="B14" i="71"/>
  <c r="I13" i="71"/>
  <c r="H13" i="71"/>
  <c r="G13" i="71"/>
  <c r="E13" i="71"/>
  <c r="B13" i="71"/>
  <c r="I12" i="71"/>
  <c r="H12" i="71"/>
  <c r="G12" i="71"/>
  <c r="E12" i="71"/>
  <c r="B12" i="71"/>
  <c r="I11" i="71"/>
  <c r="H11" i="71"/>
  <c r="G11" i="71"/>
  <c r="E11" i="71"/>
  <c r="B11" i="71"/>
  <c r="I10" i="71"/>
  <c r="H10" i="71"/>
  <c r="G10" i="71"/>
  <c r="E10" i="71"/>
  <c r="B10" i="71"/>
  <c r="I9" i="71"/>
  <c r="H9" i="71"/>
  <c r="G9" i="71"/>
  <c r="E9" i="71"/>
  <c r="B9" i="71"/>
  <c r="I8" i="71"/>
  <c r="H8" i="71"/>
  <c r="G8" i="71"/>
  <c r="E8" i="71"/>
  <c r="B8" i="71"/>
  <c r="I7" i="71"/>
  <c r="H7" i="71"/>
  <c r="G7" i="71"/>
  <c r="E7" i="71"/>
  <c r="B7" i="71"/>
  <c r="I6" i="71"/>
  <c r="H6" i="71"/>
  <c r="G6" i="71"/>
  <c r="E6" i="71"/>
  <c r="B6" i="71"/>
  <c r="B5" i="71"/>
  <c r="I51" i="25" l="1"/>
  <c r="H51" i="25"/>
  <c r="G51" i="25"/>
  <c r="E51" i="25"/>
  <c r="B51" i="25"/>
  <c r="I13" i="27" l="1"/>
  <c r="E13" i="27"/>
  <c r="B13" i="27"/>
  <c r="I9" i="68" l="1"/>
  <c r="H9" i="68"/>
  <c r="G9" i="68"/>
  <c r="E9" i="68"/>
  <c r="B9" i="68"/>
  <c r="I10" i="51" l="1"/>
  <c r="I11" i="51"/>
  <c r="B11" i="51"/>
  <c r="B10" i="51"/>
  <c r="E7" i="27" l="1"/>
  <c r="G7" i="27"/>
  <c r="H7" i="27"/>
  <c r="I7" i="27"/>
  <c r="B7" i="27"/>
  <c r="I22" i="63" l="1"/>
  <c r="E22" i="63"/>
  <c r="B50" i="25" l="1"/>
  <c r="E50" i="25"/>
  <c r="G50" i="25"/>
  <c r="H50" i="25"/>
  <c r="I50" i="25"/>
  <c r="E40" i="25" l="1"/>
  <c r="I9" i="27" l="1"/>
  <c r="H9" i="27"/>
  <c r="G9" i="27"/>
  <c r="E9" i="27"/>
  <c r="B9" i="27"/>
  <c r="I9" i="59" l="1"/>
  <c r="I10" i="59"/>
  <c r="I11" i="59"/>
  <c r="I12" i="59"/>
  <c r="I13" i="59"/>
  <c r="I14" i="59"/>
  <c r="I15" i="59"/>
  <c r="I16" i="59"/>
  <c r="I17" i="59"/>
  <c r="I18" i="59"/>
  <c r="I19" i="59"/>
  <c r="I8" i="59"/>
  <c r="I7" i="41"/>
  <c r="I12" i="27"/>
  <c r="B12" i="29" l="1"/>
  <c r="E12" i="29"/>
  <c r="G12" i="29"/>
  <c r="H12" i="29"/>
  <c r="I12" i="29"/>
  <c r="B13" i="29"/>
  <c r="E13" i="29"/>
  <c r="G13" i="29"/>
  <c r="H13" i="29"/>
  <c r="I13" i="29"/>
  <c r="B14" i="29"/>
  <c r="E14" i="29"/>
  <c r="G14" i="29"/>
  <c r="H14" i="29"/>
  <c r="I14" i="29"/>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1" i="25"/>
  <c r="E42" i="25"/>
  <c r="E43" i="25"/>
  <c r="E44" i="25"/>
  <c r="E45" i="25"/>
  <c r="E46" i="25"/>
  <c r="E47" i="25"/>
  <c r="E48" i="25"/>
  <c r="E49" i="25"/>
  <c r="E52" i="25"/>
  <c r="E6" i="25"/>
  <c r="B36" i="25"/>
  <c r="G36" i="25"/>
  <c r="H36" i="25"/>
  <c r="I36" i="25"/>
  <c r="B37" i="25"/>
  <c r="G37" i="25"/>
  <c r="H37" i="25"/>
  <c r="I37" i="25"/>
  <c r="B38" i="25"/>
  <c r="G38" i="25"/>
  <c r="H38" i="25"/>
  <c r="I38" i="25"/>
  <c r="B20" i="59" l="1"/>
  <c r="H19" i="59"/>
  <c r="G19" i="59"/>
  <c r="E19" i="59"/>
  <c r="B19" i="59"/>
  <c r="H18" i="59"/>
  <c r="G18" i="59"/>
  <c r="E18" i="59"/>
  <c r="B18" i="59"/>
  <c r="H17" i="59"/>
  <c r="G17" i="59"/>
  <c r="E17" i="59"/>
  <c r="B17" i="59"/>
  <c r="H16" i="59"/>
  <c r="G16" i="59"/>
  <c r="E16" i="59"/>
  <c r="B16" i="59"/>
  <c r="E8" i="50" l="1"/>
  <c r="G8" i="50"/>
  <c r="H8" i="50"/>
  <c r="I8" i="50"/>
  <c r="B8" i="50"/>
  <c r="B7" i="50"/>
  <c r="B9" i="50"/>
  <c r="B15" i="42" l="1"/>
  <c r="E15" i="42"/>
  <c r="G15" i="42"/>
  <c r="H15" i="42"/>
  <c r="I15" i="42"/>
  <c r="B13" i="43"/>
  <c r="E13" i="43"/>
  <c r="G13" i="43"/>
  <c r="H13" i="43"/>
  <c r="I13" i="43"/>
  <c r="B13" i="44"/>
  <c r="E13" i="44"/>
  <c r="G13" i="44"/>
  <c r="H13" i="44"/>
  <c r="I13" i="44"/>
  <c r="B12" i="45"/>
  <c r="E12" i="45"/>
  <c r="G12" i="45"/>
  <c r="H12" i="45"/>
  <c r="I12" i="45"/>
  <c r="B16" i="46"/>
  <c r="E16" i="46"/>
  <c r="G16" i="46"/>
  <c r="H16" i="46"/>
  <c r="I16" i="46"/>
  <c r="B10" i="55"/>
  <c r="E10" i="55"/>
  <c r="G10" i="55"/>
  <c r="H10" i="55"/>
  <c r="I10" i="55"/>
  <c r="B10" i="56"/>
  <c r="E10" i="56"/>
  <c r="G10" i="56"/>
  <c r="H10" i="56"/>
  <c r="I10" i="56"/>
  <c r="B10" i="57"/>
  <c r="E10" i="57"/>
  <c r="G10" i="57"/>
  <c r="H10" i="57"/>
  <c r="I10" i="57"/>
  <c r="B10" i="58"/>
  <c r="E10" i="58"/>
  <c r="G10" i="58"/>
  <c r="H10" i="58"/>
  <c r="I10" i="58"/>
  <c r="B15" i="59"/>
  <c r="E15" i="59"/>
  <c r="G15" i="59"/>
  <c r="H15" i="59"/>
  <c r="B41" i="25" l="1"/>
  <c r="G41" i="25"/>
  <c r="H41" i="25"/>
  <c r="I41" i="25"/>
  <c r="B15" i="41" l="1"/>
  <c r="E15" i="41"/>
  <c r="G15" i="41"/>
  <c r="H15" i="41"/>
  <c r="I15" i="41"/>
  <c r="B16" i="41"/>
  <c r="E16" i="41"/>
  <c r="G16" i="41"/>
  <c r="H16" i="41"/>
  <c r="I16" i="41"/>
  <c r="B17" i="41"/>
  <c r="E17" i="41"/>
  <c r="G17" i="41"/>
  <c r="H17" i="41"/>
  <c r="I17" i="41"/>
  <c r="B18" i="41"/>
  <c r="E18" i="41"/>
  <c r="G18" i="41"/>
  <c r="H18" i="41"/>
  <c r="I18" i="41"/>
  <c r="B48" i="25" l="1"/>
  <c r="G48" i="25"/>
  <c r="H48" i="25"/>
  <c r="I48" i="25"/>
  <c r="B49" i="25"/>
  <c r="G49" i="25"/>
  <c r="H49" i="25"/>
  <c r="I49" i="25"/>
  <c r="B52" i="25"/>
  <c r="G52" i="25"/>
  <c r="H52" i="25"/>
  <c r="I52" i="25"/>
  <c r="I46" i="25" l="1"/>
  <c r="H46" i="25"/>
  <c r="G46" i="25"/>
  <c r="B46" i="25"/>
  <c r="I16" i="29" l="1"/>
  <c r="H16" i="29"/>
  <c r="G16" i="29"/>
  <c r="E16" i="29"/>
  <c r="B16" i="29"/>
  <c r="B12" i="59" l="1"/>
  <c r="B13" i="59"/>
  <c r="B14" i="59"/>
  <c r="B11" i="59"/>
  <c r="E12" i="59"/>
  <c r="G12" i="59"/>
  <c r="H12" i="59"/>
  <c r="E13" i="59"/>
  <c r="G13" i="59"/>
  <c r="H13" i="59"/>
  <c r="E14" i="59"/>
  <c r="G14" i="59"/>
  <c r="H14" i="59"/>
  <c r="H11" i="59"/>
  <c r="G11" i="59"/>
  <c r="E11" i="59"/>
  <c r="B11" i="68"/>
  <c r="B10" i="68"/>
  <c r="B8" i="68"/>
  <c r="B7" i="68"/>
  <c r="B6" i="68"/>
  <c r="B5" i="68"/>
  <c r="E7" i="68"/>
  <c r="G7" i="68"/>
  <c r="H7" i="68"/>
  <c r="I7" i="68"/>
  <c r="E8" i="68"/>
  <c r="G8" i="68"/>
  <c r="H8" i="68"/>
  <c r="I8" i="68"/>
  <c r="E10" i="68"/>
  <c r="G10" i="68"/>
  <c r="H10" i="68"/>
  <c r="I10" i="68"/>
  <c r="I6" i="68"/>
  <c r="H6" i="68"/>
  <c r="G6" i="68"/>
  <c r="E6" i="68"/>
  <c r="I11" i="36" l="1"/>
  <c r="H11" i="36"/>
  <c r="G11" i="36"/>
  <c r="E11" i="36"/>
  <c r="B11" i="36"/>
  <c r="I10" i="36"/>
  <c r="H10" i="36"/>
  <c r="G10" i="36"/>
  <c r="E10" i="36"/>
  <c r="B10" i="36"/>
  <c r="B17" i="25" l="1"/>
  <c r="G17" i="25"/>
  <c r="H17" i="25"/>
  <c r="I17" i="25"/>
  <c r="B9" i="60" l="1"/>
  <c r="E9" i="60"/>
  <c r="G9" i="60"/>
  <c r="H9" i="60"/>
  <c r="I9" i="60"/>
  <c r="G12" i="25" l="1"/>
  <c r="H12" i="25"/>
  <c r="I12" i="25"/>
  <c r="G13" i="25"/>
  <c r="H13" i="25"/>
  <c r="I13" i="25"/>
  <c r="B12" i="25"/>
  <c r="B13" i="25"/>
  <c r="E12" i="31" l="1"/>
  <c r="G12" i="31"/>
  <c r="H12" i="31"/>
  <c r="I12" i="31"/>
  <c r="E15" i="31"/>
  <c r="G15" i="31"/>
  <c r="H15" i="31"/>
  <c r="I15" i="31"/>
  <c r="B15" i="31"/>
  <c r="B12" i="31"/>
  <c r="B15" i="29" l="1"/>
  <c r="E15" i="29"/>
  <c r="G15" i="29"/>
  <c r="H15" i="29"/>
  <c r="I15" i="29"/>
  <c r="B27" i="25"/>
  <c r="G27" i="25"/>
  <c r="H27" i="25"/>
  <c r="I27" i="25"/>
  <c r="E9" i="51"/>
  <c r="G9" i="51"/>
  <c r="H9" i="51"/>
  <c r="I9" i="51"/>
  <c r="B9" i="51"/>
  <c r="B5" i="51"/>
  <c r="B12" i="36" l="1"/>
  <c r="E12" i="36"/>
  <c r="G12" i="36"/>
  <c r="H12" i="36"/>
  <c r="I12" i="36"/>
  <c r="B13" i="36"/>
  <c r="E13" i="36"/>
  <c r="G13" i="36"/>
  <c r="H13" i="36"/>
  <c r="I13" i="36"/>
  <c r="I6" i="61" l="1"/>
  <c r="I7" i="60"/>
  <c r="I8" i="60"/>
  <c r="I10" i="60"/>
  <c r="I11" i="60"/>
  <c r="I12" i="60"/>
  <c r="I13" i="60"/>
  <c r="I14" i="60"/>
  <c r="I15" i="60"/>
  <c r="I16" i="60"/>
  <c r="I17" i="60"/>
  <c r="I18" i="60"/>
  <c r="I19" i="60"/>
  <c r="I6" i="60"/>
  <c r="I7" i="59"/>
  <c r="I6" i="59"/>
  <c r="I9" i="58"/>
  <c r="I8" i="58"/>
  <c r="I7" i="58"/>
  <c r="I6" i="58"/>
  <c r="I9" i="57"/>
  <c r="I8" i="57"/>
  <c r="I7" i="57"/>
  <c r="I6" i="57"/>
  <c r="I9" i="56"/>
  <c r="I8" i="56"/>
  <c r="I7" i="56"/>
  <c r="I6" i="56"/>
  <c r="I9" i="55"/>
  <c r="I8" i="55"/>
  <c r="I7" i="55"/>
  <c r="I6" i="55"/>
  <c r="I7" i="54"/>
  <c r="I8" i="54"/>
  <c r="I9" i="54"/>
  <c r="I10" i="54"/>
  <c r="I6" i="54"/>
  <c r="I7" i="53"/>
  <c r="I8" i="53"/>
  <c r="I9" i="53"/>
  <c r="I6" i="53"/>
  <c r="I7" i="52"/>
  <c r="I8" i="52"/>
  <c r="I9" i="52"/>
  <c r="I6" i="52"/>
  <c r="I7" i="51"/>
  <c r="I8" i="51"/>
  <c r="I12" i="51"/>
  <c r="I13" i="51"/>
  <c r="I6" i="51"/>
  <c r="I7" i="50"/>
  <c r="I9" i="50"/>
  <c r="I6" i="50"/>
  <c r="I7" i="49"/>
  <c r="I8" i="49"/>
  <c r="I9" i="49"/>
  <c r="I10" i="49"/>
  <c r="I11" i="49"/>
  <c r="I6" i="49"/>
  <c r="I10" i="46"/>
  <c r="I11" i="46"/>
  <c r="I12" i="46"/>
  <c r="I13" i="46"/>
  <c r="I14" i="46"/>
  <c r="I15" i="46"/>
  <c r="I9" i="46"/>
  <c r="I7" i="46"/>
  <c r="I8" i="46"/>
  <c r="I6" i="46"/>
  <c r="I9" i="45"/>
  <c r="I10" i="45"/>
  <c r="I11" i="45"/>
  <c r="I8" i="45"/>
  <c r="I7" i="45"/>
  <c r="I6" i="45"/>
  <c r="I10" i="44"/>
  <c r="I11" i="44"/>
  <c r="I12" i="44"/>
  <c r="I9" i="44"/>
  <c r="I7" i="44"/>
  <c r="I8" i="44"/>
  <c r="I6" i="44"/>
  <c r="I7" i="43"/>
  <c r="I8" i="43"/>
  <c r="I6" i="43"/>
  <c r="I10" i="43"/>
  <c r="I11" i="43"/>
  <c r="I12" i="43"/>
  <c r="I9" i="43"/>
  <c r="I12" i="42"/>
  <c r="I13" i="42"/>
  <c r="I14" i="42"/>
  <c r="I11" i="42"/>
  <c r="I26" i="40"/>
  <c r="I22" i="39"/>
  <c r="I20" i="63"/>
  <c r="I7" i="42"/>
  <c r="I8" i="42"/>
  <c r="I9" i="42"/>
  <c r="I10" i="42"/>
  <c r="I6" i="42"/>
  <c r="I8" i="41"/>
  <c r="I9" i="41"/>
  <c r="I10" i="41"/>
  <c r="I11" i="41"/>
  <c r="I12" i="41"/>
  <c r="I13" i="41"/>
  <c r="I14" i="41"/>
  <c r="I19" i="41"/>
  <c r="I20" i="41"/>
  <c r="I21" i="41"/>
  <c r="I22" i="41"/>
  <c r="I23" i="41"/>
  <c r="I24" i="41"/>
  <c r="I25" i="41"/>
  <c r="I26" i="41"/>
  <c r="I6" i="41"/>
  <c r="I27" i="40"/>
  <c r="I28" i="40"/>
  <c r="I29" i="40"/>
  <c r="I30" i="40"/>
  <c r="I31" i="40"/>
  <c r="I32" i="40"/>
  <c r="I33" i="40"/>
  <c r="I34" i="40"/>
  <c r="I7" i="40"/>
  <c r="I8" i="40"/>
  <c r="I9" i="40"/>
  <c r="I10" i="40"/>
  <c r="I11" i="40"/>
  <c r="I12" i="40"/>
  <c r="I13" i="40"/>
  <c r="I14" i="40"/>
  <c r="I15" i="40"/>
  <c r="I16" i="40"/>
  <c r="I17" i="40"/>
  <c r="I18" i="40"/>
  <c r="I19" i="40"/>
  <c r="I20" i="40"/>
  <c r="I21" i="40"/>
  <c r="I22" i="40"/>
  <c r="I23" i="40"/>
  <c r="I24" i="40"/>
  <c r="I6" i="40"/>
  <c r="I23" i="39"/>
  <c r="I24" i="39"/>
  <c r="I25" i="39"/>
  <c r="I26" i="39"/>
  <c r="I27" i="39"/>
  <c r="I28" i="39"/>
  <c r="I29" i="39"/>
  <c r="I7" i="39"/>
  <c r="I8" i="39"/>
  <c r="I9" i="39"/>
  <c r="I10" i="39"/>
  <c r="I11" i="39"/>
  <c r="I12" i="39"/>
  <c r="I13" i="39"/>
  <c r="I14" i="39"/>
  <c r="I15" i="39"/>
  <c r="I16" i="39"/>
  <c r="I17" i="39"/>
  <c r="I18" i="39"/>
  <c r="I19" i="39"/>
  <c r="I20" i="39"/>
  <c r="I6" i="39"/>
  <c r="I21" i="63"/>
  <c r="I23" i="63"/>
  <c r="I24" i="63"/>
  <c r="I25" i="63"/>
  <c r="I26" i="63"/>
  <c r="I27" i="63"/>
  <c r="I28" i="63"/>
  <c r="I7" i="63"/>
  <c r="I8" i="63"/>
  <c r="I9" i="63"/>
  <c r="I10" i="63"/>
  <c r="I11" i="63"/>
  <c r="I12" i="63"/>
  <c r="I13" i="63"/>
  <c r="I14" i="63"/>
  <c r="I15" i="63"/>
  <c r="I16" i="63"/>
  <c r="I17" i="63"/>
  <c r="I18" i="63"/>
  <c r="I6" i="63"/>
  <c r="I7" i="64"/>
  <c r="I8" i="64"/>
  <c r="I9" i="64"/>
  <c r="I10" i="64"/>
  <c r="I11" i="64"/>
  <c r="I12" i="64"/>
  <c r="I13" i="64"/>
  <c r="I14" i="64"/>
  <c r="I15" i="64"/>
  <c r="I16" i="64"/>
  <c r="I17" i="64"/>
  <c r="I18" i="64"/>
  <c r="I6" i="64"/>
  <c r="I7" i="36"/>
  <c r="I8" i="36"/>
  <c r="I9" i="36"/>
  <c r="I14" i="36"/>
  <c r="I6" i="36"/>
  <c r="I7" i="33"/>
  <c r="I8" i="33"/>
  <c r="I9" i="33"/>
  <c r="I10" i="33"/>
  <c r="I11" i="33"/>
  <c r="I6" i="33"/>
  <c r="I7" i="32"/>
  <c r="I8" i="32"/>
  <c r="I6" i="32"/>
  <c r="I7" i="31"/>
  <c r="I8" i="31"/>
  <c r="I9" i="31"/>
  <c r="I10" i="31"/>
  <c r="I11" i="31"/>
  <c r="I13" i="31"/>
  <c r="I14" i="31"/>
  <c r="I6" i="31"/>
  <c r="I7" i="30"/>
  <c r="I8" i="30"/>
  <c r="I9" i="30"/>
  <c r="I10" i="30"/>
  <c r="I11" i="30"/>
  <c r="I6" i="30"/>
  <c r="I7" i="29"/>
  <c r="I8" i="29"/>
  <c r="I9" i="29"/>
  <c r="I10" i="29"/>
  <c r="I11" i="29"/>
  <c r="I6" i="29"/>
  <c r="I8" i="27"/>
  <c r="I10" i="27"/>
  <c r="I11" i="27"/>
  <c r="I6" i="27"/>
  <c r="I7" i="25"/>
  <c r="I8" i="25"/>
  <c r="I9" i="25"/>
  <c r="I10" i="25"/>
  <c r="I11" i="25"/>
  <c r="I14" i="25"/>
  <c r="I15" i="25"/>
  <c r="I16" i="25"/>
  <c r="I18" i="25"/>
  <c r="I19" i="25"/>
  <c r="I20" i="25"/>
  <c r="I21" i="25"/>
  <c r="I22" i="25"/>
  <c r="I23" i="25"/>
  <c r="I24" i="25"/>
  <c r="I25" i="25"/>
  <c r="I26" i="25"/>
  <c r="I28" i="25"/>
  <c r="I29" i="25"/>
  <c r="I30" i="25"/>
  <c r="I31" i="25"/>
  <c r="I32" i="25"/>
  <c r="I33" i="25"/>
  <c r="I34" i="25"/>
  <c r="I35" i="25"/>
  <c r="I39" i="25"/>
  <c r="I40" i="25"/>
  <c r="I42" i="25"/>
  <c r="I43" i="25"/>
  <c r="I44" i="25"/>
  <c r="I45" i="25"/>
  <c r="I47" i="25"/>
  <c r="I6" i="25"/>
  <c r="B11" i="55" l="1"/>
  <c r="B17" i="46"/>
  <c r="B13" i="45"/>
  <c r="B14" i="44"/>
  <c r="B14" i="43"/>
  <c r="B16" i="42"/>
  <c r="B35" i="40"/>
  <c r="B30" i="39"/>
  <c r="B29" i="63"/>
  <c r="H40" i="25"/>
  <c r="G40" i="25"/>
  <c r="B40" i="25"/>
  <c r="H47" i="25"/>
  <c r="G47" i="25"/>
  <c r="B47" i="25"/>
  <c r="H11" i="25"/>
  <c r="G11" i="25"/>
  <c r="B11" i="25"/>
  <c r="B11" i="64" l="1"/>
  <c r="B12" i="64"/>
  <c r="B13" i="64"/>
  <c r="B14" i="64"/>
  <c r="B15" i="64"/>
  <c r="G45" i="25" l="1"/>
  <c r="H45" i="25"/>
  <c r="B45" i="25" l="1"/>
  <c r="B7" i="64" l="1"/>
  <c r="B8" i="64"/>
  <c r="B19" i="64" l="1"/>
  <c r="B18" i="64"/>
  <c r="B17" i="64"/>
  <c r="B16" i="64"/>
  <c r="B10" i="64"/>
  <c r="B9" i="64"/>
  <c r="B6" i="64"/>
  <c r="B5" i="64"/>
  <c r="B27" i="63" l="1"/>
  <c r="E27" i="63"/>
  <c r="G27" i="63"/>
  <c r="H27" i="63"/>
  <c r="H28" i="63" l="1"/>
  <c r="G28" i="63"/>
  <c r="E28" i="63"/>
  <c r="B28" i="63"/>
  <c r="H26" i="63"/>
  <c r="G26" i="63"/>
  <c r="E26" i="63"/>
  <c r="B26" i="63"/>
  <c r="H25" i="63"/>
  <c r="G25" i="63"/>
  <c r="E25" i="63"/>
  <c r="B25" i="63"/>
  <c r="H24" i="63"/>
  <c r="G24" i="63"/>
  <c r="E24" i="63"/>
  <c r="B24" i="63"/>
  <c r="H23" i="63"/>
  <c r="G23" i="63"/>
  <c r="E23" i="63"/>
  <c r="B23" i="63"/>
  <c r="H22" i="63"/>
  <c r="G22" i="63"/>
  <c r="B22" i="63"/>
  <c r="H21" i="63"/>
  <c r="G21" i="63"/>
  <c r="E21" i="63"/>
  <c r="B21" i="63"/>
  <c r="H20" i="63"/>
  <c r="G20" i="63"/>
  <c r="E20" i="63"/>
  <c r="B20" i="63"/>
  <c r="H18" i="63"/>
  <c r="G18" i="63"/>
  <c r="E18" i="63"/>
  <c r="B18" i="63"/>
  <c r="H17" i="63"/>
  <c r="G17" i="63"/>
  <c r="E17" i="63"/>
  <c r="B17" i="63"/>
  <c r="H16" i="63"/>
  <c r="G16" i="63"/>
  <c r="E16" i="63"/>
  <c r="B16" i="63"/>
  <c r="H15" i="63"/>
  <c r="G15" i="63"/>
  <c r="E15" i="63"/>
  <c r="B15" i="63"/>
  <c r="H14" i="63"/>
  <c r="G14" i="63"/>
  <c r="E14" i="63"/>
  <c r="B14" i="63"/>
  <c r="H13" i="63"/>
  <c r="G13" i="63"/>
  <c r="E13" i="63"/>
  <c r="B13" i="63"/>
  <c r="H12" i="63"/>
  <c r="G12" i="63"/>
  <c r="E12" i="63"/>
  <c r="B12" i="63"/>
  <c r="H11" i="63"/>
  <c r="G11" i="63"/>
  <c r="E11" i="63"/>
  <c r="B11" i="63"/>
  <c r="H10" i="63"/>
  <c r="G10" i="63"/>
  <c r="E10" i="63"/>
  <c r="B10" i="63"/>
  <c r="H9" i="63"/>
  <c r="G9" i="63"/>
  <c r="E9" i="63"/>
  <c r="B9" i="63"/>
  <c r="H8" i="63"/>
  <c r="G8" i="63"/>
  <c r="E8" i="63"/>
  <c r="B8" i="63"/>
  <c r="H7" i="63"/>
  <c r="G7" i="63"/>
  <c r="E7" i="63"/>
  <c r="B7" i="63"/>
  <c r="H6" i="63"/>
  <c r="G6" i="63"/>
  <c r="E6" i="63"/>
  <c r="B6" i="63"/>
  <c r="B5" i="63"/>
  <c r="B6" i="61" l="1"/>
  <c r="B7" i="61"/>
  <c r="H6" i="61"/>
  <c r="G6" i="61"/>
  <c r="E6" i="61"/>
  <c r="B5" i="61"/>
  <c r="B6" i="60"/>
  <c r="B7" i="60"/>
  <c r="B8" i="60"/>
  <c r="B10" i="60"/>
  <c r="B11" i="60"/>
  <c r="B12" i="60"/>
  <c r="B13" i="60"/>
  <c r="B14" i="60"/>
  <c r="B15" i="60"/>
  <c r="B16" i="60"/>
  <c r="B17" i="60"/>
  <c r="B18" i="60"/>
  <c r="B19" i="60"/>
  <c r="B20" i="60"/>
  <c r="B5" i="60"/>
  <c r="B6" i="59"/>
  <c r="B7" i="59"/>
  <c r="B8" i="59"/>
  <c r="B9" i="59"/>
  <c r="B10" i="59"/>
  <c r="E7" i="59"/>
  <c r="G7" i="59"/>
  <c r="H7" i="59"/>
  <c r="E8" i="59"/>
  <c r="G8" i="59"/>
  <c r="H8" i="59"/>
  <c r="E9" i="59"/>
  <c r="G9" i="59"/>
  <c r="H9" i="59"/>
  <c r="E10" i="59"/>
  <c r="G10" i="59"/>
  <c r="H10" i="59"/>
  <c r="H6" i="59"/>
  <c r="G6" i="59"/>
  <c r="E6" i="59"/>
  <c r="B5" i="59"/>
  <c r="B9" i="58"/>
  <c r="B11" i="58"/>
  <c r="B8" i="58"/>
  <c r="B6" i="58"/>
  <c r="B7" i="58"/>
  <c r="E9" i="58"/>
  <c r="G9" i="58"/>
  <c r="H9" i="58"/>
  <c r="H8" i="58"/>
  <c r="G8" i="58"/>
  <c r="E8" i="58"/>
  <c r="E7" i="58"/>
  <c r="G7" i="58"/>
  <c r="H7" i="58"/>
  <c r="H6" i="58"/>
  <c r="G6" i="58"/>
  <c r="E6" i="58"/>
  <c r="B5" i="58"/>
  <c r="B9" i="57"/>
  <c r="B11" i="57"/>
  <c r="B8" i="57"/>
  <c r="B6" i="57"/>
  <c r="B7" i="57"/>
  <c r="E9" i="57"/>
  <c r="G9" i="57"/>
  <c r="H9" i="57"/>
  <c r="H8" i="57"/>
  <c r="G8" i="57"/>
  <c r="E8" i="57"/>
  <c r="E7" i="57"/>
  <c r="G7" i="57"/>
  <c r="H7" i="57"/>
  <c r="H6" i="57"/>
  <c r="G6" i="57"/>
  <c r="E6" i="57"/>
  <c r="B5" i="57"/>
  <c r="B9" i="56"/>
  <c r="B11" i="56"/>
  <c r="B8" i="56"/>
  <c r="B6" i="56"/>
  <c r="B7" i="56"/>
  <c r="E9" i="56"/>
  <c r="G9" i="56"/>
  <c r="H9" i="56"/>
  <c r="H8" i="56"/>
  <c r="G8" i="56"/>
  <c r="E8" i="56"/>
  <c r="E7" i="56"/>
  <c r="G7" i="56"/>
  <c r="H7" i="56"/>
  <c r="H6" i="56"/>
  <c r="G6" i="56"/>
  <c r="E6" i="56"/>
  <c r="B5" i="56"/>
  <c r="B9" i="55"/>
  <c r="B8" i="55"/>
  <c r="B6" i="55"/>
  <c r="B7" i="55"/>
  <c r="E9" i="55"/>
  <c r="G9" i="55"/>
  <c r="H9" i="55"/>
  <c r="H8" i="55"/>
  <c r="G8" i="55"/>
  <c r="E8" i="55"/>
  <c r="E7" i="55"/>
  <c r="G7" i="55"/>
  <c r="H7" i="55"/>
  <c r="H6" i="55"/>
  <c r="G6" i="55"/>
  <c r="E6" i="55"/>
  <c r="B5" i="55"/>
  <c r="B6" i="54"/>
  <c r="B7" i="54"/>
  <c r="B8" i="54"/>
  <c r="B9" i="54"/>
  <c r="B10" i="54"/>
  <c r="B11" i="54"/>
  <c r="E7" i="54"/>
  <c r="G7" i="54"/>
  <c r="H7" i="54"/>
  <c r="E8" i="54"/>
  <c r="G8" i="54"/>
  <c r="H8" i="54"/>
  <c r="E9" i="54"/>
  <c r="G9" i="54"/>
  <c r="H9" i="54"/>
  <c r="E10" i="54"/>
  <c r="G10" i="54"/>
  <c r="H10" i="54"/>
  <c r="H6" i="54"/>
  <c r="G6" i="54"/>
  <c r="E6" i="54"/>
  <c r="B5" i="54"/>
  <c r="B6" i="53"/>
  <c r="B7" i="53"/>
  <c r="B8" i="53"/>
  <c r="B9" i="53"/>
  <c r="B10" i="53"/>
  <c r="E7" i="53"/>
  <c r="G7" i="53"/>
  <c r="H7" i="53"/>
  <c r="E8" i="53"/>
  <c r="G8" i="53"/>
  <c r="H8" i="53"/>
  <c r="E9" i="53"/>
  <c r="G9" i="53"/>
  <c r="H9" i="53"/>
  <c r="H6" i="53"/>
  <c r="G6" i="53"/>
  <c r="E6" i="53"/>
  <c r="B5" i="53"/>
  <c r="B6" i="52"/>
  <c r="B7" i="52"/>
  <c r="B8" i="52"/>
  <c r="B9" i="52"/>
  <c r="B10" i="52"/>
  <c r="E7" i="52"/>
  <c r="G7" i="52"/>
  <c r="H7" i="52"/>
  <c r="E8" i="52"/>
  <c r="G8" i="52"/>
  <c r="H8" i="52"/>
  <c r="E9" i="52"/>
  <c r="G9" i="52"/>
  <c r="H9" i="52"/>
  <c r="H6" i="52"/>
  <c r="G6" i="52"/>
  <c r="E6" i="52"/>
  <c r="B5" i="52"/>
  <c r="B6" i="51"/>
  <c r="B7" i="51"/>
  <c r="B8" i="51"/>
  <c r="B12" i="51"/>
  <c r="B13" i="51"/>
  <c r="B14" i="51"/>
  <c r="B6" i="50"/>
  <c r="B10" i="50"/>
  <c r="B5" i="50"/>
  <c r="B6" i="49"/>
  <c r="B7" i="49"/>
  <c r="B8" i="49"/>
  <c r="B9" i="49"/>
  <c r="B10" i="49"/>
  <c r="B11" i="49"/>
  <c r="B12" i="49"/>
  <c r="B5" i="49"/>
  <c r="B10" i="46"/>
  <c r="B11" i="46"/>
  <c r="B12" i="46"/>
  <c r="B13" i="46"/>
  <c r="B14" i="46"/>
  <c r="B15" i="46"/>
  <c r="B9" i="46"/>
  <c r="B6" i="46"/>
  <c r="B7" i="46"/>
  <c r="B8" i="46"/>
  <c r="E7" i="46"/>
  <c r="G7" i="46"/>
  <c r="H7" i="46"/>
  <c r="E8" i="46"/>
  <c r="G8" i="46"/>
  <c r="H8" i="46"/>
  <c r="B5" i="46"/>
  <c r="B9" i="45"/>
  <c r="B10" i="45"/>
  <c r="B11" i="45"/>
  <c r="B8" i="45"/>
  <c r="B6" i="45"/>
  <c r="B7" i="45"/>
  <c r="B5" i="45"/>
  <c r="B10" i="44"/>
  <c r="B11" i="44"/>
  <c r="B12" i="44"/>
  <c r="B9" i="44"/>
  <c r="B6" i="44"/>
  <c r="B7" i="44"/>
  <c r="B8" i="44"/>
  <c r="B5" i="44"/>
  <c r="B10" i="43"/>
  <c r="B11" i="43"/>
  <c r="B12" i="43"/>
  <c r="B9" i="43"/>
  <c r="B6" i="43"/>
  <c r="B7" i="43"/>
  <c r="B8" i="43"/>
  <c r="B5" i="43"/>
  <c r="B12" i="42"/>
  <c r="B13" i="42"/>
  <c r="B14" i="42"/>
  <c r="B11" i="42"/>
  <c r="B6" i="42"/>
  <c r="B7" i="42"/>
  <c r="B8" i="42"/>
  <c r="B9" i="42"/>
  <c r="B10" i="42"/>
  <c r="B5" i="42"/>
  <c r="B6" i="41" l="1"/>
  <c r="B7" i="41"/>
  <c r="B8" i="41"/>
  <c r="B9" i="41"/>
  <c r="B10" i="41"/>
  <c r="B11" i="41"/>
  <c r="B12" i="41"/>
  <c r="B13" i="41"/>
  <c r="B14" i="41"/>
  <c r="B19" i="41"/>
  <c r="B20" i="41"/>
  <c r="B21" i="41"/>
  <c r="B22" i="41"/>
  <c r="B23" i="41"/>
  <c r="B24" i="41"/>
  <c r="B25" i="41"/>
  <c r="B26" i="41"/>
  <c r="B27" i="41"/>
  <c r="B5" i="41"/>
  <c r="B27" i="40"/>
  <c r="B28" i="40"/>
  <c r="B29" i="40"/>
  <c r="B30" i="40"/>
  <c r="B31" i="40"/>
  <c r="B32" i="40"/>
  <c r="B33" i="40"/>
  <c r="B34" i="40"/>
  <c r="B26" i="40"/>
  <c r="B6" i="40"/>
  <c r="B7" i="40"/>
  <c r="B8" i="40"/>
  <c r="B9" i="40"/>
  <c r="B10" i="40"/>
  <c r="B11" i="40"/>
  <c r="B12" i="40"/>
  <c r="B13" i="40"/>
  <c r="B14" i="40"/>
  <c r="B15" i="40"/>
  <c r="B16" i="40"/>
  <c r="B17" i="40"/>
  <c r="B18" i="40"/>
  <c r="B19" i="40"/>
  <c r="B20" i="40"/>
  <c r="B21" i="40"/>
  <c r="B22" i="40"/>
  <c r="B23" i="40"/>
  <c r="B24" i="40"/>
  <c r="B5" i="40"/>
  <c r="E27" i="40"/>
  <c r="G27" i="40"/>
  <c r="H27" i="40"/>
  <c r="E28" i="40"/>
  <c r="G28" i="40"/>
  <c r="H28" i="40"/>
  <c r="E29" i="40"/>
  <c r="G29" i="40"/>
  <c r="H29" i="40"/>
  <c r="E30" i="40"/>
  <c r="G30" i="40"/>
  <c r="H30" i="40"/>
  <c r="E31" i="40"/>
  <c r="G31" i="40"/>
  <c r="H31" i="40"/>
  <c r="E32" i="40"/>
  <c r="G32" i="40"/>
  <c r="H32" i="40"/>
  <c r="E33" i="40"/>
  <c r="G33" i="40"/>
  <c r="H33" i="40"/>
  <c r="E34" i="40"/>
  <c r="G34" i="40"/>
  <c r="H34" i="40"/>
  <c r="H26" i="40"/>
  <c r="G26" i="40"/>
  <c r="E26" i="40"/>
  <c r="E24" i="40"/>
  <c r="G24" i="40"/>
  <c r="H24" i="40"/>
  <c r="E23" i="39"/>
  <c r="G23" i="39"/>
  <c r="H23" i="39"/>
  <c r="E24" i="39"/>
  <c r="G24" i="39"/>
  <c r="H24" i="39"/>
  <c r="E25" i="39"/>
  <c r="G25" i="39"/>
  <c r="H25" i="39"/>
  <c r="E26" i="39"/>
  <c r="G26" i="39"/>
  <c r="H26" i="39"/>
  <c r="E27" i="39"/>
  <c r="G27" i="39"/>
  <c r="H27" i="39"/>
  <c r="E28" i="39"/>
  <c r="G28" i="39"/>
  <c r="H28" i="39"/>
  <c r="E29" i="39"/>
  <c r="G29" i="39"/>
  <c r="H29" i="39"/>
  <c r="H22" i="39"/>
  <c r="G22" i="39"/>
  <c r="E22" i="39"/>
  <c r="B23" i="39"/>
  <c r="B24" i="39"/>
  <c r="B25" i="39"/>
  <c r="B26" i="39"/>
  <c r="B27" i="39"/>
  <c r="B28" i="39"/>
  <c r="B29" i="39"/>
  <c r="B22" i="39"/>
  <c r="B6" i="39"/>
  <c r="B7" i="39"/>
  <c r="B8" i="39"/>
  <c r="B9" i="39"/>
  <c r="B10" i="39"/>
  <c r="B11" i="39"/>
  <c r="B12" i="39"/>
  <c r="B13" i="39"/>
  <c r="B14" i="39"/>
  <c r="B15" i="39"/>
  <c r="B16" i="39"/>
  <c r="B17" i="39"/>
  <c r="B18" i="39"/>
  <c r="B19" i="39"/>
  <c r="B20" i="39"/>
  <c r="B5" i="39"/>
  <c r="B6" i="36" l="1"/>
  <c r="B7" i="36"/>
  <c r="B8" i="36"/>
  <c r="B9" i="36"/>
  <c r="B14" i="36"/>
  <c r="B15" i="36"/>
  <c r="B5" i="36"/>
  <c r="B6" i="33"/>
  <c r="B7" i="33"/>
  <c r="B8" i="33"/>
  <c r="B9" i="33"/>
  <c r="B10" i="33"/>
  <c r="B11" i="33"/>
  <c r="B12" i="33"/>
  <c r="B5" i="33"/>
  <c r="E7" i="32"/>
  <c r="G7" i="32"/>
  <c r="H7" i="32"/>
  <c r="E8" i="32"/>
  <c r="G8" i="32"/>
  <c r="H8" i="32"/>
  <c r="B6" i="32"/>
  <c r="B7" i="32"/>
  <c r="B8" i="32"/>
  <c r="B9" i="32"/>
  <c r="H6" i="32"/>
  <c r="G6" i="32"/>
  <c r="E6" i="32"/>
  <c r="B5" i="32"/>
  <c r="B7" i="31"/>
  <c r="B8" i="31"/>
  <c r="B9" i="31"/>
  <c r="B10" i="31"/>
  <c r="B11" i="31"/>
  <c r="B13" i="31"/>
  <c r="B14" i="31"/>
  <c r="B16" i="31"/>
  <c r="B5" i="31"/>
  <c r="B6" i="31"/>
  <c r="B6" i="30" l="1"/>
  <c r="B7" i="30"/>
  <c r="B8" i="30"/>
  <c r="B9" i="30"/>
  <c r="B10" i="30"/>
  <c r="B11" i="30"/>
  <c r="B12" i="30"/>
  <c r="B5" i="30"/>
  <c r="B6" i="29"/>
  <c r="B7" i="29"/>
  <c r="B8" i="29"/>
  <c r="B9" i="29"/>
  <c r="B10" i="29"/>
  <c r="B11" i="29"/>
  <c r="B17" i="29"/>
  <c r="B5" i="29"/>
  <c r="E11" i="27"/>
  <c r="E12" i="27"/>
  <c r="G11" i="27"/>
  <c r="H11" i="27"/>
  <c r="G12" i="27"/>
  <c r="H12" i="27"/>
  <c r="B6" i="27"/>
  <c r="B8" i="27"/>
  <c r="B10" i="27"/>
  <c r="B11" i="27"/>
  <c r="B12" i="27"/>
  <c r="B14" i="27"/>
  <c r="B5" i="27"/>
  <c r="G7" i="25"/>
  <c r="H7" i="25"/>
  <c r="G8" i="25"/>
  <c r="H8" i="25"/>
  <c r="G9" i="25"/>
  <c r="H9" i="25"/>
  <c r="G10" i="25"/>
  <c r="H10" i="25"/>
  <c r="G14" i="25"/>
  <c r="H14" i="25"/>
  <c r="G15" i="25"/>
  <c r="H15" i="25"/>
  <c r="G16" i="25"/>
  <c r="H16" i="25"/>
  <c r="G18" i="25"/>
  <c r="H18" i="25"/>
  <c r="G19" i="25"/>
  <c r="H19" i="25"/>
  <c r="G20" i="25"/>
  <c r="H20" i="25"/>
  <c r="G21" i="25"/>
  <c r="H21" i="25"/>
  <c r="G22" i="25"/>
  <c r="H22" i="25"/>
  <c r="G23" i="25"/>
  <c r="H23" i="25"/>
  <c r="G24" i="25"/>
  <c r="H24" i="25"/>
  <c r="G25" i="25"/>
  <c r="H25" i="25"/>
  <c r="G26" i="25"/>
  <c r="H26" i="25"/>
  <c r="G28" i="25"/>
  <c r="H28" i="25"/>
  <c r="G29" i="25"/>
  <c r="H29" i="25"/>
  <c r="G30" i="25"/>
  <c r="H30" i="25"/>
  <c r="G31" i="25"/>
  <c r="H31" i="25"/>
  <c r="G32" i="25"/>
  <c r="H32" i="25"/>
  <c r="G33" i="25"/>
  <c r="H33" i="25"/>
  <c r="G34" i="25"/>
  <c r="H34" i="25"/>
  <c r="G35" i="25"/>
  <c r="H35" i="25"/>
  <c r="G39" i="25"/>
  <c r="H39" i="25"/>
  <c r="G42" i="25"/>
  <c r="H42" i="25"/>
  <c r="G43" i="25"/>
  <c r="H43" i="25"/>
  <c r="G44" i="25"/>
  <c r="H44" i="25"/>
  <c r="H6" i="25"/>
  <c r="G6" i="25"/>
  <c r="B7" i="25"/>
  <c r="B8" i="25"/>
  <c r="B9" i="25"/>
  <c r="B10" i="25"/>
  <c r="B14" i="25"/>
  <c r="B15" i="25"/>
  <c r="B16" i="25"/>
  <c r="B18" i="25"/>
  <c r="B19" i="25"/>
  <c r="B20" i="25"/>
  <c r="B21" i="25"/>
  <c r="B22" i="25"/>
  <c r="B23" i="25"/>
  <c r="B24" i="25"/>
  <c r="B25" i="25"/>
  <c r="B26" i="25"/>
  <c r="B28" i="25"/>
  <c r="B29" i="25"/>
  <c r="B30" i="25"/>
  <c r="B31" i="25"/>
  <c r="B32" i="25"/>
  <c r="B33" i="25"/>
  <c r="B34" i="25"/>
  <c r="B35" i="25"/>
  <c r="B39" i="25"/>
  <c r="B42" i="25"/>
  <c r="B43" i="25"/>
  <c r="B44" i="25"/>
  <c r="B53" i="25"/>
  <c r="B5" i="25"/>
  <c r="B6" i="25"/>
  <c r="G5" i="23"/>
  <c r="F5" i="23"/>
  <c r="E5" i="23"/>
  <c r="C5" i="23"/>
  <c r="F6" i="22"/>
  <c r="G6" i="22"/>
  <c r="F7" i="22"/>
  <c r="G7" i="22"/>
  <c r="F8" i="22"/>
  <c r="G8" i="22"/>
  <c r="F9" i="22"/>
  <c r="G9" i="22"/>
  <c r="F10" i="22"/>
  <c r="G10" i="22"/>
  <c r="F11" i="22"/>
  <c r="G11" i="22"/>
  <c r="G5" i="22"/>
  <c r="F5" i="22"/>
  <c r="E6" i="22"/>
  <c r="E7" i="22"/>
  <c r="E8" i="22"/>
  <c r="E9" i="22"/>
  <c r="E10" i="22"/>
  <c r="E11" i="22"/>
  <c r="E5" i="22"/>
  <c r="C6" i="22"/>
  <c r="C7" i="22"/>
  <c r="C8" i="22"/>
  <c r="C9" i="22"/>
  <c r="C10" i="22"/>
  <c r="C11" i="22"/>
  <c r="C5" i="22"/>
  <c r="H8" i="27" l="1"/>
  <c r="E8" i="27"/>
  <c r="H6" i="27"/>
  <c r="E6" i="27"/>
  <c r="H10" i="27"/>
  <c r="E10" i="27"/>
  <c r="G10" i="27"/>
  <c r="G6" i="27"/>
  <c r="G8" i="27"/>
  <c r="H8" i="29"/>
  <c r="E8" i="29"/>
  <c r="E11" i="29"/>
  <c r="H11" i="29"/>
  <c r="H7" i="29"/>
  <c r="E7" i="29"/>
  <c r="H10" i="29"/>
  <c r="E10" i="29"/>
  <c r="H9" i="29"/>
  <c r="E9" i="29"/>
  <c r="H6" i="29"/>
  <c r="E6" i="29"/>
  <c r="G7" i="29"/>
  <c r="G9" i="29"/>
  <c r="G11" i="29"/>
  <c r="G6" i="29"/>
  <c r="G10" i="29"/>
  <c r="G8" i="29"/>
  <c r="E7" i="30"/>
  <c r="H7" i="30"/>
  <c r="E10" i="30"/>
  <c r="H10" i="30"/>
  <c r="H9" i="30"/>
  <c r="E9" i="30"/>
  <c r="G10" i="30"/>
  <c r="H6" i="30"/>
  <c r="E6" i="30"/>
  <c r="E8" i="30"/>
  <c r="H8" i="30"/>
  <c r="H11" i="30"/>
  <c r="E11" i="30"/>
  <c r="G8" i="30"/>
  <c r="G7" i="30"/>
  <c r="G9" i="30"/>
  <c r="G6" i="30"/>
  <c r="G11" i="30"/>
  <c r="E13" i="31"/>
  <c r="H13" i="31"/>
  <c r="H8" i="31"/>
  <c r="E8" i="31"/>
  <c r="E11" i="31"/>
  <c r="H11" i="31"/>
  <c r="H7" i="31"/>
  <c r="E7" i="31"/>
  <c r="E10" i="31"/>
  <c r="H10" i="31"/>
  <c r="E6" i="31"/>
  <c r="H6" i="31"/>
  <c r="E9" i="31"/>
  <c r="H9" i="31"/>
  <c r="E14" i="31"/>
  <c r="H14" i="31"/>
  <c r="G11" i="31"/>
  <c r="G10" i="31"/>
  <c r="G9" i="31"/>
  <c r="G14" i="31"/>
  <c r="G13" i="31"/>
  <c r="G6" i="31"/>
  <c r="G8" i="31"/>
  <c r="G7" i="31"/>
  <c r="H9" i="33"/>
  <c r="E9" i="33"/>
  <c r="H8" i="33"/>
  <c r="E8" i="33"/>
  <c r="H6" i="33"/>
  <c r="E6" i="33"/>
  <c r="E11" i="33"/>
  <c r="H11" i="33"/>
  <c r="E7" i="33"/>
  <c r="H7" i="33"/>
  <c r="H10" i="33"/>
  <c r="E10" i="33"/>
  <c r="G9" i="33"/>
  <c r="G7" i="33"/>
  <c r="G11" i="33"/>
  <c r="G10" i="33"/>
  <c r="G8" i="33"/>
  <c r="G6" i="33"/>
  <c r="E8" i="36"/>
  <c r="H8" i="36"/>
  <c r="H6" i="36"/>
  <c r="E6" i="36"/>
  <c r="H9" i="36"/>
  <c r="E9" i="36"/>
  <c r="H7" i="36"/>
  <c r="E7" i="36"/>
  <c r="H14" i="36"/>
  <c r="E14" i="36"/>
  <c r="G7" i="36"/>
  <c r="G8" i="36"/>
  <c r="G9" i="36"/>
  <c r="G6" i="36"/>
  <c r="G14" i="36"/>
  <c r="G15" i="64"/>
  <c r="E15" i="64"/>
  <c r="H15" i="64"/>
  <c r="G11" i="64"/>
  <c r="H11" i="64"/>
  <c r="E11" i="64"/>
  <c r="H8" i="64"/>
  <c r="E8" i="64"/>
  <c r="G8" i="64"/>
  <c r="H6" i="64"/>
  <c r="G6" i="64"/>
  <c r="E6" i="64"/>
  <c r="E14" i="64"/>
  <c r="H14" i="64"/>
  <c r="G14" i="64"/>
  <c r="G16" i="64"/>
  <c r="E16" i="64"/>
  <c r="H16" i="64"/>
  <c r="G12" i="64"/>
  <c r="E12" i="64"/>
  <c r="H12" i="64"/>
  <c r="H10" i="64"/>
  <c r="G10" i="64"/>
  <c r="E10" i="64"/>
  <c r="G18" i="64"/>
  <c r="H18" i="64"/>
  <c r="E18" i="64"/>
  <c r="E17" i="64"/>
  <c r="G17" i="64"/>
  <c r="H17" i="64"/>
  <c r="G13" i="64"/>
  <c r="E13" i="64"/>
  <c r="H13" i="64"/>
  <c r="E9" i="64"/>
  <c r="H9" i="64"/>
  <c r="G9" i="64"/>
  <c r="E7" i="64"/>
  <c r="H7" i="64"/>
  <c r="G7" i="64"/>
  <c r="H18" i="39"/>
  <c r="E18" i="39"/>
  <c r="G18" i="39"/>
  <c r="E14" i="39"/>
  <c r="G14" i="39"/>
  <c r="H14" i="39"/>
  <c r="H10" i="39"/>
  <c r="E10" i="39"/>
  <c r="G10" i="39"/>
  <c r="E7" i="39"/>
  <c r="G7" i="39"/>
  <c r="H7" i="39"/>
  <c r="G9" i="39"/>
  <c r="H9" i="39"/>
  <c r="E9" i="39"/>
  <c r="E12" i="39"/>
  <c r="G12" i="39"/>
  <c r="H12" i="39"/>
  <c r="H16" i="39"/>
  <c r="E16" i="39"/>
  <c r="G16" i="39"/>
  <c r="E20" i="39"/>
  <c r="G20" i="39"/>
  <c r="H20" i="39"/>
  <c r="G19" i="39"/>
  <c r="E19" i="39"/>
  <c r="H19" i="39"/>
  <c r="E15" i="39"/>
  <c r="H15" i="39"/>
  <c r="G15" i="39"/>
  <c r="G11" i="39"/>
  <c r="E11" i="39"/>
  <c r="H11" i="39"/>
  <c r="E8" i="39"/>
  <c r="G8" i="39"/>
  <c r="H8" i="39"/>
  <c r="E6" i="39"/>
  <c r="H6" i="39"/>
  <c r="G6" i="39"/>
  <c r="H17" i="39"/>
  <c r="G17" i="39"/>
  <c r="E17" i="39"/>
  <c r="G13" i="39"/>
  <c r="E13" i="39"/>
  <c r="H13" i="39"/>
  <c r="H20" i="40"/>
  <c r="E20" i="40"/>
  <c r="G20" i="40"/>
  <c r="G16" i="40"/>
  <c r="E16" i="40"/>
  <c r="H16" i="40"/>
  <c r="E12" i="40"/>
  <c r="G12" i="40"/>
  <c r="H12" i="40"/>
  <c r="G9" i="40"/>
  <c r="H9" i="40"/>
  <c r="E9" i="40"/>
  <c r="H7" i="40"/>
  <c r="G7" i="40"/>
  <c r="E7" i="40"/>
  <c r="G10" i="40"/>
  <c r="H10" i="40"/>
  <c r="E10" i="40"/>
  <c r="H14" i="40"/>
  <c r="E14" i="40"/>
  <c r="G14" i="40"/>
  <c r="G18" i="40"/>
  <c r="H18" i="40"/>
  <c r="E18" i="40"/>
  <c r="E22" i="40"/>
  <c r="G22" i="40"/>
  <c r="H22" i="40"/>
  <c r="G23" i="40"/>
  <c r="H23" i="40"/>
  <c r="E23" i="40"/>
  <c r="E15" i="40"/>
  <c r="G15" i="40"/>
  <c r="H15" i="40"/>
  <c r="G8" i="40"/>
  <c r="H8" i="40"/>
  <c r="E8" i="40"/>
  <c r="E11" i="40"/>
  <c r="G11" i="40"/>
  <c r="H11" i="40"/>
  <c r="G19" i="40"/>
  <c r="H19" i="40"/>
  <c r="E19" i="40"/>
  <c r="E21" i="40"/>
  <c r="G21" i="40"/>
  <c r="H21" i="40"/>
  <c r="G17" i="40"/>
  <c r="H17" i="40"/>
  <c r="E17" i="40"/>
  <c r="E13" i="40"/>
  <c r="G13" i="40"/>
  <c r="H13" i="40"/>
  <c r="E6" i="40"/>
  <c r="H6" i="40"/>
  <c r="G6" i="40"/>
  <c r="G23" i="41"/>
  <c r="E23" i="41"/>
  <c r="H23" i="41"/>
  <c r="E19" i="41"/>
  <c r="G19" i="41"/>
  <c r="H19" i="41"/>
  <c r="H11" i="41"/>
  <c r="G11" i="41"/>
  <c r="E11" i="41"/>
  <c r="E8" i="41"/>
  <c r="G8" i="41"/>
  <c r="H8" i="41"/>
  <c r="H6" i="41"/>
  <c r="G6" i="41"/>
  <c r="E6" i="41"/>
  <c r="E20" i="41"/>
  <c r="G20" i="41"/>
  <c r="H20" i="41"/>
  <c r="G9" i="41"/>
  <c r="H9" i="41"/>
  <c r="E9" i="41"/>
  <c r="H22" i="41"/>
  <c r="G22" i="41"/>
  <c r="E22" i="41"/>
  <c r="E21" i="41"/>
  <c r="H21" i="41"/>
  <c r="G21" i="41"/>
  <c r="H10" i="41"/>
  <c r="E10" i="41"/>
  <c r="G10" i="41"/>
  <c r="E13" i="41"/>
  <c r="G13" i="41"/>
  <c r="H13" i="41"/>
  <c r="G25" i="41"/>
  <c r="H25" i="41"/>
  <c r="E25" i="41"/>
  <c r="E26" i="41"/>
  <c r="G26" i="41"/>
  <c r="H26" i="41"/>
  <c r="H14" i="41"/>
  <c r="E14" i="41"/>
  <c r="G14" i="41"/>
  <c r="E7" i="41"/>
  <c r="H7" i="41"/>
  <c r="G7" i="41"/>
  <c r="H12" i="41"/>
  <c r="G12" i="41"/>
  <c r="E12" i="41"/>
  <c r="E24" i="41"/>
  <c r="G24" i="41"/>
  <c r="H24" i="41"/>
  <c r="E9" i="42"/>
  <c r="G9" i="42"/>
  <c r="H9" i="42"/>
  <c r="H7" i="42"/>
  <c r="E7" i="42"/>
  <c r="G7" i="42"/>
  <c r="G6" i="42"/>
  <c r="E6" i="42"/>
  <c r="H6" i="42"/>
  <c r="H10" i="42"/>
  <c r="G10" i="42"/>
  <c r="E10" i="42"/>
  <c r="E8" i="42"/>
  <c r="G8" i="42"/>
  <c r="H8" i="42"/>
  <c r="H12" i="42"/>
  <c r="E12" i="42"/>
  <c r="G12" i="42"/>
  <c r="G13" i="42"/>
  <c r="E13" i="42"/>
  <c r="H13" i="42"/>
  <c r="G11" i="42"/>
  <c r="H11" i="42"/>
  <c r="E11" i="42"/>
  <c r="H14" i="42"/>
  <c r="E14" i="42"/>
  <c r="G14" i="42"/>
  <c r="G7" i="43"/>
  <c r="H7" i="43"/>
  <c r="E7" i="43"/>
  <c r="G8" i="43"/>
  <c r="E8" i="43"/>
  <c r="H8" i="43"/>
  <c r="E6" i="43"/>
  <c r="H6" i="43"/>
  <c r="G6" i="43"/>
  <c r="G10" i="43"/>
  <c r="H10" i="43"/>
  <c r="E10" i="43"/>
  <c r="E9" i="43"/>
  <c r="H9" i="43"/>
  <c r="G9" i="43"/>
  <c r="G11" i="43"/>
  <c r="E11" i="43"/>
  <c r="H11" i="43"/>
  <c r="H12" i="43"/>
  <c r="E12" i="43"/>
  <c r="G12" i="43"/>
  <c r="H6" i="44"/>
  <c r="G6" i="44"/>
  <c r="E6" i="44"/>
  <c r="G8" i="44"/>
  <c r="H8" i="44"/>
  <c r="E8" i="44"/>
  <c r="H7" i="44"/>
  <c r="G7" i="44"/>
  <c r="E7" i="44"/>
  <c r="E10" i="44"/>
  <c r="H10" i="44"/>
  <c r="G10" i="44"/>
  <c r="E12" i="44"/>
  <c r="H12" i="44"/>
  <c r="G12" i="44"/>
  <c r="H11" i="44"/>
  <c r="G11" i="44"/>
  <c r="E11" i="44"/>
  <c r="E9" i="44"/>
  <c r="G9" i="44"/>
  <c r="H9" i="44"/>
  <c r="E6" i="45"/>
  <c r="G6" i="45"/>
  <c r="H6" i="45"/>
  <c r="H7" i="45"/>
  <c r="G7" i="45"/>
  <c r="E7" i="45"/>
  <c r="H9" i="45"/>
  <c r="E9" i="45"/>
  <c r="G9" i="45"/>
  <c r="G10" i="45"/>
  <c r="E10" i="45"/>
  <c r="H10" i="45"/>
  <c r="E8" i="45"/>
  <c r="H8" i="45"/>
  <c r="G8" i="45"/>
  <c r="H11" i="45"/>
  <c r="E11" i="45"/>
  <c r="G11" i="45"/>
  <c r="E6" i="46"/>
  <c r="H6" i="46"/>
  <c r="G6" i="46"/>
  <c r="G13" i="46"/>
  <c r="E13" i="46"/>
  <c r="H13" i="46"/>
  <c r="G9" i="46"/>
  <c r="H9" i="46"/>
  <c r="E9" i="46"/>
  <c r="G12" i="46"/>
  <c r="H12" i="46"/>
  <c r="E12" i="46"/>
  <c r="G11" i="46"/>
  <c r="E11" i="46"/>
  <c r="H11" i="46"/>
  <c r="E10" i="46"/>
  <c r="G10" i="46"/>
  <c r="H10" i="46"/>
  <c r="G14" i="46"/>
  <c r="H14" i="46"/>
  <c r="E14" i="46"/>
  <c r="E15" i="46"/>
  <c r="H15" i="46"/>
  <c r="G15" i="46"/>
  <c r="E7" i="49"/>
  <c r="H7" i="49"/>
  <c r="G7" i="49"/>
  <c r="E10" i="49"/>
  <c r="H10" i="49"/>
  <c r="G10" i="49"/>
  <c r="G9" i="49"/>
  <c r="H9" i="49"/>
  <c r="E9" i="49"/>
  <c r="G6" i="49"/>
  <c r="E6" i="49"/>
  <c r="H6" i="49"/>
  <c r="E11" i="49"/>
  <c r="G11" i="49"/>
  <c r="H11" i="49"/>
  <c r="G8" i="49"/>
  <c r="E8" i="49"/>
  <c r="H8" i="49"/>
  <c r="E7" i="50"/>
  <c r="H7" i="50"/>
  <c r="G7" i="50"/>
  <c r="E6" i="50"/>
  <c r="H6" i="50"/>
  <c r="G6" i="50"/>
  <c r="E9" i="50"/>
  <c r="H9" i="50"/>
  <c r="G9" i="50"/>
  <c r="H8" i="51"/>
  <c r="G8" i="51"/>
  <c r="E8" i="51"/>
  <c r="E6" i="51"/>
  <c r="H6" i="51"/>
  <c r="G6" i="51"/>
  <c r="E7" i="51"/>
  <c r="G7" i="51"/>
  <c r="H7" i="51"/>
  <c r="H12" i="51"/>
  <c r="G12" i="51"/>
  <c r="E12" i="51"/>
  <c r="H13" i="51"/>
  <c r="G13" i="51"/>
  <c r="E13" i="51"/>
  <c r="G16" i="60"/>
  <c r="E16" i="60"/>
  <c r="H16" i="60"/>
  <c r="E12" i="60"/>
  <c r="H12" i="60"/>
  <c r="G12" i="60"/>
  <c r="E7" i="60"/>
  <c r="G7" i="60"/>
  <c r="H7" i="60"/>
  <c r="H10" i="60"/>
  <c r="G10" i="60"/>
  <c r="E10" i="60"/>
  <c r="E14" i="60"/>
  <c r="G14" i="60"/>
  <c r="H14" i="60"/>
  <c r="H18" i="60"/>
  <c r="G18" i="60"/>
  <c r="E18" i="60"/>
  <c r="E17" i="60"/>
  <c r="G17" i="60"/>
  <c r="H17" i="60"/>
  <c r="H13" i="60"/>
  <c r="E13" i="60"/>
  <c r="G13" i="60"/>
  <c r="G6" i="60"/>
  <c r="E6" i="60"/>
  <c r="H6" i="60"/>
  <c r="E19" i="60"/>
  <c r="H19" i="60"/>
  <c r="G19" i="60"/>
  <c r="E15" i="60"/>
  <c r="H15" i="60"/>
  <c r="G15" i="60"/>
  <c r="E11" i="60"/>
  <c r="H11" i="60"/>
  <c r="G11" i="60"/>
  <c r="G8" i="60"/>
  <c r="H8" i="60"/>
  <c r="E8" i="60"/>
</calcChain>
</file>

<file path=xl/comments1.xml><?xml version="1.0" encoding="utf-8"?>
<comments xmlns="http://schemas.openxmlformats.org/spreadsheetml/2006/main">
  <authors>
    <author>hyungshik_ju</author>
    <author>bigeyez</author>
  </authors>
  <commentList>
    <comment ref="H4" authorId="0" shapeId="0">
      <text>
        <r>
          <rPr>
            <b/>
            <sz val="9"/>
            <color indexed="81"/>
            <rFont val="Tahoma"/>
            <family val="2"/>
          </rPr>
          <t>hyungshik_ju:</t>
        </r>
        <r>
          <rPr>
            <sz val="9"/>
            <color indexed="81"/>
            <rFont val="Tahoma"/>
            <family val="2"/>
          </rPr>
          <t xml:space="preserve">
DO: Day Opening (Before or At Market Opening)
ONO: Online (From Day Opening until Market Closing)
ONT: Online (Trading Hours)
ONB: Online (From Market Opening until Daily Batch)
ALL: All Day
MC: Market Closing
DB: Daily Batch
DC: Day Closing (EOD, End of Day)</t>
        </r>
      </text>
    </comment>
    <comment ref="G31" authorId="1" shapeId="0">
      <text>
        <r>
          <rPr>
            <sz val="10"/>
            <color indexed="81"/>
            <rFont val="Times New Roman"/>
            <family val="1"/>
          </rPr>
          <t>When connected to member brokers, FOL for each instrument will be delivered at once, after which only changed information will be sent. That is why this messages is written 'B/R' on this column.</t>
        </r>
      </text>
    </comment>
  </commentList>
</comments>
</file>

<file path=xl/sharedStrings.xml><?xml version="1.0" encoding="utf-8"?>
<sst xmlns="http://schemas.openxmlformats.org/spreadsheetml/2006/main" count="2522" uniqueCount="1061">
  <si>
    <t>String</t>
  </si>
  <si>
    <t>MsgType</t>
  </si>
  <si>
    <t>Price</t>
  </si>
  <si>
    <t>Int</t>
  </si>
  <si>
    <t>BeginString</t>
  </si>
  <si>
    <t>BodyLength</t>
  </si>
  <si>
    <t>Length filed</t>
  </si>
  <si>
    <t>CheckSum</t>
  </si>
  <si>
    <t>Three byte, simple checksum</t>
  </si>
  <si>
    <t>Currency</t>
  </si>
  <si>
    <t>MsgSeqNum</t>
  </si>
  <si>
    <t>Session sequence number</t>
  </si>
  <si>
    <t>Number</t>
  </si>
  <si>
    <t>SenderCompID</t>
  </si>
  <si>
    <t>SendingTime</t>
  </si>
  <si>
    <t>Symbol</t>
  </si>
  <si>
    <t>TargetCompID</t>
  </si>
  <si>
    <t>TransactTime</t>
  </si>
  <si>
    <t>TradeDate</t>
  </si>
  <si>
    <t>LocalMktDate</t>
  </si>
  <si>
    <t>RptSeq</t>
  </si>
  <si>
    <t>Data sequential number within repeated record</t>
  </si>
  <si>
    <t>Issuer</t>
  </si>
  <si>
    <t>UTCTime</t>
  </si>
  <si>
    <t>PrevClosePx</t>
  </si>
  <si>
    <t>Prev Close Price</t>
  </si>
  <si>
    <t>MaturityMonthYear</t>
  </si>
  <si>
    <t>PutOrCall</t>
  </si>
  <si>
    <t>StrikePrice</t>
  </si>
  <si>
    <t>SecurityExchange</t>
  </si>
  <si>
    <t>CouponRate</t>
  </si>
  <si>
    <t>YYYYMMDD</t>
  </si>
  <si>
    <t>IssueDate</t>
  </si>
  <si>
    <t>ContractMultiplier</t>
  </si>
  <si>
    <t>Yield</t>
  </si>
  <si>
    <t>NoMDEntries</t>
  </si>
  <si>
    <t>MDEntryPx</t>
  </si>
  <si>
    <t>MDEntrySize</t>
  </si>
  <si>
    <t>MDUpdateAction</t>
  </si>
  <si>
    <t>MDEntryPositionNo</t>
  </si>
  <si>
    <t>BuyVolume</t>
  </si>
  <si>
    <t>SellVolume</t>
  </si>
  <si>
    <t>NumberOfOrders</t>
  </si>
  <si>
    <t>GrossTradeAmt</t>
  </si>
  <si>
    <t>TotalVolumeTraded</t>
  </si>
  <si>
    <t>MaturityDate</t>
  </si>
  <si>
    <t>TotNumReports</t>
  </si>
  <si>
    <t>SecurityStatus</t>
  </si>
  <si>
    <t>LowLimitPrice</t>
  </si>
  <si>
    <t>HighLimitPrice</t>
  </si>
  <si>
    <t>SettlMethod</t>
  </si>
  <si>
    <t>ExerciseStyle</t>
  </si>
  <si>
    <t>InvestCode</t>
  </si>
  <si>
    <t>ProductGrpID</t>
  </si>
  <si>
    <t>SessOpenCloseCode</t>
  </si>
  <si>
    <t>ReferencePrice</t>
  </si>
  <si>
    <t>EvaluationPrice</t>
  </si>
  <si>
    <t>HgstOrderPrice</t>
  </si>
  <si>
    <t>LwstOrderPrice</t>
  </si>
  <si>
    <t>ExClassType</t>
  </si>
  <si>
    <t>ListedShares</t>
  </si>
  <si>
    <t>SymbolCloseInfoPx</t>
  </si>
  <si>
    <t>VITypeCode</t>
  </si>
  <si>
    <t>VIKindCode</t>
  </si>
  <si>
    <t>VIPrice</t>
  </si>
  <si>
    <t>MarketID</t>
  </si>
  <si>
    <t>IndexsTypeCode</t>
  </si>
  <si>
    <t>SellTradeAmount</t>
  </si>
  <si>
    <t>BuyTradedAmount</t>
  </si>
  <si>
    <t>ValueIndexes</t>
  </si>
  <si>
    <t>MDEntryMMSize</t>
  </si>
  <si>
    <t>ListingDate</t>
  </si>
  <si>
    <t>FinalTradeDate</t>
  </si>
  <si>
    <t>FinalSettleDate</t>
  </si>
  <si>
    <t>OpenInterestQty</t>
  </si>
  <si>
    <t>SymbolCloseInfoYield</t>
  </si>
  <si>
    <t>ExpectedTradePx</t>
  </si>
  <si>
    <t>ExpectedTradeQty</t>
  </si>
  <si>
    <t>ExpectedTradeYield</t>
  </si>
  <si>
    <t>OpnPx</t>
  </si>
  <si>
    <t>TrdSessnHighPx</t>
  </si>
  <si>
    <t>TrdSessnLowPx</t>
  </si>
  <si>
    <t>OpnPxYld</t>
  </si>
  <si>
    <t>ClsPxYld</t>
  </si>
  <si>
    <t>Tag</t>
    <phoneticPr fontId="8" type="noConversion"/>
  </si>
  <si>
    <t>Y</t>
  </si>
  <si>
    <t>Y</t>
    <phoneticPr fontId="8" type="noConversion"/>
  </si>
  <si>
    <t>Interface System</t>
  </si>
  <si>
    <t>TO</t>
  </si>
  <si>
    <t>R
D
S</t>
  </si>
  <si>
    <t>Interface ID</t>
    <phoneticPr fontId="8" type="noConversion"/>
  </si>
  <si>
    <t>No</t>
  </si>
  <si>
    <t>Version</t>
  </si>
  <si>
    <t>Date</t>
  </si>
  <si>
    <t>Release/Revision Description</t>
  </si>
  <si>
    <t>Author</t>
  </si>
  <si>
    <t xml:space="preserve">                 </t>
    <phoneticPr fontId="8" type="noConversion"/>
  </si>
  <si>
    <t>Release/Revision history</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</si>
  <si>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</si>
  <si>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</si>
  <si>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</si>
  <si>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</si>
  <si>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</si>
  <si>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Guideline</t>
    <phoneticPr fontId="8" type="noConversion"/>
  </si>
  <si>
    <t>Interface Name</t>
    <phoneticPr fontId="8" type="noConversion"/>
  </si>
  <si>
    <t>Header</t>
    <phoneticPr fontId="8" type="noConversion"/>
  </si>
  <si>
    <t>Trailer</t>
    <phoneticPr fontId="8" type="noConversion"/>
  </si>
  <si>
    <r>
      <rPr>
        <sz val="10"/>
        <rFont val="맑은 고딕"/>
        <family val="3"/>
        <charset val="129"/>
      </rPr>
      <t>○</t>
    </r>
  </si>
  <si>
    <r>
      <rPr>
        <sz val="10"/>
        <rFont val="맑은 고딕"/>
        <family val="3"/>
        <charset val="129"/>
      </rPr>
      <t>■</t>
    </r>
  </si>
  <si>
    <t>Standard Header</t>
    <phoneticPr fontId="8" type="noConversion"/>
  </si>
  <si>
    <t>MsgType = d</t>
    <phoneticPr fontId="8" type="noConversion"/>
  </si>
  <si>
    <t>CHN</t>
  </si>
  <si>
    <t>BND</t>
  </si>
  <si>
    <t>ME</t>
  </si>
  <si>
    <t>TRS</t>
  </si>
  <si>
    <t>M
I
S</t>
  </si>
  <si>
    <t>MDS</t>
  </si>
  <si>
    <t>I
N
X</t>
  </si>
  <si>
    <t>C
S
S</t>
  </si>
  <si>
    <t>DRS</t>
  </si>
  <si>
    <t>M
S
S</t>
  </si>
  <si>
    <t>MEM</t>
  </si>
  <si>
    <t>BANK</t>
  </si>
  <si>
    <t>Tag</t>
    <phoneticPr fontId="8" type="noConversion"/>
  </si>
  <si>
    <t>Tag</t>
  </si>
  <si>
    <t>Field Name</t>
  </si>
  <si>
    <t>Req'd</t>
  </si>
  <si>
    <t>Format</t>
  </si>
  <si>
    <t>Length</t>
  </si>
  <si>
    <t>Field Meaning</t>
  </si>
  <si>
    <t>Possible Value</t>
  </si>
  <si>
    <t>Refer to 'Header' sheet of the document 'VN_MDS_DS_SystemInterfaceSpecification(FIX)'</t>
  </si>
  <si>
    <t>Time of message transmission</t>
  </si>
  <si>
    <t>YYYYMMDD HH:MM:SS.sss</t>
  </si>
  <si>
    <t>Time of execution/order creation</t>
  </si>
  <si>
    <t>Headline</t>
  </si>
  <si>
    <t>TEXT Format</t>
  </si>
  <si>
    <t>Rights type code of derivatives</t>
  </si>
  <si>
    <t>Issued date</t>
  </si>
  <si>
    <t>Data classification for an entry of market data</t>
  </si>
  <si>
    <t>Price for an entry of market data</t>
  </si>
  <si>
    <t>Size (or quantity) for an entry of market data</t>
  </si>
  <si>
    <t>Type code of update action for an entry of market data</t>
  </si>
  <si>
    <t>Position no (or level) for an entry of market data</t>
  </si>
  <si>
    <t>Trading volume in buy side</t>
  </si>
  <si>
    <t>Trading volume in sell side</t>
  </si>
  <si>
    <t>Number of orders</t>
  </si>
  <si>
    <t>Gross amount traded</t>
  </si>
  <si>
    <t>Total volume traded</t>
  </si>
  <si>
    <t>Expiration or maturity date</t>
  </si>
  <si>
    <t>Whether trading halt or not</t>
  </si>
  <si>
    <t>C: Cash
D: Physical Delivery
A: Cash + Physical Delivery
O: None</t>
  </si>
  <si>
    <t>Rights exercise type code of a derivatives</t>
  </si>
  <si>
    <t>A: American-style
E: European-style
B: Bermuda-style
Z: Etc.</t>
  </si>
  <si>
    <t xml:space="preserve">Number of listed stocks </t>
  </si>
  <si>
    <t>VI Triggering Price</t>
  </si>
  <si>
    <t>Float</t>
  </si>
  <si>
    <t>DynamicVIBasePrice</t>
  </si>
  <si>
    <t>DynamicVIDispartiyRatio</t>
  </si>
  <si>
    <t>FornInvestTypeCode</t>
  </si>
  <si>
    <t>Member ID in sell side</t>
  </si>
  <si>
    <t>Member ID in buy side</t>
  </si>
  <si>
    <t>Sequence of rank in sell side</t>
  </si>
  <si>
    <t>Sequence of rank in buy side</t>
  </si>
  <si>
    <t>Value of the index calculated</t>
  </si>
  <si>
    <t>Size of the entry provided from market makers</t>
  </si>
  <si>
    <t>Listing date of a derivative product or an instrument</t>
  </si>
  <si>
    <t>Last trading date</t>
  </si>
  <si>
    <t>Last settlement date</t>
  </si>
  <si>
    <t>SettlementPrice</t>
  </si>
  <si>
    <t>Settlement price. It will be the reference price of tomorrow of a future instrument when it has any trade since its listing</t>
  </si>
  <si>
    <t>EventKindCode</t>
  </si>
  <si>
    <t>EventOccurrenceReasonCode</t>
  </si>
  <si>
    <t>EventStartDate</t>
  </si>
  <si>
    <t>EventEndDate</t>
  </si>
  <si>
    <t>ForeignInvestorTypeCode</t>
  </si>
  <si>
    <t>Value of type code for foreign investors</t>
  </si>
  <si>
    <t>FluctuationUpperLimitIssueCount</t>
  </si>
  <si>
    <t>FluctuationUpIssueCount</t>
  </si>
  <si>
    <t>FluctuationSteadinessIssueCount</t>
  </si>
  <si>
    <t>FluctuationDownIssueCount</t>
  </si>
  <si>
    <t>FluctuationLowerLimitIssueCount</t>
  </si>
  <si>
    <t>FluctuationUpIssueVolume</t>
  </si>
  <si>
    <t>Sum of trading volumes of issues of which price is incresing or upper limit</t>
  </si>
  <si>
    <t>FluctuationDownIssueVolume</t>
  </si>
  <si>
    <t>Sum of trading volumes of issues of which price is decresing or lower limit</t>
  </si>
  <si>
    <t>FluctuationSteadinessIssueVolume</t>
  </si>
  <si>
    <t>Sum of trading volumes of issues of which price is not changed</t>
  </si>
  <si>
    <t>BondClassificationCode</t>
  </si>
  <si>
    <t>T-bills, T-Bonds, Note of the central bank, State mortgage bonds and so on.
## If CFI has a function to classify above, this item is needless</t>
  </si>
  <si>
    <t>iNAVvalue</t>
  </si>
  <si>
    <t>TrackingError</t>
  </si>
  <si>
    <t>Value of tracking error calculated</t>
  </si>
  <si>
    <t>DisparateRatio</t>
  </si>
  <si>
    <t>PriceFluctuationRatio</t>
  </si>
  <si>
    <t>Fluctuation ratio of the current price compared to the price of the previous day for a symbol</t>
  </si>
  <si>
    <t>SecurityGroupID</t>
  </si>
  <si>
    <t>Unique ID of a disclosure</t>
  </si>
  <si>
    <t>Value of type code for the language of the body text</t>
  </si>
  <si>
    <t>DataCategory</t>
  </si>
  <si>
    <t>Whether the distributed data is on batch or in realtime</t>
  </si>
  <si>
    <t>PublicInformationDate</t>
  </si>
  <si>
    <t>Date of the publication occured</t>
  </si>
  <si>
    <t>TransmissionDate</t>
  </si>
  <si>
    <t>Date of the transmission occured</t>
  </si>
  <si>
    <t>ProcessType</t>
  </si>
  <si>
    <t>Whether the distributed data is in normal or the revision version or to be deleted</t>
  </si>
  <si>
    <t>Body</t>
  </si>
  <si>
    <t>Body of disclosure</t>
  </si>
  <si>
    <t>Y</t>
    <phoneticPr fontId="148" type="noConversion"/>
  </si>
  <si>
    <t>Y</t>
    <phoneticPr fontId="148" type="noConversion"/>
  </si>
  <si>
    <t>* Specification of MsyType(35)</t>
    <phoneticPr fontId="8" type="noConversion"/>
  </si>
  <si>
    <t>d = Security Definition</t>
    <phoneticPr fontId="8" type="noConversion"/>
  </si>
  <si>
    <t>f = Secrity Status</t>
    <phoneticPr fontId="8" type="noConversion"/>
  </si>
  <si>
    <t>X = Price</t>
  </si>
  <si>
    <t>W = Price Recovery</t>
    <phoneticPr fontId="8" type="noConversion"/>
  </si>
  <si>
    <t>M1 = Index</t>
  </si>
  <si>
    <t>M2 = Investor per Industry</t>
    <phoneticPr fontId="8" type="noConversion"/>
  </si>
  <si>
    <t>M3 = Investor per Symbol</t>
    <phoneticPr fontId="8" type="noConversion"/>
  </si>
  <si>
    <t>M4 = Top N Members per Symbol</t>
    <phoneticPr fontId="8" type="noConversion"/>
  </si>
  <si>
    <t>M8 = Symbol Closing Information</t>
    <phoneticPr fontId="8" type="noConversion"/>
  </si>
  <si>
    <t>MD = Volatility Interruption</t>
    <phoneticPr fontId="8" type="noConversion"/>
  </si>
  <si>
    <t>ME = Deem Trade Price</t>
    <phoneticPr fontId="8" type="noConversion"/>
  </si>
  <si>
    <t>MF = Foreigner Order Limit</t>
    <phoneticPr fontId="8" type="noConversion"/>
  </si>
  <si>
    <t>MH = Market Maker Information</t>
  </si>
  <si>
    <t>MI = Symbol Event</t>
  </si>
  <si>
    <t>ML = Index Constituents Information</t>
  </si>
  <si>
    <t>MM = ETF iNav</t>
  </si>
  <si>
    <t>MN = ETF iIndex</t>
  </si>
  <si>
    <t>MO = ETF TrackingError</t>
  </si>
  <si>
    <t>MP = Top N Symbols with Trading Quantity</t>
    <phoneticPr fontId="8" type="noConversion"/>
  </si>
  <si>
    <t>MQ = Top N Symbols in Current Price</t>
  </si>
  <si>
    <t>MR = Top N Symbols with High Ratio of  Price</t>
    <phoneticPr fontId="8" type="noConversion"/>
  </si>
  <si>
    <t>MS = Top N Symbols with Low Ratio of  Price</t>
    <phoneticPr fontId="8" type="noConversion"/>
  </si>
  <si>
    <t>MT = Trading Result of Foreign Investors</t>
    <phoneticPr fontId="8" type="noConversion"/>
  </si>
  <si>
    <t>MU = Disclosure</t>
    <phoneticPr fontId="8" type="noConversion"/>
  </si>
  <si>
    <t>MV = Time Stamp (Polling)</t>
    <phoneticPr fontId="8" type="noConversion"/>
  </si>
  <si>
    <t>2017.06.02</t>
    <phoneticPr fontId="8" type="noConversion"/>
  </si>
  <si>
    <t>Initial Writing</t>
    <phoneticPr fontId="8" type="noConversion"/>
  </si>
  <si>
    <t>Dongeun Kim</t>
    <phoneticPr fontId="8" type="noConversion"/>
  </si>
  <si>
    <t>2017.06.05</t>
    <phoneticPr fontId="8" type="noConversion"/>
  </si>
  <si>
    <t>Revision of New Messages being Defined for Vietnam BR</t>
    <phoneticPr fontId="8" type="noConversion"/>
  </si>
  <si>
    <t>2017.07.19</t>
    <phoneticPr fontId="8" type="noConversion"/>
  </si>
  <si>
    <t>Revision of Message Structures</t>
    <phoneticPr fontId="8" type="noConversion"/>
  </si>
  <si>
    <t>2017.10.20</t>
    <phoneticPr fontId="8" type="noConversion"/>
  </si>
  <si>
    <t>Definition of Tags as Requirements and Revision of Messages</t>
    <phoneticPr fontId="8" type="noConversion"/>
  </si>
  <si>
    <t>2017.11.01</t>
    <phoneticPr fontId="8" type="noConversion"/>
  </si>
  <si>
    <t>Add the purposes in Inteface List tab
Modify the names of messages referring to the names of usecases</t>
    <phoneticPr fontId="8" type="noConversion"/>
  </si>
  <si>
    <t>0.992</t>
    <phoneticPr fontId="8" type="noConversion"/>
  </si>
  <si>
    <t>2017.11.17</t>
    <phoneticPr fontId="8" type="noConversion"/>
  </si>
  <si>
    <t>Split the 'Comment' column to 'Field Meaning' and 'Possible Value'
Fill and modify the meaning/possible value of all the words in Tag(Glossary)</t>
    <phoneticPr fontId="8" type="noConversion"/>
  </si>
  <si>
    <t>0.993</t>
    <phoneticPr fontId="8" type="noConversion"/>
  </si>
  <si>
    <t>2017.11.23</t>
    <phoneticPr fontId="8" type="noConversion"/>
  </si>
  <si>
    <t>Check the message to MSS in the interface list.</t>
    <phoneticPr fontId="8" type="noConversion"/>
  </si>
  <si>
    <t>0.994</t>
    <phoneticPr fontId="8" type="noConversion"/>
  </si>
  <si>
    <t>Information Technology Service Agreement
System Interface Specification (FIX)
for Market Data Distribution System</t>
    <phoneticPr fontId="8" type="noConversion"/>
  </si>
  <si>
    <t>Security Definition</t>
    <phoneticPr fontId="8" type="noConversion"/>
  </si>
  <si>
    <t>Security Definition</t>
    <phoneticPr fontId="8" type="noConversion"/>
  </si>
  <si>
    <t>Standard Trailer</t>
  </si>
  <si>
    <t>Interface List - MDS</t>
    <phoneticPr fontId="8" type="noConversion"/>
  </si>
  <si>
    <t>No</t>
    <phoneticPr fontId="8" type="noConversion"/>
  </si>
  <si>
    <t>TransType</t>
    <phoneticPr fontId="8" type="noConversion"/>
  </si>
  <si>
    <t>Interface ID</t>
    <phoneticPr fontId="8" type="noConversion"/>
  </si>
  <si>
    <t>Interface Name</t>
    <phoneticPr fontId="8" type="noConversion"/>
  </si>
  <si>
    <t>MsgType</t>
    <phoneticPr fontId="8" type="noConversion"/>
  </si>
  <si>
    <t>Transmission Protocol</t>
    <phoneticPr fontId="8" type="noConversion"/>
  </si>
  <si>
    <t>Purpose</t>
    <phoneticPr fontId="8" type="noConversion"/>
  </si>
  <si>
    <t>Remark</t>
    <phoneticPr fontId="8" type="noConversion"/>
  </si>
  <si>
    <t>From</t>
    <phoneticPr fontId="8" type="noConversion"/>
  </si>
  <si>
    <t>CHN</t>
    <phoneticPr fontId="8" type="noConversion"/>
  </si>
  <si>
    <t>BND</t>
    <phoneticPr fontId="8" type="noConversion"/>
  </si>
  <si>
    <t>ME</t>
    <phoneticPr fontId="8" type="noConversion"/>
  </si>
  <si>
    <t>TRS</t>
    <phoneticPr fontId="8" type="noConversion"/>
  </si>
  <si>
    <t>M
I
S</t>
    <phoneticPr fontId="8" type="noConversion"/>
  </si>
  <si>
    <t>MDS</t>
    <phoneticPr fontId="8" type="noConversion"/>
  </si>
  <si>
    <t>I
N
X</t>
    <phoneticPr fontId="8" type="noConversion"/>
  </si>
  <si>
    <t>C
S
S</t>
    <phoneticPr fontId="8" type="noConversion"/>
  </si>
  <si>
    <t>DRS</t>
    <phoneticPr fontId="8" type="noConversion"/>
  </si>
  <si>
    <t>M
S
S</t>
    <phoneticPr fontId="8" type="noConversion"/>
  </si>
  <si>
    <t>MEM</t>
    <phoneticPr fontId="8" type="noConversion"/>
  </si>
  <si>
    <t>BANK</t>
    <phoneticPr fontId="8" type="noConversion"/>
  </si>
  <si>
    <t>Tag</t>
    <phoneticPr fontId="8" type="noConversion"/>
  </si>
  <si>
    <t>-</t>
    <phoneticPr fontId="8" type="noConversion"/>
  </si>
  <si>
    <t>FIX Tag</t>
    <phoneticPr fontId="8" type="noConversion"/>
  </si>
  <si>
    <t>Header</t>
    <phoneticPr fontId="8" type="noConversion"/>
  </si>
  <si>
    <t>FIX Header</t>
    <phoneticPr fontId="8" type="noConversion"/>
  </si>
  <si>
    <t>Trailer</t>
    <phoneticPr fontId="8" type="noConversion"/>
  </si>
  <si>
    <t>FIX Trailer</t>
    <phoneticPr fontId="8" type="noConversion"/>
  </si>
  <si>
    <t>ReferenceData</t>
    <phoneticPr fontId="8" type="noConversion"/>
  </si>
  <si>
    <t>IFMDFIX0001</t>
    <phoneticPr fontId="8" type="noConversion"/>
  </si>
  <si>
    <t>d</t>
  </si>
  <si>
    <t>UDP</t>
    <phoneticPr fontId="8" type="noConversion"/>
  </si>
  <si>
    <t>Distribute reference data to receive market data for a security</t>
  </si>
  <si>
    <t>IFMDFIX0002</t>
  </si>
  <si>
    <t>Security Status</t>
    <phoneticPr fontId="8" type="noConversion"/>
  </si>
  <si>
    <t>f</t>
  </si>
  <si>
    <t>Distribute market control to change the status of a security</t>
  </si>
  <si>
    <t>IFMDFIX0004</t>
  </si>
  <si>
    <t>M7</t>
  </si>
  <si>
    <t>IFMDFIX0005</t>
  </si>
  <si>
    <t>Symbol Closing Information</t>
    <phoneticPr fontId="8" type="noConversion"/>
  </si>
  <si>
    <t>M8</t>
  </si>
  <si>
    <t>Distribute symbol closing information among market control</t>
  </si>
  <si>
    <t>IFMDFIX0006</t>
  </si>
  <si>
    <t>Volatility Interruption</t>
    <phoneticPr fontId="8" type="noConversion"/>
  </si>
  <si>
    <t>MD</t>
  </si>
  <si>
    <t>Distribute volatility interruption message among market control</t>
  </si>
  <si>
    <t>IFMDFIX0007</t>
  </si>
  <si>
    <t>Market Maker Information</t>
    <phoneticPr fontId="8" type="noConversion"/>
  </si>
  <si>
    <t>MH</t>
    <phoneticPr fontId="8" type="noConversion"/>
  </si>
  <si>
    <t>IFMDFIX0008</t>
  </si>
  <si>
    <t>Symbol Event</t>
    <phoneticPr fontId="8" type="noConversion"/>
  </si>
  <si>
    <t>MI</t>
    <phoneticPr fontId="8" type="noConversion"/>
  </si>
  <si>
    <t>IFMDFIX0009</t>
  </si>
  <si>
    <t>IFMDFIX0011</t>
  </si>
  <si>
    <t>Index Constituents Information</t>
    <phoneticPr fontId="8" type="noConversion"/>
  </si>
  <si>
    <t>ML</t>
    <phoneticPr fontId="8" type="noConversion"/>
  </si>
  <si>
    <t>MarketData</t>
  </si>
  <si>
    <t>Price</t>
    <phoneticPr fontId="8" type="noConversion"/>
  </si>
  <si>
    <t>X</t>
  </si>
  <si>
    <t>Price Recovery</t>
    <phoneticPr fontId="8" type="noConversion"/>
  </si>
  <si>
    <t>W</t>
  </si>
  <si>
    <t>Price Recovery(Bond)</t>
    <phoneticPr fontId="8" type="noConversion"/>
  </si>
  <si>
    <t>Index</t>
    <phoneticPr fontId="8" type="noConversion"/>
  </si>
  <si>
    <t>M1</t>
  </si>
  <si>
    <t>Investor per Industry</t>
    <phoneticPr fontId="8" type="noConversion"/>
  </si>
  <si>
    <t>M2</t>
  </si>
  <si>
    <t>Investor per Industry(Bond)</t>
    <phoneticPr fontId="8" type="noConversion"/>
  </si>
  <si>
    <t>Investor per Industry(Derivatives)</t>
    <phoneticPr fontId="8" type="noConversion"/>
  </si>
  <si>
    <t>Investor per Symbol</t>
    <phoneticPr fontId="8" type="noConversion"/>
  </si>
  <si>
    <t>M3</t>
  </si>
  <si>
    <t>Top N Members per Symbol</t>
    <phoneticPr fontId="8" type="noConversion"/>
  </si>
  <si>
    <t>M4</t>
  </si>
  <si>
    <t>Foreigner Order Limit</t>
    <phoneticPr fontId="8" type="noConversion"/>
  </si>
  <si>
    <t>MF</t>
  </si>
  <si>
    <t>ETF iNav</t>
    <phoneticPr fontId="8" type="noConversion"/>
  </si>
  <si>
    <t>MM</t>
    <phoneticPr fontId="8" type="noConversion"/>
  </si>
  <si>
    <t>ETF iIndex</t>
    <phoneticPr fontId="8" type="noConversion"/>
  </si>
  <si>
    <t>MN</t>
    <phoneticPr fontId="8" type="noConversion"/>
  </si>
  <si>
    <t>ETF TrackingError</t>
    <phoneticPr fontId="8" type="noConversion"/>
  </si>
  <si>
    <t>MO</t>
    <phoneticPr fontId="8" type="noConversion"/>
  </si>
  <si>
    <t>Top N Symbols with Trading Quantity</t>
    <phoneticPr fontId="8" type="noConversion"/>
  </si>
  <si>
    <t>MP</t>
    <phoneticPr fontId="8" type="noConversion"/>
  </si>
  <si>
    <t>Top N Symbols with Current Price</t>
    <phoneticPr fontId="8" type="noConversion"/>
  </si>
  <si>
    <t>MQ</t>
    <phoneticPr fontId="8" type="noConversion"/>
  </si>
  <si>
    <t>Top N Symbols with High Ratio of Price</t>
    <phoneticPr fontId="8" type="noConversion"/>
  </si>
  <si>
    <t>MR</t>
    <phoneticPr fontId="8" type="noConversion"/>
  </si>
  <si>
    <t>Top N Symbols with Low Ratio of Price</t>
    <phoneticPr fontId="8" type="noConversion"/>
  </si>
  <si>
    <t>MS</t>
    <phoneticPr fontId="8" type="noConversion"/>
  </si>
  <si>
    <t>Trading Result of Foreign Investors</t>
    <phoneticPr fontId="8" type="noConversion"/>
  </si>
  <si>
    <t>MT</t>
    <phoneticPr fontId="8" type="noConversion"/>
  </si>
  <si>
    <t>Disclosure</t>
    <phoneticPr fontId="8" type="noConversion"/>
  </si>
  <si>
    <t>MU</t>
    <phoneticPr fontId="8" type="noConversion"/>
  </si>
  <si>
    <t>Time Stamp (Polling)</t>
    <phoneticPr fontId="8" type="noConversion"/>
  </si>
  <si>
    <t>MV</t>
    <phoneticPr fontId="8" type="noConversion"/>
  </si>
  <si>
    <t>Security Status</t>
    <phoneticPr fontId="8" type="noConversion"/>
  </si>
  <si>
    <t>Interface ID</t>
    <phoneticPr fontId="8" type="noConversion"/>
  </si>
  <si>
    <t>Interface Name</t>
    <phoneticPr fontId="8" type="noConversion"/>
  </si>
  <si>
    <t>Tag</t>
    <phoneticPr fontId="8" type="noConversion"/>
  </si>
  <si>
    <t>Field Name</t>
    <phoneticPr fontId="8" type="noConversion"/>
  </si>
  <si>
    <t>Format</t>
    <phoneticPr fontId="8" type="noConversion"/>
  </si>
  <si>
    <t>Length</t>
    <phoneticPr fontId="8" type="noConversion"/>
  </si>
  <si>
    <t>Comments</t>
    <phoneticPr fontId="8" type="noConversion"/>
  </si>
  <si>
    <t>Standard Header</t>
    <phoneticPr fontId="8" type="noConversion"/>
  </si>
  <si>
    <t>Y</t>
    <phoneticPr fontId="8" type="noConversion"/>
  </si>
  <si>
    <t>MsgType = f</t>
    <phoneticPr fontId="8" type="noConversion"/>
  </si>
  <si>
    <t>Security Status</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</si>
  <si>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</si>
  <si>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</si>
  <si>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</si>
  <si>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</si>
  <si>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</si>
  <si>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</si>
  <si>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</si>
  <si>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</si>
  <si>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Standard Header</t>
    <phoneticPr fontId="8" type="noConversion"/>
  </si>
  <si>
    <t>Y</t>
    <phoneticPr fontId="8" type="noConversion"/>
  </si>
  <si>
    <t>MsgType = M7</t>
    <phoneticPr fontId="8" type="noConversion"/>
  </si>
  <si>
    <t>Symbol Closing Information</t>
    <phoneticPr fontId="8" type="noConversion"/>
  </si>
  <si>
    <t>MsgType = M8</t>
    <phoneticPr fontId="8" type="noConversion"/>
  </si>
  <si>
    <t>MsgType = MD</t>
    <phoneticPr fontId="8" type="noConversion"/>
  </si>
  <si>
    <t>Volatility Interruption</t>
    <phoneticPr fontId="8" type="noConversion"/>
  </si>
  <si>
    <t>MsgType = MH</t>
    <phoneticPr fontId="8" type="noConversion"/>
  </si>
  <si>
    <t>Symbol Event</t>
    <phoneticPr fontId="8" type="noConversion"/>
  </si>
  <si>
    <t>Standard Header</t>
    <phoneticPr fontId="8" type="noConversion"/>
  </si>
  <si>
    <t>Y</t>
    <phoneticPr fontId="8" type="noConversion"/>
  </si>
  <si>
    <t>MsgType = MI</t>
    <phoneticPr fontId="8" type="noConversion"/>
  </si>
  <si>
    <t>Index Constituents Information</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</si>
  <si>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</si>
  <si>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</si>
  <si>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</si>
  <si>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</si>
  <si>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</si>
  <si>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</si>
  <si>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</si>
  <si>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</si>
  <si>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MsgType = ML</t>
    <phoneticPr fontId="8" type="noConversion"/>
  </si>
  <si>
    <t>MsgType = X</t>
    <phoneticPr fontId="8" type="noConversion"/>
  </si>
  <si>
    <t>Price</t>
    <phoneticPr fontId="8" type="noConversion"/>
  </si>
  <si>
    <t>Repeating Group</t>
    <phoneticPr fontId="152" type="noConversion"/>
  </si>
  <si>
    <t>Price Recovery</t>
    <phoneticPr fontId="8" type="noConversion"/>
  </si>
  <si>
    <t>MsgType = W</t>
    <phoneticPr fontId="8" type="noConversion"/>
  </si>
  <si>
    <t>Repeating Group</t>
    <phoneticPr fontId="152" type="noConversion"/>
  </si>
  <si>
    <t>Price Recovery(Bond)</t>
    <phoneticPr fontId="8" type="noConversion"/>
  </si>
  <si>
    <t>Standard Header</t>
    <phoneticPr fontId="8" type="noConversion"/>
  </si>
  <si>
    <t>Y</t>
    <phoneticPr fontId="8" type="noConversion"/>
  </si>
  <si>
    <t>MsgType = W</t>
    <phoneticPr fontId="8" type="noConversion"/>
  </si>
  <si>
    <t>Index</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</si>
  <si>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</si>
  <si>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</si>
  <si>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</si>
  <si>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</si>
  <si>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</si>
  <si>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</si>
  <si>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</si>
  <si>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</si>
  <si>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Index</t>
    <phoneticPr fontId="8" type="noConversion"/>
  </si>
  <si>
    <t>Standard Header</t>
    <phoneticPr fontId="8" type="noConversion"/>
  </si>
  <si>
    <t>Y</t>
    <phoneticPr fontId="8" type="noConversion"/>
  </si>
  <si>
    <t>MsgType = M1</t>
    <phoneticPr fontId="8" type="noConversion"/>
  </si>
  <si>
    <t>Index</t>
    <phoneticPr fontId="8" type="noConversion"/>
  </si>
  <si>
    <t>Index</t>
    <phoneticPr fontId="8" type="noConversion"/>
  </si>
  <si>
    <t>Investor per Industry</t>
    <phoneticPr fontId="8" type="noConversion"/>
  </si>
  <si>
    <t>MsgType = M2</t>
    <phoneticPr fontId="8" type="noConversion"/>
  </si>
  <si>
    <t>Investor per Industry</t>
    <phoneticPr fontId="8" type="noConversion"/>
  </si>
  <si>
    <t>Investor per Industry</t>
    <phoneticPr fontId="8" type="noConversion"/>
  </si>
  <si>
    <t>Investor per Industry</t>
    <phoneticPr fontId="8" type="noConversion"/>
  </si>
  <si>
    <t>Investor per Industry</t>
    <phoneticPr fontId="8" type="noConversion"/>
  </si>
  <si>
    <t>Investor per Industry</t>
    <phoneticPr fontId="8" type="noConversion"/>
  </si>
  <si>
    <t>Investor per Industry</t>
    <phoneticPr fontId="8" type="noConversion"/>
  </si>
  <si>
    <t>Investor per Industry</t>
    <phoneticPr fontId="8" type="noConversion"/>
  </si>
  <si>
    <t>Investor per Industry(Bond)</t>
    <phoneticPr fontId="8" type="noConversion"/>
  </si>
  <si>
    <t>Investor per Industry(Bond)</t>
    <phoneticPr fontId="8" type="noConversion"/>
  </si>
  <si>
    <t>Standard Header</t>
    <phoneticPr fontId="8" type="noConversion"/>
  </si>
  <si>
    <t>Y</t>
    <phoneticPr fontId="8" type="noConversion"/>
  </si>
  <si>
    <t>MsgType = M2</t>
    <phoneticPr fontId="8" type="noConversion"/>
  </si>
  <si>
    <t>Investor per Industry(Bond)</t>
    <phoneticPr fontId="8" type="noConversion"/>
  </si>
  <si>
    <t>Investor per Industry(Derivatives)</t>
    <phoneticPr fontId="8" type="noConversion"/>
  </si>
  <si>
    <t>Standard Header</t>
    <phoneticPr fontId="8" type="noConversion"/>
  </si>
  <si>
    <t>Y</t>
    <phoneticPr fontId="8" type="noConversion"/>
  </si>
  <si>
    <t>MsgType = M2</t>
    <phoneticPr fontId="8" type="noConversion"/>
  </si>
  <si>
    <t>Investor per Industry(Derivatives)</t>
    <phoneticPr fontId="8" type="noConversion"/>
  </si>
  <si>
    <t>Investor per Industry(Derivatives)</t>
    <phoneticPr fontId="8" type="noConversion"/>
  </si>
  <si>
    <t>Investor per Industry(Derivatives)</t>
    <phoneticPr fontId="8" type="noConversion"/>
  </si>
  <si>
    <t>Investor per Symbol</t>
    <phoneticPr fontId="8" type="noConversion"/>
  </si>
  <si>
    <t>MsgType = M3</t>
    <phoneticPr fontId="8" type="noConversion"/>
  </si>
  <si>
    <t>Top N Members per Symbol</t>
    <phoneticPr fontId="8" type="noConversion"/>
  </si>
  <si>
    <t>MsgType = M4</t>
    <phoneticPr fontId="8" type="noConversion"/>
  </si>
  <si>
    <t>Top N Members per Symbol</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</si>
  <si>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</si>
  <si>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</si>
  <si>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</si>
  <si>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</si>
  <si>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</si>
  <si>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</si>
  <si>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</si>
  <si>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</si>
  <si>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Standard Header</t>
    <phoneticPr fontId="8" type="noConversion"/>
  </si>
  <si>
    <t>Y</t>
    <phoneticPr fontId="8" type="noConversion"/>
  </si>
  <si>
    <t>MsgType = ME</t>
    <phoneticPr fontId="8" type="noConversion"/>
  </si>
  <si>
    <t>Foreigner Order Limit</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</si>
  <si>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</si>
  <si>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</si>
  <si>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</si>
  <si>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</si>
  <si>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</si>
  <si>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</si>
  <si>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</si>
  <si>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</si>
  <si>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MsgType = MF</t>
    <phoneticPr fontId="8" type="noConversion"/>
  </si>
  <si>
    <t>Foreigner Order Limit</t>
    <phoneticPr fontId="8" type="noConversion"/>
  </si>
  <si>
    <t>Standard Header</t>
    <phoneticPr fontId="8" type="noConversion"/>
  </si>
  <si>
    <t>Y</t>
    <phoneticPr fontId="8" type="noConversion"/>
  </si>
  <si>
    <t>MsgType = MM</t>
    <phoneticPr fontId="8" type="noConversion"/>
  </si>
  <si>
    <t>ETF iNav</t>
    <phoneticPr fontId="8" type="noConversion"/>
  </si>
  <si>
    <t>MsgType = MN</t>
    <phoneticPr fontId="8" type="noConversion"/>
  </si>
  <si>
    <t>ETF TrackingError</t>
    <phoneticPr fontId="8" type="noConversion"/>
  </si>
  <si>
    <t>MsgType = MO</t>
    <phoneticPr fontId="8" type="noConversion"/>
  </si>
  <si>
    <t>MsgType = MP</t>
    <phoneticPr fontId="8" type="noConversion"/>
  </si>
  <si>
    <t>Top N Symbols with Trading Quantity</t>
    <phoneticPr fontId="8" type="noConversion"/>
  </si>
  <si>
    <t>Top N Symbols with Trading Quantity</t>
    <phoneticPr fontId="8" type="noConversion"/>
  </si>
  <si>
    <t>Top N Symbols with Current Price</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</si>
  <si>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</si>
  <si>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</si>
  <si>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</si>
  <si>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</si>
  <si>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</si>
  <si>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</si>
  <si>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</si>
  <si>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</si>
  <si>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MsgType = MQ</t>
    <phoneticPr fontId="8" type="noConversion"/>
  </si>
  <si>
    <t>Top N Symbols with High Ratio of Price</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</si>
  <si>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</si>
  <si>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</si>
  <si>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</si>
  <si>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</si>
  <si>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</si>
  <si>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</si>
  <si>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</si>
  <si>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</si>
  <si>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Top N Symbols with High Ratio of Price</t>
    <phoneticPr fontId="8" type="noConversion"/>
  </si>
  <si>
    <t>Standard Header</t>
    <phoneticPr fontId="8" type="noConversion"/>
  </si>
  <si>
    <t>Y</t>
    <phoneticPr fontId="8" type="noConversion"/>
  </si>
  <si>
    <t>MsgType = MR</t>
    <phoneticPr fontId="8" type="noConversion"/>
  </si>
  <si>
    <t>Top N Symbols with High Ratio of Price</t>
    <phoneticPr fontId="8" type="noConversion"/>
  </si>
  <si>
    <t>Top N Symbols with High Ratio of Price</t>
    <phoneticPr fontId="8" type="noConversion"/>
  </si>
  <si>
    <t>Top N Symbols with Low Ratio of Price</t>
    <phoneticPr fontId="8" type="noConversion"/>
  </si>
  <si>
    <t>MsgType = MS</t>
    <phoneticPr fontId="8" type="noConversion"/>
  </si>
  <si>
    <t>Trading Result of Foreign Investors</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</si>
  <si>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</si>
  <si>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</si>
  <si>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</si>
  <si>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</si>
  <si>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</si>
  <si>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</si>
  <si>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</si>
  <si>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</si>
  <si>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Trading Result of Foreign Investors</t>
    <phoneticPr fontId="8" type="noConversion"/>
  </si>
  <si>
    <t>Standard Header</t>
    <phoneticPr fontId="8" type="noConversion"/>
  </si>
  <si>
    <t>Y</t>
    <phoneticPr fontId="8" type="noConversion"/>
  </si>
  <si>
    <t>MsgType = MT</t>
    <phoneticPr fontId="8" type="noConversion"/>
  </si>
  <si>
    <t>Disclosure</t>
    <phoneticPr fontId="8" type="noConversion"/>
  </si>
  <si>
    <t>MsgType = MU</t>
    <phoneticPr fontId="8" type="noConversion"/>
  </si>
  <si>
    <t>Time Stamp (Polling)</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</si>
  <si>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</si>
  <si>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</si>
  <si>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</si>
  <si>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</si>
  <si>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</si>
  <si>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</si>
  <si>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</si>
  <si>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</si>
  <si>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Time Stamp (Polling)</t>
    <phoneticPr fontId="8" type="noConversion"/>
  </si>
  <si>
    <t>Standard Header</t>
    <phoneticPr fontId="8" type="noConversion"/>
  </si>
  <si>
    <t>Y</t>
    <phoneticPr fontId="8" type="noConversion"/>
  </si>
  <si>
    <t>MsgType = MV</t>
    <phoneticPr fontId="8" type="noConversion"/>
  </si>
  <si>
    <t>N</t>
    <phoneticPr fontId="8" type="noConversion"/>
  </si>
  <si>
    <t>Y</t>
    <phoneticPr fontId="8" type="noConversion"/>
  </si>
  <si>
    <t>Security Definition</t>
    <phoneticPr fontId="8" type="noConversion"/>
  </si>
  <si>
    <t>Top N Members per Symbol</t>
    <phoneticPr fontId="8" type="noConversion"/>
  </si>
  <si>
    <t>Distribute market maker information where the unit of contracts is symbol for stock/bond market and is product for derivatives</t>
    <phoneticPr fontId="8" type="noConversion"/>
  </si>
  <si>
    <t>Distribute symbol event for each symbol and the reason of the event for Stock market</t>
    <phoneticPr fontId="8" type="noConversion"/>
  </si>
  <si>
    <t>Distribute the list of constituent securities for each index</t>
    <phoneticPr fontId="8" type="noConversion"/>
  </si>
  <si>
    <t>Distribute price recovery periodically (automatically)</t>
    <phoneticPr fontId="8" type="noConversion"/>
  </si>
  <si>
    <t>Distribute price recovery with yield periodically (automatically)</t>
    <phoneticPr fontId="8" type="noConversion"/>
  </si>
  <si>
    <t>Distribute index periodically during trading time and EOD(from the end of the maket to termination of process)
The indices which are calculated only in EOD are distributed by batch process</t>
    <phoneticPr fontId="8" type="noConversion"/>
  </si>
  <si>
    <t>Distribute sum of trade by investor in the structures repeated for each industry</t>
    <phoneticPr fontId="8" type="noConversion"/>
  </si>
  <si>
    <t>Distribute sum of trade by investor in the structures repeated for each bond cartegory</t>
    <phoneticPr fontId="8" type="noConversion"/>
  </si>
  <si>
    <t>Distribute sum of trade by investor in the structures repeated for each future/option market</t>
    <phoneticPr fontId="8" type="noConversion"/>
  </si>
  <si>
    <t>Distribute sum of trade by investor in the structures repeated for each symbol</t>
    <phoneticPr fontId="8" type="noConversion"/>
  </si>
  <si>
    <t>Distribute top N members in the structures repeated for each symbol</t>
    <phoneticPr fontId="8" type="noConversion"/>
  </si>
  <si>
    <t>Distribute deem trade price with yield for pre-opening session</t>
    <phoneticPr fontId="8" type="noConversion"/>
  </si>
  <si>
    <t>Distribute the limited quantity to order by foreigners which is changed by orders and executions for each symbol</t>
    <phoneticPr fontId="8" type="noConversion"/>
  </si>
  <si>
    <t>Distribute tracking error calculated for each ETF symbol</t>
    <phoneticPr fontId="8" type="noConversion"/>
  </si>
  <si>
    <t>Distribute iNav calculated periodically for each ETF symbol</t>
    <phoneticPr fontId="8" type="noConversion"/>
  </si>
  <si>
    <t>Distribute iIndex calculated periodically for each ETF symbol</t>
    <phoneticPr fontId="8" type="noConversion"/>
  </si>
  <si>
    <t>Distribute top N symbols with trading quantity in the structures repeated N times for each market</t>
    <phoneticPr fontId="8" type="noConversion"/>
  </si>
  <si>
    <t>Distribute top N symbols with current price in the structures repeated N times for each market</t>
    <phoneticPr fontId="8" type="noConversion"/>
  </si>
  <si>
    <t>Distribute top N symbols with high ratio of price in the structures repeated N times for each market</t>
    <phoneticPr fontId="8" type="noConversion"/>
  </si>
  <si>
    <t>Distribute top N symbols with low ratio of price in the structures repeated N times for each market</t>
    <phoneticPr fontId="8" type="noConversion"/>
  </si>
  <si>
    <t>Distribute sum of trade by foreign investor in the structures repeated for each type code of foreign investors</t>
    <phoneticPr fontId="8" type="noConversion"/>
  </si>
  <si>
    <t>Distribute disclosure received from legacy disclosure system and MDIS</t>
    <phoneticPr fontId="8" type="noConversion"/>
  </si>
  <si>
    <t>Distribute time stamp to check polling for each physical network line</t>
    <phoneticPr fontId="8" type="noConversion"/>
  </si>
  <si>
    <t>StaticVIBasePrice</t>
  </si>
  <si>
    <t>BS : Board Start
BE : Board End
SS : Session Start
SE : Session End
SH : Session Halt
SR : Session Restart</t>
    <phoneticPr fontId="8" type="noConversion"/>
  </si>
  <si>
    <t>Y</t>
    <phoneticPr fontId="8" type="noConversion"/>
  </si>
  <si>
    <t>MW</t>
    <phoneticPr fontId="8" type="noConversion"/>
  </si>
  <si>
    <t>UDP</t>
    <phoneticPr fontId="8" type="noConversion"/>
  </si>
  <si>
    <t>Random End</t>
    <phoneticPr fontId="8" type="noConversion"/>
  </si>
  <si>
    <t>Random End</t>
    <phoneticPr fontId="8" type="noConversion"/>
  </si>
  <si>
    <t>Distribute the information of random end when the random end occurs by conditional trigger</t>
    <phoneticPr fontId="8" type="noConversion"/>
  </si>
  <si>
    <t>Random End</t>
    <phoneticPr fontId="8" type="noConversion"/>
  </si>
  <si>
    <t>Available low limit price for the tradig day</t>
  </si>
  <si>
    <t>Available high limit price for the tradig day</t>
  </si>
  <si>
    <t>0.995</t>
    <phoneticPr fontId="8" type="noConversion"/>
  </si>
  <si>
    <t>2017.12.06</t>
    <phoneticPr fontId="8" type="noConversion"/>
  </si>
  <si>
    <t>1. Modify the definition of tag NoMDEntries(268) and MarketMakerContractCode(30574)
2. Add a new message 'Random End' and add 'Random End Triggering Condition Code' in the definition of Security Definition with related tags
3. Delete 'UnderlyingSecurityID' in the definition of Security Definition, and delete 'BoardEvtID' and 'BoardEvtStartTime' in the definition of Security Status
4. Add 'English Symbol' and 'VWAP' to Tag(Glossary) and Security Definition
5. Update values of user-defined tags from 8000/10000 to 20000/30000
6. Update the Online/Batch type value of Index and Disclosure in Interface List
7. Synchronize the definition of tags with the specification document from trading channel</t>
    <phoneticPr fontId="8" type="noConversion"/>
  </si>
  <si>
    <t>Update the purposes into detail in Interface List tab
Update 'Required' fileds in each interface definition tab</t>
  </si>
  <si>
    <t>2017.12.15</t>
    <phoneticPr fontId="8" type="noConversion"/>
  </si>
  <si>
    <t>0.996</t>
    <phoneticPr fontId="8" type="noConversion"/>
  </si>
  <si>
    <t>SellMemberNo</t>
    <phoneticPr fontId="8" type="noConversion"/>
  </si>
  <si>
    <t>Issuer's unique ID</t>
    <phoneticPr fontId="8" type="noConversion"/>
  </si>
  <si>
    <t>The unique ID assigned by Exchange</t>
  </si>
  <si>
    <t>Lowest price during that day</t>
  </si>
  <si>
    <t>Highest price during that day</t>
  </si>
  <si>
    <t>The first price during that day</t>
  </si>
  <si>
    <t>Reason for designating a specific event (trading halt, administrative instrument, etc.) to an instrument or a product</t>
  </si>
  <si>
    <t>Final yield of a bond calculated using the closing price of that day</t>
  </si>
  <si>
    <t>Rate of return of a bond. Coupon Rate = Annual Interest Payments / Par Value</t>
  </si>
  <si>
    <t>Open interest quantity</t>
  </si>
  <si>
    <t>Exercise (strike) price of options or Subscription Warrant</t>
  </si>
  <si>
    <t>Ending date of an event</t>
  </si>
  <si>
    <t>Starting date of an event</t>
  </si>
  <si>
    <t>Security group ID (Stock, Investment Trust, Futures, Option,  etc.)</t>
  </si>
  <si>
    <t>ID for identifying the market</t>
  </si>
  <si>
    <t>Trading value in ask side</t>
  </si>
  <si>
    <t>Trading value in bid side</t>
  </si>
  <si>
    <t>Total quantity of remaining orders in ask side</t>
  </si>
  <si>
    <t>Total quantity of remaining orders in bid side</t>
  </si>
  <si>
    <t>Valid count of orders in ask side</t>
  </si>
  <si>
    <t>Valid count of orders in bid side</t>
  </si>
  <si>
    <t>Deemed trading price</t>
  </si>
  <si>
    <t/>
  </si>
  <si>
    <t xml:space="preserve">Yield of deemed trading price </t>
  </si>
  <si>
    <t>Yield rate for opening price</t>
  </si>
  <si>
    <t>Yield rate for high price</t>
  </si>
  <si>
    <t>Yield rate for low price</t>
  </si>
  <si>
    <t>Indicative Net Asset Value</t>
  </si>
  <si>
    <t>2018.01.12</t>
    <phoneticPr fontId="8" type="noConversion"/>
  </si>
  <si>
    <t>1. Update the entire Field Meanings of the sheet Tag(Glossary) based on other output documents
2. Add SymbolCloseInfoPxType(20027) to the definition of Security Definition
3. Modify the Field Meaning and length of TotalPage(30606) and CurrentPage(30607), and add those fields to 'Index Constituents Information' message</t>
    <phoneticPr fontId="8" type="noConversion"/>
  </si>
  <si>
    <t>0.997</t>
    <phoneticPr fontId="8" type="noConversion"/>
  </si>
  <si>
    <t>2018.01.19</t>
    <phoneticPr fontId="8" type="noConversion"/>
  </si>
  <si>
    <t>MX</t>
    <phoneticPr fontId="8" type="noConversion"/>
  </si>
  <si>
    <t>Price Limit Expansion</t>
    <phoneticPr fontId="8" type="noConversion"/>
  </si>
  <si>
    <t>Distribute expansion information of price limit when occurred by market control</t>
    <phoneticPr fontId="8" type="noConversion"/>
  </si>
  <si>
    <t>Product is a layer or unit to define or manage rules of trading, clearing and settlement, instrument creating, calculating statistics, etc. Product ID is assigned to Product ID created by combination of exchange, market, security group, underlying asset and currency</t>
    <phoneticPr fontId="8" type="noConversion"/>
  </si>
  <si>
    <t>ProductID</t>
    <phoneticPr fontId="8" type="noConversion"/>
  </si>
  <si>
    <t>MsgType = MW</t>
    <phoneticPr fontId="8" type="noConversion"/>
  </si>
  <si>
    <t>MsgType = MX</t>
    <phoneticPr fontId="8" type="noConversion"/>
  </si>
  <si>
    <t>Security Information Notification</t>
    <phoneticPr fontId="8" type="noConversion"/>
  </si>
  <si>
    <t>Security Information Notification</t>
    <phoneticPr fontId="8" type="noConversion"/>
  </si>
  <si>
    <t>Distribute determination/notification of reference price, valuation price, or list of shares among market control</t>
    <phoneticPr fontId="8" type="noConversion"/>
  </si>
  <si>
    <t>N</t>
    <phoneticPr fontId="8" type="noConversion"/>
  </si>
  <si>
    <t>* Member side,
VOTGW = HOSE FIX gateway
VXTGW = HNX FIX gateway</t>
    <phoneticPr fontId="8" type="noConversion"/>
  </si>
  <si>
    <t>Indicates local date of trade refereneced in this message in YYYYMMDD format.</t>
  </si>
  <si>
    <t>Number(Depth) of market data entries repeated as following</t>
    <phoneticPr fontId="8" type="noConversion"/>
  </si>
  <si>
    <t>Trading Session</t>
    <phoneticPr fontId="8" type="noConversion"/>
  </si>
  <si>
    <t>The quantity of trading objects (in case of derivatives, underlying assets) per unit trade or contract. For example, 500 point for index, 100 shares for stock, 100,000 amount for bond or foreign currency, 10kg for gold. In case of derivatives it is the basis of physical delivery</t>
    <phoneticPr fontId="8" type="noConversion"/>
  </si>
  <si>
    <t>MemberNo</t>
    <phoneticPr fontId="8" type="noConversion"/>
  </si>
  <si>
    <t>SymbolCloseInfoPxType</t>
    <phoneticPr fontId="8" type="noConversion"/>
  </si>
  <si>
    <t>1 = Static VI
2 = Dynamic VI
3 = Static VI + Dynamic VI</t>
    <phoneticPr fontId="8" type="noConversion"/>
  </si>
  <si>
    <t>StaticVIDispartiyRatio</t>
    <phoneticPr fontId="8" type="noConversion"/>
  </si>
  <si>
    <t>String</t>
    <phoneticPr fontId="8" type="noConversion"/>
  </si>
  <si>
    <t>BuyMemberNo</t>
    <phoneticPr fontId="8" type="noConversion"/>
  </si>
  <si>
    <t>SellRankSeq</t>
    <phoneticPr fontId="8" type="noConversion"/>
  </si>
  <si>
    <t>BuyRankSeq</t>
    <phoneticPr fontId="8" type="noConversion"/>
  </si>
  <si>
    <t>MarketMakerContractCode</t>
    <phoneticPr fontId="8" type="noConversion"/>
  </si>
  <si>
    <t>Event code for such as trading halt, low liquidation and so forth. Code '91' (Trading Halt for Repo) is only used in Gateway Repo trading system, not the Terminal Repo trading system</t>
    <phoneticPr fontId="8" type="noConversion"/>
  </si>
  <si>
    <t>01: Trading Halt
04: Liquidation Trading
91: Trading Halt for Repo</t>
    <phoneticPr fontId="8" type="noConversion"/>
  </si>
  <si>
    <t>Value of disparate ratio for the tracking error which is calculated by closing price of the ETF - NAV</t>
    <phoneticPr fontId="8" type="noConversion"/>
  </si>
  <si>
    <t>1: Vietnamese
2: English</t>
    <phoneticPr fontId="8" type="noConversion"/>
  </si>
  <si>
    <t>1: Batch
2: Realtime</t>
    <phoneticPr fontId="8" type="noConversion"/>
  </si>
  <si>
    <t>1: Normal
2: Revision
3: Deleted</t>
    <phoneticPr fontId="8" type="noConversion"/>
  </si>
  <si>
    <t>RandomEndTriggeringConditionCode</t>
    <phoneticPr fontId="8" type="noConversion"/>
  </si>
  <si>
    <t>Conditions for triggering random-end at the end of every call auction session. In case of  code '2' (Conditional Triggering) the actual triggering is conducted after checking if price conditions meet the 'Random End Rule'</t>
    <phoneticPr fontId="8" type="noConversion"/>
  </si>
  <si>
    <t>0: Not Trigger
1: Unconditional Trigger
2: Conditional Trigger</t>
    <phoneticPr fontId="8" type="noConversion"/>
  </si>
  <si>
    <t>RandomEndApplyClassification</t>
    <phoneticPr fontId="8" type="noConversion"/>
  </si>
  <si>
    <t>Value of type code for applying or releasing random end</t>
    <phoneticPr fontId="8" type="noConversion"/>
  </si>
  <si>
    <t>1: Opening call auction session RE set 
2: Opening call auction session RE release 
3: Closing single price auction session RE set 
4: Closing single price auction session RE release
5: Post-market off-hour RE set
6: Post-market off-hour RE release</t>
    <phoneticPr fontId="8" type="noConversion"/>
  </si>
  <si>
    <t>RandomEndTentativeExecutionPrice</t>
    <phoneticPr fontId="8" type="noConversion"/>
  </si>
  <si>
    <t>Tentative price of the execution in the call auction when the random end is applied</t>
    <phoneticPr fontId="8" type="noConversion"/>
  </si>
  <si>
    <t>RandomEndEstimatedHighestPrice</t>
    <phoneticPr fontId="8" type="noConversion"/>
  </si>
  <si>
    <t>Estimated highest price in the call auction when the random end is applied</t>
    <phoneticPr fontId="8" type="noConversion"/>
  </si>
  <si>
    <t>RandomEndEstimatedHighestPriceDisparateRatio</t>
    <phoneticPr fontId="8" type="noConversion"/>
  </si>
  <si>
    <t>Float</t>
    <phoneticPr fontId="8" type="noConversion"/>
  </si>
  <si>
    <t>Disparate ration between estimated the highest price and tentative price in a call auction</t>
    <phoneticPr fontId="8" type="noConversion"/>
  </si>
  <si>
    <t>RandomEndEstimatedLowestPrice</t>
    <phoneticPr fontId="8" type="noConversion"/>
  </si>
  <si>
    <t>Estimated lowest price in the call auction when the random end is applied</t>
    <phoneticPr fontId="8" type="noConversion"/>
  </si>
  <si>
    <t>RandomEndEstimatedLowestPriceDisparateRatio</t>
    <phoneticPr fontId="8" type="noConversion"/>
  </si>
  <si>
    <t>Disparate ration between estimated the lowest price and tentative price in a call auction</t>
    <phoneticPr fontId="8" type="noConversion"/>
  </si>
  <si>
    <t>LatestPrice</t>
    <phoneticPr fontId="8" type="noConversion"/>
  </si>
  <si>
    <t>Price of the latest execution before the call auction</t>
    <phoneticPr fontId="8" type="noConversion"/>
  </si>
  <si>
    <t>LatestPriceDisparateRatio</t>
    <phoneticPr fontId="8" type="noConversion"/>
  </si>
  <si>
    <t>Disparate ration between the latest execution price and tentative price in a call auction</t>
    <phoneticPr fontId="8" type="noConversion"/>
  </si>
  <si>
    <t>Time of releasing the random end</t>
    <phoneticPr fontId="8" type="noConversion"/>
  </si>
  <si>
    <t>HHmmSSsss</t>
    <phoneticPr fontId="8" type="noConversion"/>
  </si>
  <si>
    <t>VWAP</t>
    <phoneticPr fontId="8" type="noConversion"/>
  </si>
  <si>
    <t xml:space="preserve">0 = New </t>
    <phoneticPr fontId="8" type="noConversion"/>
  </si>
  <si>
    <t>TotalMsgNo</t>
    <phoneticPr fontId="8" type="noConversion"/>
  </si>
  <si>
    <t>CurrentMsgNo</t>
    <phoneticPr fontId="8" type="noConversion"/>
  </si>
  <si>
    <t>0.9971</t>
    <phoneticPr fontId="8" type="noConversion"/>
  </si>
  <si>
    <t>2018.02.09</t>
    <phoneticPr fontId="8" type="noConversion"/>
  </si>
  <si>
    <t>Y = Halt
N = Not Halt</t>
    <phoneticPr fontId="8" type="noConversion"/>
  </si>
  <si>
    <t>0: Not Foreigner(local)
1: Foreigner</t>
    <phoneticPr fontId="8" type="noConversion"/>
  </si>
  <si>
    <t>Symbolic characters of an instrument. It might be used as ticker code (a.k.a. trading code, local code, stock code, bond code and so forth)</t>
  </si>
  <si>
    <t>BoardID</t>
    <phoneticPr fontId="8" type="noConversion"/>
  </si>
  <si>
    <r>
      <t>1. Modify the field meaning of ForeignerOrderLimitQty(30558) in Tag(Glossary)</t>
    </r>
    <r>
      <rPr>
        <sz val="10"/>
        <rFont val="바탕"/>
        <family val="1"/>
        <charset val="129"/>
      </rPr>
      <t xml:space="preserve">
</t>
    </r>
    <r>
      <rPr>
        <sz val="10"/>
        <rFont val="Times New Roman"/>
        <family val="1"/>
      </rPr>
      <t>2. Remove the possible values of Tag(Glossary) that are not used in VN system.
3. Remove ForeignerLimitRatio(30598) from the message 'Foreigner Order Limit(MF)'
4. Modify the tag name of 30606, 30607 for more general meaning.
5. Delete the message Open Interest(type=MA) due to the modification of business in VSD.</t>
    </r>
    <phoneticPr fontId="8" type="noConversion"/>
  </si>
  <si>
    <t>MDEntryYield</t>
    <phoneticPr fontId="8" type="noConversion"/>
  </si>
  <si>
    <t>23(18.4)</t>
    <phoneticPr fontId="8" type="noConversion"/>
  </si>
  <si>
    <t>10(6.2)</t>
    <phoneticPr fontId="8" type="noConversion"/>
  </si>
  <si>
    <t>13(5.6)</t>
    <phoneticPr fontId="8" type="noConversion"/>
  </si>
  <si>
    <t>15(9.4)</t>
    <phoneticPr fontId="8" type="noConversion"/>
  </si>
  <si>
    <t>24(18.4)</t>
    <phoneticPr fontId="8" type="noConversion"/>
  </si>
  <si>
    <t>18(9.8)</t>
    <phoneticPr fontId="8" type="noConversion"/>
  </si>
  <si>
    <t>24(16.6)</t>
    <phoneticPr fontId="8" type="noConversion"/>
  </si>
  <si>
    <t>Indicates Product Group ID which is defined in the trading system. Product Group is a group of Products that share the trading schedule.</t>
    <phoneticPr fontId="8" type="noConversion"/>
  </si>
  <si>
    <t>Yield to maturity based on Reference Price</t>
    <phoneticPr fontId="8" type="noConversion"/>
  </si>
  <si>
    <t>Reference price of a given instrument. Price limit is determined based on this price.</t>
    <phoneticPr fontId="8" type="noConversion"/>
  </si>
  <si>
    <t>Indicates dynamic VI reference price. Price range for dynamic VI is determined based on this price, and dynamic VI is activated when an order is about to be executed outside the VI price range.</t>
    <phoneticPr fontId="8" type="noConversion"/>
  </si>
  <si>
    <t>Indicates dynamic VI activation ratio expressed in percent. Dynamic VI price range is defined as range from Dynamic VI reference price plus/minus this ratio. For example, if Dynamic VI reference price is 1000 and this ratio is 2, then Dynamic VI price range is from 980 to 1020.</t>
    <phoneticPr fontId="8" type="noConversion"/>
  </si>
  <si>
    <t>1. Disclosure : Total message number of messages for a discosure when the length of text is over the size
2. Index Constituents Information : Total number of contituents for an index</t>
    <phoneticPr fontId="8" type="noConversion"/>
  </si>
  <si>
    <t>1. Disclosure : Current message number of messages for a disclosure when the length of text is over the size
2. Index Constituents Information : Current sequence number of contituents for an index</t>
    <phoneticPr fontId="8" type="noConversion"/>
  </si>
  <si>
    <t>SellTotOrderQty</t>
    <phoneticPr fontId="8" type="noConversion"/>
  </si>
  <si>
    <t>BuyTotOrderQty</t>
  </si>
  <si>
    <t>SellValidOrderCnt</t>
    <phoneticPr fontId="8" type="noConversion"/>
  </si>
  <si>
    <t>BuyValidOrderCnt</t>
  </si>
  <si>
    <t>Number of security of which price is upper limit</t>
  </si>
  <si>
    <t>Number of security of which price is increasing</t>
  </si>
  <si>
    <t>Number of security of which price is not changed</t>
  </si>
  <si>
    <t>Number of security of which price is decreasing</t>
  </si>
  <si>
    <t>Number of security of which price is lower limit</t>
  </si>
  <si>
    <t>Yield of the entry. Bond market only.</t>
    <phoneticPr fontId="8" type="noConversion"/>
  </si>
  <si>
    <t>Distribute the repeated structures of best orders in levels for best order messages, and distribute repeated structures of the execution/opening/highest/lowest price for trade messages</t>
    <phoneticPr fontId="8" type="noConversion"/>
  </si>
  <si>
    <t>IFMDFIX0003</t>
  </si>
  <si>
    <t>IFMDFIX0010</t>
  </si>
  <si>
    <t>2018.02.20</t>
    <phoneticPr fontId="8" type="noConversion"/>
  </si>
  <si>
    <t>N</t>
    <phoneticPr fontId="8" type="noConversion"/>
  </si>
  <si>
    <t>N</t>
    <phoneticPr fontId="8" type="noConversion"/>
  </si>
  <si>
    <t>N</t>
    <phoneticPr fontId="8" type="noConversion"/>
  </si>
  <si>
    <t>N</t>
    <phoneticPr fontId="8" type="noConversion"/>
  </si>
  <si>
    <t>Deem Trade Price</t>
    <phoneticPr fontId="8" type="noConversion"/>
  </si>
  <si>
    <t>Deem Trade Price</t>
    <phoneticPr fontId="8" type="noConversion"/>
  </si>
  <si>
    <t>1. Merge the definition of the messages Price + Price(Bond), Deem Trade Price + Deem Trade Price(Bond)
2. Rollback the modification 1. and 2. in the version 0.9973; SecurityID(48) =&gt; Symbol(55), Symbol(55) =&gt; EnglishSymbol(30624)
3. Delete SecurityIDSource(22) in the Tag(Glossary) and all the definitions</t>
    <phoneticPr fontId="8" type="noConversion"/>
  </si>
  <si>
    <t>0.998</t>
    <phoneticPr fontId="8" type="noConversion"/>
  </si>
  <si>
    <t>2018.02.27</t>
    <phoneticPr fontId="8" type="noConversion"/>
  </si>
  <si>
    <t>TickerCode</t>
    <phoneticPr fontId="8" type="noConversion"/>
  </si>
  <si>
    <t>0.9981</t>
    <phoneticPr fontId="8" type="noConversion"/>
  </si>
  <si>
    <t>2018.03.02</t>
    <phoneticPr fontId="8" type="noConversion"/>
  </si>
  <si>
    <t>SymbolShortCode</t>
    <phoneticPr fontId="8" type="noConversion"/>
  </si>
  <si>
    <t>String</t>
    <phoneticPr fontId="8" type="noConversion"/>
  </si>
  <si>
    <t>A short unique code for an instrument which is determined at exchange and used for more convenience than 12-digit instrument code (ISIN code). It may be used as a part of Repo instrument's ISIN code</t>
  </si>
  <si>
    <t>SymbolName</t>
    <phoneticPr fontId="8" type="noConversion"/>
  </si>
  <si>
    <t>SymbolEnglishName</t>
    <phoneticPr fontId="8" type="noConversion"/>
  </si>
  <si>
    <t>Instrument name</t>
  </si>
  <si>
    <t>Instrument English name</t>
  </si>
  <si>
    <t>The unique code of an issue (a.k.a. instrument or symbol). Generally it is ISIN code but in case of Repo market it is defined as the exchange staffs want</t>
    <phoneticPr fontId="8" type="noConversion"/>
  </si>
  <si>
    <t>1. Change the field name of EnglishSymbol(30624) to TickerCode(30624)
2. Add new tags SymbolShortCode(30628), SymbolName(30629), SymbolEnglishName(30630)
3. Add SymbolShortCode(30628), SymbolName(30629), SymbolEnglishName(30630) and remove SecurityDesc(107) in the definition of 'SecurityDefinition'
4. Modify the field meaning of Symbol(55)</t>
    <phoneticPr fontId="8" type="noConversion"/>
  </si>
  <si>
    <t>0.9982</t>
    <phoneticPr fontId="8" type="noConversion"/>
  </si>
  <si>
    <t>15 (9.4)</t>
    <phoneticPr fontId="8" type="noConversion"/>
  </si>
  <si>
    <t>ContractSize</t>
    <phoneticPr fontId="8" type="noConversion"/>
  </si>
  <si>
    <t>Int</t>
    <phoneticPr fontId="8" type="noConversion"/>
  </si>
  <si>
    <t>Price</t>
    <phoneticPr fontId="8" type="noConversion"/>
  </si>
  <si>
    <t>Float</t>
    <phoneticPr fontId="8" type="noConversion"/>
  </si>
  <si>
    <t>14(7.5)</t>
    <phoneticPr fontId="8" type="noConversion"/>
  </si>
  <si>
    <t>22(12.8)</t>
    <phoneticPr fontId="8" type="noConversion"/>
  </si>
  <si>
    <t>23(18.4)</t>
    <phoneticPr fontId="8" type="noConversion"/>
  </si>
  <si>
    <t>TrdSessnHighPxYld</t>
    <phoneticPr fontId="8" type="noConversion"/>
  </si>
  <si>
    <t>TrdSessnLowPxYld</t>
    <phoneticPr fontId="8" type="noConversion"/>
  </si>
  <si>
    <t>21(12.8)</t>
    <phoneticPr fontId="8" type="noConversion"/>
  </si>
  <si>
    <t>0.9974</t>
    <phoneticPr fontId="8" type="noConversion"/>
  </si>
  <si>
    <t>2018.03.09</t>
    <phoneticPr fontId="8" type="noConversion"/>
  </si>
  <si>
    <t>IdxName</t>
    <phoneticPr fontId="8" type="noConversion"/>
  </si>
  <si>
    <t>IdxEnglishName</t>
    <phoneticPr fontId="8" type="noConversion"/>
  </si>
  <si>
    <t>Index Name</t>
    <phoneticPr fontId="8" type="noConversion"/>
  </si>
  <si>
    <t>Index English Name</t>
    <phoneticPr fontId="8" type="noConversion"/>
  </si>
  <si>
    <t>0.9983</t>
    <phoneticPr fontId="8" type="noConversion"/>
  </si>
  <si>
    <t>Unique identifier to a Board where a given instrument is traded</t>
    <phoneticPr fontId="8" type="noConversion"/>
  </si>
  <si>
    <t>Trading multiplier for calculating trading or settlement amount</t>
    <phoneticPr fontId="8" type="noConversion"/>
  </si>
  <si>
    <t>Number of shares available for investors to buy at that time. It is well-known as “Current Room”. Current Room = Total Room – Foreigner Holding Shares</t>
  </si>
  <si>
    <t>Market code of an index</t>
    <phoneticPr fontId="8" type="noConversion"/>
  </si>
  <si>
    <t>Unit of agreement objects for market making
1) Stock/Bond Market: Instrument ISIN code
2) Derivatives Market: Product ID</t>
    <phoneticPr fontId="8" type="noConversion"/>
  </si>
  <si>
    <t>Expiration or maturity month (YYYYMM)</t>
    <phoneticPr fontId="8" type="noConversion"/>
  </si>
  <si>
    <t>ID to identify or distinguish market participants or members with 5-digit numeric characters</t>
    <phoneticPr fontId="8" type="noConversion"/>
  </si>
  <si>
    <t>Indicates whether a given Board or Session is started or ended.</t>
    <phoneticPr fontId="8" type="noConversion"/>
  </si>
  <si>
    <t>The final settlement method</t>
    <phoneticPr fontId="8" type="noConversion"/>
  </si>
  <si>
    <t>Indicates static VI reference price. Price range for static VI is determined based on this price, and static VI is activated when an order is about to be executed outside the VI price range.</t>
    <phoneticPr fontId="8" type="noConversion"/>
  </si>
  <si>
    <t>Indicates static VI activation ratio expressed in percent. static VI price range is defined as range from static VI reference price plus/minus this ratio. For example, if static VI reference price is 1000 and this ratio is 2.5, then static VI price range.</t>
    <phoneticPr fontId="8" type="noConversion"/>
  </si>
  <si>
    <t>Type of closing price</t>
    <phoneticPr fontId="8" type="noConversion"/>
  </si>
  <si>
    <t>1: Actual Trade
2: Biased Quotation
3: No Trade
4: Biased Quotation of an Re-Valuation Instr.</t>
    <phoneticPr fontId="8" type="noConversion"/>
  </si>
  <si>
    <t>The last execution price of that day. If there is no execution it is replaced with the reference price, and if no reference price is given then it will be 0 (zero)</t>
    <phoneticPr fontId="8" type="noConversion"/>
  </si>
  <si>
    <t>Indicates which kind of VI is activated or released.</t>
    <phoneticPr fontId="8" type="noConversion"/>
  </si>
  <si>
    <t>Indicates whether VI is activated or released.</t>
    <phoneticPr fontId="8" type="noConversion"/>
  </si>
  <si>
    <t>1 = Activated
2 = Released</t>
    <phoneticPr fontId="8" type="noConversion"/>
  </si>
  <si>
    <t>Volume weighted average price</t>
    <phoneticPr fontId="8" type="noConversion"/>
  </si>
  <si>
    <t>M7 = Security Information Notification</t>
    <phoneticPr fontId="8" type="noConversion"/>
  </si>
  <si>
    <t>MW = Random End</t>
    <phoneticPr fontId="8" type="noConversion"/>
  </si>
  <si>
    <t>MX = Price Limit Expansion</t>
    <phoneticPr fontId="8" type="noConversion"/>
  </si>
  <si>
    <t>ForeignerOrderLimitQty</t>
    <phoneticPr fontId="8" type="noConversion"/>
  </si>
  <si>
    <t>2018.03.19</t>
    <phoneticPr fontId="8" type="noConversion"/>
  </si>
  <si>
    <t>Open Interest</t>
    <phoneticPr fontId="8" type="noConversion"/>
  </si>
  <si>
    <t>MA</t>
  </si>
  <si>
    <t>UDP</t>
    <phoneticPr fontId="8" type="noConversion"/>
  </si>
  <si>
    <t>Distribute open interest received from VSD in EOD</t>
    <phoneticPr fontId="8" type="noConversion"/>
  </si>
  <si>
    <t>MsgType = MA</t>
    <phoneticPr fontId="8" type="noConversion"/>
  </si>
  <si>
    <t>Open Interest</t>
    <phoneticPr fontId="8" type="noConversion"/>
  </si>
  <si>
    <t>Trading Result of Foreign Investors</t>
    <phoneticPr fontId="8" type="noConversion"/>
  </si>
  <si>
    <t>Trading Result of Foreign Investors</t>
    <phoneticPr fontId="8" type="noConversion"/>
  </si>
  <si>
    <t>MA = Open Interest</t>
    <phoneticPr fontId="8" type="noConversion"/>
  </si>
  <si>
    <t>Int</t>
    <phoneticPr fontId="8" type="noConversion"/>
  </si>
  <si>
    <t>8(3.3)</t>
    <phoneticPr fontId="8" type="noConversion"/>
  </si>
  <si>
    <t>Rank</t>
    <phoneticPr fontId="8" type="noConversion"/>
  </si>
  <si>
    <t>Sequential rank for 'Top N' statistics</t>
    <phoneticPr fontId="8" type="noConversion"/>
  </si>
  <si>
    <t>0.9984</t>
    <phoneticPr fontId="8" type="noConversion"/>
  </si>
  <si>
    <t>Corporate action type that may affect reference price.</t>
    <phoneticPr fontId="8" type="noConversion"/>
  </si>
  <si>
    <t>00: N/A
01: Stock Dividend/Bonus (D/B)
02: Cash Dividend
04: Right Offering (RO)
03: Stock D/B + Cash D
05: RO + Stock D/B
06: RO + Cash D
07: RO + Stock D/B + Cash D
08: Convertible Bond
16: Treasury Stock Div.
P1: Stock Split
P2: Stock Merge
XX: Etc.</t>
    <phoneticPr fontId="8" type="noConversion"/>
  </si>
  <si>
    <t>Interface ID</t>
    <phoneticPr fontId="8" type="noConversion"/>
  </si>
  <si>
    <t>Interface Name</t>
    <phoneticPr fontId="8" type="noConversion"/>
  </si>
  <si>
    <t>Tag</t>
    <phoneticPr fontId="8" type="noConversion"/>
  </si>
  <si>
    <t>Field Name</t>
    <phoneticPr fontId="8" type="noConversion"/>
  </si>
  <si>
    <t>Req'd</t>
    <phoneticPr fontId="8" type="noConversion"/>
  </si>
  <si>
    <t>Format</t>
    <phoneticPr fontId="8" type="noConversion"/>
  </si>
  <si>
    <t>Length</t>
    <phoneticPr fontId="8" type="noConversion"/>
  </si>
  <si>
    <t>Comments</t>
    <phoneticPr fontId="8" type="noConversion"/>
  </si>
  <si>
    <t>SymbolAdminStatusCode</t>
    <phoneticPr fontId="8" type="noConversion"/>
  </si>
  <si>
    <t>SymbolTradingSantionStatusCode</t>
    <phoneticPr fontId="8" type="noConversion"/>
  </si>
  <si>
    <t>SymbolTradingMethodStatusCode</t>
    <phoneticPr fontId="8" type="noConversion"/>
  </si>
  <si>
    <t>Codes to identify administrative status of a symbol due to breaching exchange regulation about public disclosure, fair trade and so on</t>
    <phoneticPr fontId="8" type="noConversion"/>
  </si>
  <si>
    <t>NRM: Normal
WID: Warning (Information Disclosure)
WFR: Warning (Financial Report)
WOV: Warning (Other Violations)
CTR: Controlled
C&amp;R: Controlled &amp; Restricted
RES: Restricted</t>
    <phoneticPr fontId="8" type="noConversion"/>
  </si>
  <si>
    <t>Codes to identify trading method type of a specific symbol</t>
    <phoneticPr fontId="8" type="noConversion"/>
  </si>
  <si>
    <t>NRM: Normal
DTL: Delisted for Transfer List
SUS: Suspension
TFR: Trading Forbidden for Restricted</t>
    <phoneticPr fontId="8" type="noConversion"/>
  </si>
  <si>
    <r>
      <t>Codes to classify status of trading sanction such as halt (or suspension), trading forbidden for some reasons</t>
    </r>
    <r>
      <rPr>
        <sz val="10"/>
        <rFont val="바탕"/>
        <family val="1"/>
        <charset val="129"/>
      </rPr>
      <t/>
    </r>
    <phoneticPr fontId="8" type="noConversion"/>
  </si>
  <si>
    <t>2018.03.26</t>
    <phoneticPr fontId="8" type="noConversion"/>
  </si>
  <si>
    <t>1. Modify the position of each field in the message 'Trading Result of Foreign Investors(MT)'
2. Modify the length of tags about DisparityRatio of VI (20034, 20048) to 8
3. Modify wrong formats of some tags in Tag(Glossary)
4. Add the tag 'Rank(30634)' for Top N statistics and modify the tags about rank(30215, 30216) to 6
5. Modify the length of 'TotNumReprts(911)', 'TotalMsgNo(30606)', 'CurrentMsgNo(30607)' to 16
6. Delete the tag MarginBasePrice(30571) and SettlementPriceTypeCode(30572) in the Tag(Glossary) and the definition of 'Security Definition(d)'; RDS no longer manages such fields
7. Add the tag ExClassType(20018) to the definition of 'Security Information Notification(M7)' and 'Security Definition(d)'
8. Add new tags (30635,30636,30637) to Tag(Glossary) and the definition of 'Securit Definition(d)'.
9. Modify the field meaning of the tag InvestCode(20000)</t>
    <phoneticPr fontId="8" type="noConversion"/>
  </si>
  <si>
    <t>0.9985</t>
    <phoneticPr fontId="8" type="noConversion"/>
  </si>
  <si>
    <t>2018.04.04</t>
    <phoneticPr fontId="8" type="noConversion"/>
  </si>
  <si>
    <t>Accumulative trading volume of boards in continuous trading method</t>
  </si>
  <si>
    <t>Accumulative trading value of boards in continuous trading method</t>
  </si>
  <si>
    <t>Accumulative trading volume of boards in block trading method</t>
  </si>
  <si>
    <t>Accumulative trading value of boards in block trading method</t>
  </si>
  <si>
    <t>ContauctAccTrdvol</t>
    <phoneticPr fontId="8" type="noConversion"/>
  </si>
  <si>
    <t>ContauctAccTrdval</t>
    <phoneticPr fontId="8" type="noConversion"/>
  </si>
  <si>
    <t>BlktrdAccTrdvol</t>
    <phoneticPr fontId="8" type="noConversion"/>
  </si>
  <si>
    <t>BlktrdAccTrdval</t>
    <phoneticPr fontId="8" type="noConversion"/>
  </si>
  <si>
    <t>String</t>
    <phoneticPr fontId="8" type="noConversion"/>
  </si>
  <si>
    <t>FirstTradingDate</t>
    <phoneticPr fontId="8" type="noConversion"/>
  </si>
  <si>
    <t>First trading date</t>
    <phoneticPr fontId="8" type="noConversion"/>
  </si>
  <si>
    <t>YYYYMMDD</t>
    <phoneticPr fontId="8" type="noConversion"/>
  </si>
  <si>
    <t>0.9986</t>
    <phoneticPr fontId="8" type="noConversion"/>
  </si>
  <si>
    <t>Entire number of messages for issue information transmission or for a set of statistics results</t>
    <phoneticPr fontId="8" type="noConversion"/>
  </si>
  <si>
    <t>Top N Symbols with Low Ratio of Price</t>
    <phoneticPr fontId="8" type="noConversion"/>
  </si>
  <si>
    <t>Top N Symbols with High Ratio of Price</t>
    <phoneticPr fontId="8" type="noConversion"/>
  </si>
  <si>
    <t>Top N Symbols with Current Price</t>
    <phoneticPr fontId="8" type="noConversion"/>
  </si>
  <si>
    <t>Top N Symbols with Trading Quantity</t>
    <phoneticPr fontId="8" type="noConversion"/>
  </si>
  <si>
    <t>Top N Members per Symbol</t>
    <phoneticPr fontId="8" type="noConversion"/>
  </si>
  <si>
    <t>This field indicates which category the owner of a given order or quote belongs to. This field is validated against AccountType field as below:
 - If AccountType is Customer (1), any value is permitted for this field.
 - If AccountType is House (3), this field must be 1000.</t>
    <phoneticPr fontId="8" type="noConversion"/>
  </si>
  <si>
    <t>Investor per Symbol</t>
    <phoneticPr fontId="8" type="noConversion"/>
  </si>
  <si>
    <t>Investor per Industry(Derivatives)</t>
    <phoneticPr fontId="8" type="noConversion"/>
  </si>
  <si>
    <t>Investor per Industry(Bond)</t>
    <phoneticPr fontId="8" type="noConversion"/>
  </si>
  <si>
    <t>Investor per Industry</t>
    <phoneticPr fontId="8" type="noConversion"/>
  </si>
  <si>
    <t>2018.04.06</t>
    <phoneticPr fontId="8" type="noConversion"/>
  </si>
  <si>
    <t>0.9987</t>
    <phoneticPr fontId="8" type="noConversion"/>
  </si>
  <si>
    <t>2018.04.19</t>
    <phoneticPr fontId="8" type="noConversion"/>
  </si>
  <si>
    <t>1. Modify the definition of tag ForeignInvestTypeCode(20054)</t>
    <phoneticPr fontId="8" type="noConversion"/>
  </si>
  <si>
    <t>Indicates whether a given order or quote is owned by foreigner.</t>
    <phoneticPr fontId="8" type="noConversion"/>
  </si>
  <si>
    <t>00 Domestic(default)
10 Foreginer</t>
    <phoneticPr fontId="8" type="noConversion"/>
  </si>
  <si>
    <t>0.9988</t>
    <phoneticPr fontId="8" type="noConversion"/>
  </si>
  <si>
    <t>Field Name</t>
    <phoneticPr fontId="8" type="noConversion"/>
  </si>
  <si>
    <t>Industry Index Code
for example
001: Composite index
002: VNALLshare index
100: VN30 index</t>
  </si>
  <si>
    <t>ForeignerBuyPosblQty</t>
    <phoneticPr fontId="8" type="noConversion"/>
  </si>
  <si>
    <t>Maximum number of shares allocated for foreign investors to buy. It is well known as "Total Room"</t>
    <phoneticPr fontId="8" type="noConversion"/>
  </si>
  <si>
    <t>1. Modify the field meaning of TotNumReports(911) to more general meaning, and the length to 16
2. Modify all the statistics messages to split so that their messages does not include repeat groups; the size of each message is limited by framework, and split messages are more efficient to variable numbers of repeating groups (top N, number of invest type codes)
3. Add TotNumReports(911) to the definitions of 'Top N' statistics</t>
    <phoneticPr fontId="8" type="noConversion"/>
  </si>
  <si>
    <t>1. Modify the length of MDEntrySize(271) to synchronize to meta system
2. Delete BoardID(20004) in the definition of 'Top N Members per Symbol(M4)'; the statistics is calculated per symbol
3. Modify the field meaning of IndexsTypeCode(30167)
4. Add ForeignerBuyPosblQty(30557) to the definitions of 'Foreigner Order Limit'</t>
    <phoneticPr fontId="8" type="noConversion"/>
  </si>
  <si>
    <t>2018.05.16</t>
    <phoneticPr fontId="8" type="noConversion"/>
  </si>
  <si>
    <t>0.9989</t>
    <phoneticPr fontId="8" type="noConversion"/>
  </si>
  <si>
    <t>2018.06.05</t>
    <phoneticPr fontId="8" type="noConversion"/>
  </si>
  <si>
    <t>23(18.4)</t>
  </si>
  <si>
    <t>SellVolume(Total)</t>
    <phoneticPr fontId="8" type="noConversion"/>
  </si>
  <si>
    <t>Total trading volume in sell side</t>
    <phoneticPr fontId="8" type="noConversion"/>
  </si>
  <si>
    <t>SellTradeAmount(Total)</t>
    <phoneticPr fontId="8" type="noConversion"/>
  </si>
  <si>
    <t>Total trading value in ask side</t>
    <phoneticPr fontId="8" type="noConversion"/>
  </si>
  <si>
    <t>BuyVolume(Total)</t>
    <phoneticPr fontId="8" type="noConversion"/>
  </si>
  <si>
    <t>Total trading volume in buy side</t>
    <phoneticPr fontId="8" type="noConversion"/>
  </si>
  <si>
    <t>BuyTradedAmount(Total)</t>
    <phoneticPr fontId="8" type="noConversion"/>
  </si>
  <si>
    <t>Total trading value in bid side</t>
    <phoneticPr fontId="8" type="noConversion"/>
  </si>
  <si>
    <t>1. Modify the definition of TradingSessionID(336)
2. Add four tags about trading volumes and amounts to Tag(Glossay) and the definition of 'Trading Result of Foreign Investors(MT)'</t>
    <phoneticPr fontId="8" type="noConversion"/>
  </si>
  <si>
    <t>Valuation price for a 'Re-Valuation' instrument. For such instrument, price limit is set based on this price until the first execution. Once the first execution is occurred, price limit is set again base on the price of the first execution.</t>
    <phoneticPr fontId="8" type="noConversion"/>
  </si>
  <si>
    <t>0.9990</t>
    <phoneticPr fontId="8" type="noConversion"/>
  </si>
  <si>
    <t>15 (9.4)</t>
  </si>
  <si>
    <t>Upper price limit for a 'Re-Valuation' instrument during the opening call auction (or until the first execution).</t>
  </si>
  <si>
    <t>Lower price limit for a 'Re-Valuation' instrument during the opening call auction (or until the first execution).</t>
  </si>
  <si>
    <t>N</t>
    <phoneticPr fontId="8" type="noConversion"/>
  </si>
  <si>
    <t>BoardEvtID</t>
  </si>
  <si>
    <t>N</t>
    <phoneticPr fontId="8" type="noConversion"/>
  </si>
  <si>
    <t>2019.05.03</t>
    <phoneticPr fontId="8" type="noConversion"/>
  </si>
  <si>
    <t>FIX.4.4</t>
    <phoneticPr fontId="8" type="noConversion"/>
  </si>
  <si>
    <t>Sender(Member CompID)</t>
    <phoneticPr fontId="8" type="noConversion"/>
  </si>
  <si>
    <t>Target(Counter Member CompID)</t>
    <phoneticPr fontId="8" type="noConversion"/>
  </si>
  <si>
    <t>P = Put 
C = Call</t>
    <phoneticPr fontId="8" type="noConversion"/>
  </si>
  <si>
    <t>N</t>
    <phoneticPr fontId="8" type="noConversion"/>
  </si>
  <si>
    <t>N</t>
    <phoneticPr fontId="8" type="noConversion"/>
  </si>
  <si>
    <t>Currency code on ISO 4217</t>
    <phoneticPr fontId="8" type="noConversion"/>
  </si>
  <si>
    <t>VND: Vietnamese Dong
USD: US Dollar
EUR: Euro</t>
    <phoneticPr fontId="8" type="noConversion"/>
  </si>
  <si>
    <t>HO: HoSE
HX: HNX</t>
    <phoneticPr fontId="8" type="noConversion"/>
  </si>
  <si>
    <t>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t>
    <phoneticPr fontId="8" type="noConversion"/>
  </si>
  <si>
    <t xml:space="preserve">
List of Products (ID and description) will be defined later.</t>
    <phoneticPr fontId="8" type="noConversion"/>
  </si>
  <si>
    <t>NRM: Normal
SNE: Special Trading for Non-Execution
SLS: Special Trading after Long Suspension
NWN: New Listing with Normal Price Limit
NWE: New Listing with Exceptional Price Limit</t>
    <phoneticPr fontId="8" type="noConversion"/>
  </si>
  <si>
    <t>HHmmSSsss : Normal Case</t>
    <phoneticPr fontId="8" type="noConversion"/>
  </si>
  <si>
    <t>0.9991</t>
    <phoneticPr fontId="8" type="noConversion"/>
  </si>
  <si>
    <t>2019.07.17</t>
    <phoneticPr fontId="8" type="noConversion"/>
  </si>
  <si>
    <t>STO : Stock Market Product Group
BDO : Bond Market Product Group
RPO : Repo Market Prodcut Group
STX : Listed Stock Market Product Group
UPX : UPCOM Product Group
BDX : Government Bond Product Group
FIO : Index Future Product Group
FBX : Bond Future Product Group
HCX : Corporate Bond Product Group</t>
    <phoneticPr fontId="8" type="noConversion"/>
  </si>
  <si>
    <t>&lt;Hochiminh Exchange&gt;
 - STO: HoSE Stock Market
 - BDO: HoSE Bond Market
 - RPO: HoSE Repo Market
&lt;Hanoi Exchange&gt;
 - STX: HNX Listed Stock Market
 - BDX: HNX Government Bond Market
 - DVX: HNX Derivative Market
 - UPX: HNX UpCoM Stock Market
 - HCX: HNX Corporate Bond Market</t>
    <phoneticPr fontId="8" type="noConversion"/>
  </si>
  <si>
    <t>0.9992</t>
    <phoneticPr fontId="8" type="noConversion"/>
  </si>
  <si>
    <t>1: HoSE
2: HNX
3: Composite (HoSE + HNX)
4. UPX</t>
    <phoneticPr fontId="8" type="noConversion"/>
  </si>
  <si>
    <t>MarketIndexClass</t>
    <phoneticPr fontId="8" type="noConversion"/>
  </si>
  <si>
    <t>Hyungshik Ju</t>
    <phoneticPr fontId="8" type="noConversion"/>
  </si>
  <si>
    <r>
      <t xml:space="preserve">1. Add the tag SecurityID(48); change all the definition using Symbol(55) to SecurityID(48).
2. Remove the tag EnglishSymbol(30624); change the tag EnglishSymbol(30624) in the definition of 'Security Definition' to Symbol(55), and modify the definition of Symbol(55)
3. Delete the field HaltReason(327) from the definition of Security Status
4. Modify the possible value of the tag SecurityStatus(965) and ForeignInvestorTypeCode(30581)
5. Add a new tag TscProductGroupID(30628) to be substituted the tag SecurityType(167)
6. Modify the field meaning of the tag ForeignerOrderLimitQty(30558)
7. Modify the field meaning of the tag Yield(236) in Tag(Glossary)
8. Add a new tag DynamicVIBasePrice(20047) and DynamicVIDispartiyRatio(20048) in 'Volatility Interruption'
9. Delete the tag MarketMakerContractCode(30574) in 'Market Maker Information'
10. Add the tag SecurityID(48) and SecurityIDSource(22) in 'Market Maker Information'
11. Modify the field meaning of the tag TotalMsgNo(30606) and CurrentMsgNo(30607)
12. Modify the field meaning of the tag SellTotOrderQty(30521), BuyTotOrderQty(30522), SellValidOrderCnt(30523), BuyValidOrderCnt(30524)
13. Change wording in every field meaning: issue </t>
    </r>
    <r>
      <rPr>
        <sz val="10"/>
        <rFont val="바탕"/>
        <family val="1"/>
        <charset val="129"/>
      </rPr>
      <t>→</t>
    </r>
    <r>
      <rPr>
        <sz val="10"/>
        <rFont val="Times New Roman"/>
        <family val="1"/>
      </rPr>
      <t xml:space="preserve"> security
14. Update  definition of  ‘number” format length
15. Delete 'Security Board(M6)' message; its purpose (to list securities) is covered by 'Security Definition(d)'</t>
    </r>
    <phoneticPr fontId="8" type="noConversion"/>
  </si>
  <si>
    <t>LanguageCategory</t>
    <phoneticPr fontId="8" type="noConversion"/>
  </si>
  <si>
    <t>23(18.3)</t>
  </si>
  <si>
    <t>String</t>
    <phoneticPr fontId="8" type="noConversion"/>
  </si>
  <si>
    <r>
      <t xml:space="preserve">Market segment code to classify instruments by such as credit, trading volume, market capitalization and so on
</t>
    </r>
    <r>
      <rPr>
        <sz val="10"/>
        <rFont val="바탕"/>
        <family val="1"/>
        <charset val="129"/>
      </rPr>
      <t/>
    </r>
    <phoneticPr fontId="8" type="noConversion"/>
  </si>
  <si>
    <r>
      <rPr>
        <sz val="10"/>
        <rFont val="바탕"/>
        <family val="1"/>
        <charset val="129"/>
      </rPr>
      <t>▦▦</t>
    </r>
    <r>
      <rPr>
        <sz val="10"/>
        <rFont val="Times New Roman"/>
        <family val="1"/>
      </rPr>
      <t xml:space="preserve"> Codes </t>
    </r>
    <r>
      <rPr>
        <sz val="10"/>
        <rFont val="바탕"/>
        <family val="1"/>
        <charset val="129"/>
      </rPr>
      <t xml:space="preserve">▦▦
</t>
    </r>
    <r>
      <rPr>
        <sz val="10"/>
        <rFont val="Times New Roman"/>
        <family val="1"/>
      </rPr>
      <t>P: Premier
S: Standard
A: Alternative</t>
    </r>
    <phoneticPr fontId="8" type="noConversion"/>
  </si>
  <si>
    <t>SectorTypeCode</t>
    <phoneticPr fontId="8" type="noConversion"/>
  </si>
  <si>
    <t>DisclosureID</t>
    <phoneticPr fontId="8" type="noConversion"/>
  </si>
  <si>
    <t>MDEntryType</t>
    <phoneticPr fontId="8" type="noConversion"/>
  </si>
  <si>
    <t>추</t>
    <phoneticPr fontId="8" type="noConversion"/>
  </si>
  <si>
    <t>Timing</t>
    <phoneticPr fontId="8" type="noConversion"/>
  </si>
  <si>
    <t>-</t>
    <phoneticPr fontId="8" type="noConversion"/>
  </si>
  <si>
    <t>-</t>
    <phoneticPr fontId="8" type="noConversion"/>
  </si>
  <si>
    <t>ONT</t>
    <phoneticPr fontId="8" type="noConversion"/>
  </si>
  <si>
    <t>MC</t>
    <phoneticPr fontId="8" type="noConversion"/>
  </si>
  <si>
    <t>ONB</t>
    <phoneticPr fontId="8" type="noConversion"/>
  </si>
  <si>
    <t>ALL</t>
    <phoneticPr fontId="8" type="noConversion"/>
  </si>
  <si>
    <t>DB</t>
    <phoneticPr fontId="8" type="noConversion"/>
  </si>
  <si>
    <t>1. Modify the possible value of TransactTime(60) from YYYYMMDD HH:MM:SS.sss to HHmmSSsss
2. Modify the length of PriceFluctuationRatio(30603) from 9 to 10
3. Delete repeating groups in the definition of 'Trading Result of Foreign Investors(MT)', and delete the tag FornInvestTypeCode(20054); the output is sum of trading results for foreign investors
4. Modify the SecurityDesc(107) to SymbolName(30629) in the definition of 'Disclosure(MU)'
5. Modify the length of ContractMultiplier(231) from 20 to 22(12.8)
6. Modify the length of CouponRate(223) from 14(9.4) to 14(7.5)
7. Modify the length of tags related to trading price from 14(9.4) to 15(9.4)
8. Modify the length of TotalMsgNo(30606) and CurrentMsgNo(30607) from 11 to 15
9. Add SecurityGroupID(30604) in the definition of 'Security Definition(d)'
10. Add new tag ContractSize(30631) to modify the item UnitOfMeasureQty(1147) in 'Security Definition(d)'
11. Delete the tags not used in MDDS
12. Modify the format of all the tags whose formats are 'Number' to 'Price', 'Int' or 'Float'
13. Delete the message 'Quantity Allocation(MY)'; it is not the information distributed by MDDS, which means it is not essencial to receive market data
14. Modify the history of omitted content History No.13</t>
    <phoneticPr fontId="8" type="noConversion"/>
  </si>
  <si>
    <t>1. Modify the length of DisclosureID(30605)  from 6 to 16
2. Delete the possible valule(5 = Closing Price ) in MDEntryType(269)
3. Modify Req'd fields in 'Disclosure(MU)'</t>
    <phoneticPr fontId="8" type="noConversion"/>
  </si>
  <si>
    <t>Realtime
/Batch</t>
    <phoneticPr fontId="8" type="noConversion"/>
  </si>
  <si>
    <t>B</t>
    <phoneticPr fontId="8" type="noConversion"/>
  </si>
  <si>
    <t>DO</t>
    <phoneticPr fontId="8" type="noConversion"/>
  </si>
  <si>
    <t>R</t>
    <phoneticPr fontId="8" type="noConversion"/>
  </si>
  <si>
    <t>ONT</t>
  </si>
  <si>
    <t>B/R</t>
    <phoneticPr fontId="8" type="noConversion"/>
  </si>
  <si>
    <t>ONO</t>
    <phoneticPr fontId="8" type="noConversion"/>
  </si>
  <si>
    <t>0.9A02</t>
    <phoneticPr fontId="8" type="noConversion"/>
  </si>
  <si>
    <t>2021.01.07</t>
    <phoneticPr fontId="8" type="noConversion"/>
  </si>
  <si>
    <t>0.9993</t>
    <phoneticPr fontId="8" type="noConversion"/>
  </si>
  <si>
    <t>2020.01.14</t>
    <phoneticPr fontId="8" type="noConversion"/>
  </si>
  <si>
    <t>1. Add market HCX to the definition of MarketID(30001) and ProductGrpID(20003)
2. Recover the possible value of TransactTime(60) in [9] of version 0.9990
3. Modify possible values for SymbolTradingMethodStatusCode(30636)</t>
    <phoneticPr fontId="8" type="noConversion"/>
  </si>
  <si>
    <t>N</t>
    <phoneticPr fontId="8" type="noConversion"/>
  </si>
  <si>
    <t>RandomEndReleaseTime</t>
    <phoneticPr fontId="8" type="noConversion"/>
  </si>
  <si>
    <t>1. Add new tag EvaluationPrice(20014), HgstOrderPrice(20015), LwstOrderPrice(20016), and add it to the definition of 'Security Definition(d)' and 'Security Information Notification(M7)'
2. Modify Req'd fields in 'Security Definition'(d)'
3. Delete BoardID(20004) from the definition of 'Foreign Order Limit(MF)'
4. Delete TransactTime(60) from the definition of 'Investor per Symbol(M3)'
5. Modify the length of ForeignerOrderLimitQty(30558) from 15 to 16
6. Add BoardEvtID(20005) to the definition of 'Security Status(f)', and modify Req'd of SessOpenCloseCode(20008) in the definition of 'Security Status(f)'
7. Modify the length of SellVolume(Total)(30643), BuyVolume(Total)(30645) from 10 to 12 for synchronization to meta definition
8. Modify Req'd fields in 'Disclosure(MU)'
9. Add possible values for Currency(15), TransactTime(60), SecurityExchange(207), TradingSessionID(336), ProdGrpID(20003),BoardID(20004), BoardEvtId(20005) and MarketID(30001)</t>
    <phoneticPr fontId="8" type="noConversion"/>
  </si>
  <si>
    <t>2021.01.01</t>
    <phoneticPr fontId="8" type="noConversion"/>
  </si>
  <si>
    <t>0.9A03</t>
    <phoneticPr fontId="8" type="noConversion"/>
  </si>
  <si>
    <t>2021.08.05</t>
    <phoneticPr fontId="8" type="noConversion"/>
  </si>
  <si>
    <t>No.</t>
  </si>
  <si>
    <t>Sort</t>
  </si>
  <si>
    <t>Item</t>
  </si>
  <si>
    <t>Guideline</t>
  </si>
  <si>
    <t>Interface List</t>
  </si>
  <si>
    <t>TransType</t>
  </si>
  <si>
    <t>Write the Sending Message Type.</t>
  </si>
  <si>
    <t>Interface ID</t>
  </si>
  <si>
    <t>Assign ID to verify the interface.
- Rules for assigning Interface ID : VN_Business Code(3 Digits) of Sending System_IF_Message Format_Serial Number
- Message Format : FIX, FL(Fixed Length) etc.
Ex) If sender is Trading system : VN_TRS_IF_FIX_0001</t>
  </si>
  <si>
    <t>Interface Name</t>
  </si>
  <si>
    <t>Write the FIX Message title.
Go to the Interface Definition when clicking title.</t>
  </si>
  <si>
    <t>Write the type of the message.</t>
  </si>
  <si>
    <t>Realtime/Batch</t>
  </si>
  <si>
    <t>R: Realtime
B: Batch</t>
  </si>
  <si>
    <t>Timing</t>
  </si>
  <si>
    <t>Timing code of message communication
- DO: Day Opening (Before or At Market Opening)
- ONO: Online (From Day Opening until Market Closing)
- ONT: Online (Trading Hours)
- ONB: Online (From Market Opening until Daily Batch)
- ALL: All Day
- MC: Market Closing
- DB: Daily Batch
- DC: Day Closing (EOD, End of Day)</t>
  </si>
  <si>
    <t>Transmission Protocol</t>
  </si>
  <si>
    <t>Write Sending Protocols.
- TCP/IP, UDP, etc.</t>
  </si>
  <si>
    <t>Interface System - FROM</t>
  </si>
  <si>
    <r>
      <t>Post '</t>
    </r>
    <r>
      <rPr>
        <sz val="10"/>
        <rFont val="바탕"/>
        <family val="1"/>
        <charset val="129"/>
      </rPr>
      <t>○</t>
    </r>
    <r>
      <rPr>
        <sz val="10"/>
        <rFont val="Times New Roman"/>
        <family val="1"/>
      </rPr>
      <t>' on the 'From' system of the Interface.</t>
    </r>
  </si>
  <si>
    <t>Interface System - TO</t>
  </si>
  <si>
    <r>
      <t>Post '</t>
    </r>
    <r>
      <rPr>
        <sz val="10"/>
        <rFont val="맑은 고딕"/>
        <family val="3"/>
        <charset val="129"/>
      </rPr>
      <t>■</t>
    </r>
    <r>
      <rPr>
        <sz val="10"/>
        <rFont val="Times New Roman"/>
        <family val="1"/>
      </rPr>
      <t xml:space="preserve">' on the 'Final Destination(To)' system of the Interface.
</t>
    </r>
    <r>
      <rPr>
        <sz val="10"/>
        <rFont val="맑은 고딕"/>
        <family val="3"/>
        <charset val="129"/>
      </rPr>
      <t>※</t>
    </r>
    <r>
      <rPr>
        <sz val="10"/>
        <rFont val="Times New Roman"/>
        <family val="1"/>
      </rPr>
      <t xml:space="preserve"> If Passing Through System is available, then post '</t>
    </r>
    <r>
      <rPr>
        <sz val="10"/>
        <rFont val="맑은 고딕"/>
        <family val="3"/>
        <charset val="129"/>
      </rPr>
      <t>□</t>
    </r>
    <r>
      <rPr>
        <sz val="10"/>
        <rFont val="Times New Roman"/>
        <family val="1"/>
      </rPr>
      <t>'.</t>
    </r>
  </si>
  <si>
    <t>Purpose</t>
  </si>
  <si>
    <t>Write Remarks and purpose of the message</t>
  </si>
  <si>
    <t>Inferface Definition</t>
  </si>
  <si>
    <t>Write Interface Definition Sheet after the Interface List Sheet with the following steps as below.
- Tag : Write information of entire Tag that have been used in Interface Definition.
- Header : (Common Information) Write Header information of the message.
- Add sheet per Interface Receiving System.</t>
  </si>
  <si>
    <t>Same with the guideline for the interface list above.</t>
  </si>
  <si>
    <t>Write Tag number.</t>
  </si>
  <si>
    <t>Write the Field Name.</t>
  </si>
  <si>
    <t>Post 'Y', if it is the required field.</t>
  </si>
  <si>
    <t>Write the data format of the field.</t>
  </si>
  <si>
    <t>Write the length of the field.</t>
  </si>
  <si>
    <t>Comments</t>
  </si>
  <si>
    <t>Write the definition including the purpose of the field.</t>
  </si>
  <si>
    <t>0.9A04</t>
    <phoneticPr fontId="8" type="noConversion"/>
  </si>
  <si>
    <t>2021.09.28</t>
    <phoneticPr fontId="8" type="noConversion"/>
  </si>
  <si>
    <t>1. Modify the definitions of tags to synchronize the output of other parts
2. Delete the tags not used in MDDS
3. Add new tags IdxName(30632) and IdxEnglishName(30633), and add the tags to 'Index Constituents Information(ML)' in the definition
4. Rollback the deletion of tag OpenInterestQty(30540) for error correction
5. Modify the length of TransactTime(60) from 21 to 9; MDDS uses this field without date information
6. Modify the tag Symbol(55) to MarketMakerContractUnit(30574) in the definition of message 'Market Maker Information(MH)'; Rollback the modification 9. and 10. in the  version 0.9974
7. Modify the possible values of MsgType(35) in the sheet 'Header'
8. Delete BordID(20054) in the definition of 'Investor per Industry(M2)', 'Investor per Symbol(M3)', 'Top N Members per Symbol(M4)', 'Top N Symbols(MP, MQ, MR, MS)'; those statistics merges not per {Symbol, Board} but per {Symbol}.
9. Rollback the deletion of the message 'Open Interest(MA)' as EOD distribution
10. Rollback the deletion of repeating groups in the definition of 'Trading Result of Foreign Investors(MT)' which is history No.3 in the version 0.9982</t>
    <phoneticPr fontId="8" type="noConversion"/>
  </si>
  <si>
    <t>1. Modify the length of BuyVolume(330) and SellVolume(331) to 10 for synchronization to meta definition
2. Modify DayCumQty(425) to TotalVolumeTraded(387) in the definition of 'Index(M1)'
3. Modify ClsPx(30564) to SymbolCloseInfoPx(20026) in the definition of 'Price Recovery(W)'
4. Modify 'Symbol Closing Information(M8)' to Batch in the Interface List sheet
5. Add new tags and fields about continutous auction and block trading volumes/values to 'Index(M1)'
6. Delete BaseCurrencyIndexYN(30570) from 'Index(M1)' and 'Investor per Industry(M2)' and 'Index Constituents Information(ML)'
7. Modify ForeignInvestorTypeCode(30581) to ForeignInvestTypeCode(20054) in the definition of 'Trading Result of Foreign Investors(MT)'
8. Add FirstTradingDate(30642) to the definition of 'Security Definition(d)'</t>
    <phoneticPr fontId="8" type="noConversion"/>
  </si>
  <si>
    <t>1. Add 'Timming'  in the Guildline List sheet
2. Delete the possible valule(AL : All Boards) in BoardID(20004)</t>
    <phoneticPr fontId="8" type="noConversion"/>
  </si>
  <si>
    <t>0.9A05</t>
    <phoneticPr fontId="8" type="noConversion"/>
  </si>
  <si>
    <t>2021.10.12</t>
    <phoneticPr fontId="8" type="noConversion"/>
  </si>
  <si>
    <t>1000 = Securities company
2000 = Insurance company
3000 = Asset management company and Investment company
3200 = Fund
4000 = Bank
5000 = General finance company
6000 = Pension Fund
7000 = Goverment representation
7030 = International organization
7100 = Misc corporation
8000 = Indivisual</t>
    <phoneticPr fontId="8" type="noConversion"/>
  </si>
  <si>
    <t>N</t>
    <phoneticPr fontId="8" type="noConversion"/>
  </si>
  <si>
    <t>1. Modify possible values for InvestCode(20000)
2. Modify Req'd field  RandomEndReleaseTime in 'Random End(MW)'
3. Modify possible values for BoardID(20004)</t>
    <phoneticPr fontId="8" type="noConversion"/>
  </si>
  <si>
    <t>1. Modify possible values for InvestCode(20000)</t>
    <phoneticPr fontId="8" type="noConversion"/>
  </si>
  <si>
    <t>0.9A06</t>
    <phoneticPr fontId="8" type="noConversion"/>
  </si>
  <si>
    <t>TradingSessionID</t>
    <phoneticPr fontId="8" type="noConversion"/>
  </si>
  <si>
    <t xml:space="preserve">Indicates Board event ID which is defined in the trading system. Trading schedule is essentially a sequence (list) of Board events, and each event is identified by three-character code or ID.
</t>
    <phoneticPr fontId="8" type="noConversion"/>
  </si>
  <si>
    <t>1. Modify the field description of BoardID(20004)</t>
    <phoneticPr fontId="8" type="noConversion"/>
  </si>
  <si>
    <t>2022.03.03</t>
    <phoneticPr fontId="8" type="noConversion"/>
  </si>
  <si>
    <t>AA1: Opening CA Open
AB1: Cont.A Open
AB2: Board Trading Close
AC2: Closing CA Execution
AD1: Order Reception Start
AD2: CA Excecution
AE1: Market Halt Release
AE8: Market Halt
AF1: CA Open after CB
AF6: CB Notice
AF7: CB Notice Clear
AF8: Suspension by CB
AQ3: Interface Connection Cut-off
AT6: PLE Notice
AW8: Lunch Break
AW9: Open after Lunch Break
AX1: Board Start
BB1: Cont.A Open for Non-PCA Instr.
BC1: Closing CA Open
BE9: Cont.A Open after Market Halt
BF9: Cont.A Open after CB
CC1: Closing PCA Open
CD1: PCA Open
CD3: PCA Execution
DB2: Trading Close for LTD Instr.
DC2: Closing CA Execution for LTD Instr.
EI1: Trading Halt Release by Instr./Product
EI8: Instr./Product Halt
EI9: Cont.A Open after Instr./Product Halt
GT1: GT Order Load</t>
    <phoneticPr fontId="8" type="noConversion"/>
  </si>
  <si>
    <r>
      <t xml:space="preserve">G1 : Main
G2 : Pre open
G3 : Post closing
G4 : Odd lot
G7 : Buy-in
G8 : Sell-out
T1 : Negotiation (regular)
T4 : Negotiation (regular for Odd lot)
T2 : Negotiation (pre)
T3 : Negotiation (post)
T6 : Negotiation (post for Odd lot)
R1 : Negotiation (Repo)
</t>
    </r>
    <r>
      <rPr>
        <sz val="10"/>
        <color rgb="FFFF0000"/>
        <rFont val="Times New Roman"/>
        <family val="1"/>
      </rPr>
      <t>AL : All Boards</t>
    </r>
    <phoneticPr fontId="8" type="noConversion"/>
  </si>
  <si>
    <t>0.9A07</t>
    <phoneticPr fontId="8" type="noConversion"/>
  </si>
  <si>
    <t>2022.03.07</t>
    <phoneticPr fontId="8" type="noConversion"/>
  </si>
  <si>
    <t>1. Modify Req'd field  Symbol in Security Status(f)'
2. Modify Req'd field  TradingSessionID in Security Status(f)'
3. Modify the field description of BoardEvtID(20005)
4. Modify possible values for BoardEvtID(20005)</t>
    <phoneticPr fontId="8" type="noConversion"/>
  </si>
  <si>
    <t>0.9A08</t>
    <phoneticPr fontId="8" type="noConversion"/>
  </si>
  <si>
    <t>2022.03.29</t>
    <phoneticPr fontId="8" type="noConversion"/>
  </si>
  <si>
    <t>1. Modify possible values for BoardEvtID(20005)</t>
    <phoneticPr fontId="8" type="noConversion"/>
  </si>
  <si>
    <t>0.9A09</t>
    <phoneticPr fontId="8" type="noConversion"/>
  </si>
  <si>
    <t>2022.06.13</t>
    <phoneticPr fontId="8" type="noConversion"/>
  </si>
  <si>
    <t>1. Add new tag TransactTime(60) and add it to the definition of 'Open Interest(MA)'</t>
    <phoneticPr fontId="8" type="noConversion"/>
  </si>
  <si>
    <t>0.9A10</t>
    <phoneticPr fontId="8" type="noConversion"/>
  </si>
  <si>
    <t>2023.04.10</t>
    <phoneticPr fontId="8" type="noConversion"/>
  </si>
  <si>
    <t>Hyungshik Ju</t>
    <phoneticPr fontId="8" type="noConversion"/>
  </si>
  <si>
    <r>
      <t xml:space="preserve">ID for identifying the set of the same TSC(Trading Schedule Control) target products.
A logical unit controlled by the same schedule.
</t>
    </r>
    <r>
      <rPr>
        <sz val="10"/>
        <rFont val="바탕"/>
        <family val="1"/>
        <charset val="129"/>
      </rPr>
      <t/>
    </r>
    <phoneticPr fontId="8" type="noConversion"/>
  </si>
  <si>
    <t>1. Modify the length of BuyVolume(330) and SellVolume(331) from 10 to 12 due to the possibility of overflow
2. Modify MarketIndexClass(30569)
3. Correct misspelling; LanquageCategory(30608) =&gt; LanguageCategory
4. Add new tag Sector Type Code(30647) and add it to the definition of 'Security Definition(d)'</t>
    <phoneticPr fontId="8" type="noConversion"/>
  </si>
  <si>
    <t>PleUpLmtStep</t>
    <phoneticPr fontId="8" type="noConversion"/>
  </si>
  <si>
    <t>Int</t>
    <phoneticPr fontId="8" type="noConversion"/>
  </si>
  <si>
    <t>Final step number of PLE in the upper side actually triggered intraday</t>
  </si>
  <si>
    <t>PleLwLmtStep</t>
    <phoneticPr fontId="8" type="noConversion"/>
  </si>
  <si>
    <t>Final step number of PLE in the lower side actually triggered intraday</t>
    <phoneticPr fontId="8" type="noConversion"/>
  </si>
  <si>
    <t>0.9A11</t>
    <phoneticPr fontId="8" type="noConversion"/>
  </si>
  <si>
    <t>2023.05.12</t>
    <phoneticPr fontId="8" type="noConversion"/>
  </si>
  <si>
    <t>1. Add PleUpLmtStep(30649) and PleLwLmtStep(30650) in Tag(Glossary) and  add it to the definition of 'Price Limit Expansion (MX)'</t>
    <phoneticPr fontId="8" type="noConversion"/>
  </si>
  <si>
    <t>PleUpLmtStep</t>
    <phoneticPr fontId="8" type="noConversion"/>
  </si>
  <si>
    <t>PleLwLmtStep</t>
    <phoneticPr fontId="8" type="noConversion"/>
  </si>
  <si>
    <t>N</t>
    <phoneticPr fontId="8" type="noConversion"/>
  </si>
  <si>
    <t>N</t>
    <phoneticPr fontId="8" type="noConversion"/>
  </si>
  <si>
    <t>Int</t>
    <phoneticPr fontId="8" type="noConversion"/>
  </si>
  <si>
    <t>0.9A12</t>
    <phoneticPr fontId="8" type="noConversion"/>
  </si>
  <si>
    <t>2023.06.09</t>
    <phoneticPr fontId="8" type="noConversion"/>
  </si>
  <si>
    <t>HaltRsnCode</t>
    <phoneticPr fontId="8" type="noConversion"/>
  </si>
  <si>
    <r>
      <rPr>
        <sz val="10"/>
        <rFont val="바탕"/>
        <family val="1"/>
        <charset val="129"/>
      </rPr>
      <t>▦▦</t>
    </r>
    <r>
      <rPr>
        <sz val="10"/>
        <rFont val="Times New Roman"/>
        <family val="1"/>
      </rPr>
      <t xml:space="preserve"> Codes </t>
    </r>
    <r>
      <rPr>
        <sz val="10"/>
        <rFont val="바탕"/>
        <family val="1"/>
        <charset val="129"/>
      </rPr>
      <t>▦▦</t>
    </r>
    <r>
      <rPr>
        <sz val="10"/>
        <rFont val="Times New Roman"/>
        <family val="1"/>
      </rPr>
      <t xml:space="preserve">
B10 The result of the inquiry disclosure for rumor and news
B11 Unsubmission of annual/half-yearly/quarterly report
B21 Capital is less than 10 billion VND
B23 Auditor's Opinion is adverse or disclaimer
B24 Issuers default
B25 Dissolution
B26 Bankruptcy
B27 Sanction on Business
B28 Suspension by courts decision
B29 False information/omission of listing document
B30 Accounting standards of violation
B31 Investor warning/protection
B40 Issues for administration
B60 Falsification of securities
B70 Investor protection during a workout program
B80 Bankruptcy of guarantee institution
B90 Other reasons
B99 When maturity date will be a holiday
D11 Corresponded cash market stop trading
D21 Investor warning/protection
D22 Volatile price movement
D23 Bankruptcy
D24 Issuers default
D25 Liquidation
D26 Sanction on Business
D27 Suspension by courts decision
D28 Stock split or reverse stock split
D31 HNX trading system have problem
D32 Lot of HNX’s members have problem
D33 VSD have problem
D41 Requested by SSC
O01 Volatile price movement
O02 Information Disclosure Special Warning
O03 Stock split or reverse stock split
O04 Bond Converting
O05 Capital Decrease
O06 Investor warning/protection
O07 Other reasons
O08 Volatile price movement
O09 Investor warning/protection
O10 Other reasons
O12 Volatile price movement (Intraday)
O13 Investor warning/protection (Intraday)
O14 Other reasons (Intraday)
X01 Volatile price movement
X02 Information Disclosure Special Warning
X03 Stock split or reverse stock split
X04 Bond Converting
X05 Capital Decrease
X06 Investor warning/protection
X07 Other reasons
X08 Violation on information disclosure
X09 Volatile volume movement
X10 Fault to fix controlled status
X11 Continue to violate information disclosure when controlled
X12 Volatile volume movement (Intraday)
X13 Investor warning/protection (Intraday)
X14 Other reasons (Intraday)
</t>
    </r>
    <phoneticPr fontId="8" type="noConversion"/>
  </si>
  <si>
    <t>0.9A13</t>
    <phoneticPr fontId="8" type="noConversion"/>
  </si>
  <si>
    <t>2023.07.20</t>
    <phoneticPr fontId="8" type="noConversion"/>
  </si>
  <si>
    <t>N</t>
    <phoneticPr fontId="8" type="noConversion"/>
  </si>
  <si>
    <t>String</t>
    <phoneticPr fontId="8" type="noConversion"/>
  </si>
  <si>
    <t>Halt Reason Code</t>
    <phoneticPr fontId="8" type="noConversion"/>
  </si>
  <si>
    <r>
      <rPr>
        <sz val="10"/>
        <rFont val="바탕"/>
        <family val="1"/>
        <charset val="129"/>
      </rPr>
      <t>▦▦</t>
    </r>
    <r>
      <rPr>
        <sz val="10"/>
        <rFont val="Times New Roman"/>
        <family val="1"/>
      </rPr>
      <t xml:space="preserve"> IDs </t>
    </r>
    <r>
      <rPr>
        <sz val="10"/>
        <rFont val="바탕"/>
        <family val="1"/>
        <charset val="129"/>
      </rPr>
      <t xml:space="preserve">▦▦
</t>
    </r>
    <r>
      <rPr>
        <sz val="10"/>
        <rFont val="Times New Roman"/>
        <family val="1"/>
      </rPr>
      <t>STO : HoSE Stock
BDO : HoSE Bond
RPO : HoSE Repo
BDX : Government Bond
FIO : HoSE Index Futures
FBX : HNX Bond Futures
STX : HNX Stock
UPX : HNX UpCom
HCX : HNX Corporate Bond
ALL : All TSC Products Group</t>
    </r>
    <phoneticPr fontId="8" type="noConversion"/>
  </si>
  <si>
    <t>1. Add TscProdGrpId(30648) in Tag(Glossary) and  add it to the definition of 'Security Status (f)'
2. Delete  OpenInterestQty(30540) from the definition of 'Security Definition (d)'</t>
    <phoneticPr fontId="8" type="noConversion"/>
  </si>
  <si>
    <t>0.9A14</t>
  </si>
  <si>
    <t>2023.08.04</t>
    <phoneticPr fontId="8" type="noConversion"/>
  </si>
  <si>
    <t>1. Modify possible values(AL : All Boards) for BoardID(20004)</t>
    <phoneticPr fontId="8" type="noConversion"/>
  </si>
  <si>
    <t>TscProdGrpId</t>
    <phoneticPr fontId="8" type="noConversion"/>
  </si>
  <si>
    <t>1.1. Modify possible values(ALL) for TscProdGrpId(30648)</t>
    <phoneticPr fontId="8" type="noConversion"/>
  </si>
  <si>
    <t>0.9A15</t>
    <phoneticPr fontId="8" type="noConversion"/>
  </si>
  <si>
    <t>2023.08.17</t>
    <phoneticPr fontId="8" type="noConversion"/>
  </si>
  <si>
    <t>1.Add HaltRsnCode(30651) in Tag(Glossary) and  add it to the definition of 'Security Status (f)'</t>
    <phoneticPr fontId="8" type="noConversion"/>
  </si>
  <si>
    <t>1.Add SettlementPrice(30573) to the definition of 'Open Interest (MA)'
2. Delete  SettlementPrice(30573) from the definition of 'Security Definition (d)'</t>
    <phoneticPr fontId="8" type="noConversion"/>
  </si>
  <si>
    <t>1.Add RedumptionDate(30652) in Tag(Glossary) and  add it to the definition of 'Security Definition (d)'</t>
    <phoneticPr fontId="8" type="noConversion"/>
  </si>
  <si>
    <t>RedumptionDate</t>
    <phoneticPr fontId="8" type="noConversion"/>
  </si>
  <si>
    <t>YYYYMMDD</t>
    <phoneticPr fontId="8" type="noConversion"/>
  </si>
  <si>
    <t>Redumption date</t>
    <phoneticPr fontId="8" type="noConversion"/>
  </si>
  <si>
    <t>0.9A16</t>
    <phoneticPr fontId="8" type="noConversion"/>
  </si>
  <si>
    <t>N</t>
    <phoneticPr fontId="8" type="noConversion"/>
  </si>
  <si>
    <t>N</t>
    <phoneticPr fontId="8" type="noConversion"/>
  </si>
  <si>
    <t>N</t>
    <phoneticPr fontId="8" type="noConversion"/>
  </si>
  <si>
    <t xml:space="preserve">
Possible values in message X (Price) .
0 = Bid 
1 = Offer 
2 = Trade 
4 = Opening Price 
7 = Trading Session High Price
8 = Trading Session Low Price
Possible values in message W (Price Recovery) .
0 = Bid 
1 = Offer 
</t>
    <phoneticPr fontId="8" type="noConversion"/>
  </si>
  <si>
    <t>(Block Trade) Price Recovery(Bond)</t>
    <phoneticPr fontId="8" type="noConversion"/>
  </si>
  <si>
    <t>IFMDFIX0012</t>
    <phoneticPr fontId="8" type="noConversion"/>
  </si>
  <si>
    <t>IFMDFIX0013</t>
    <phoneticPr fontId="8" type="noConversion"/>
  </si>
  <si>
    <t>IFMDFIX0014</t>
    <phoneticPr fontId="8" type="noConversion"/>
  </si>
  <si>
    <t>IFMDFIX0015</t>
    <phoneticPr fontId="8" type="noConversion"/>
  </si>
  <si>
    <t>IFMDFIX0016</t>
    <phoneticPr fontId="8" type="noConversion"/>
  </si>
  <si>
    <t>IFMDFIX0017</t>
    <phoneticPr fontId="8" type="noConversion"/>
  </si>
  <si>
    <t>IFMDFIX0018</t>
    <phoneticPr fontId="8" type="noConversion"/>
  </si>
  <si>
    <t>IFMDFIX0019</t>
    <phoneticPr fontId="8" type="noConversion"/>
  </si>
  <si>
    <t>IFMDFIX0020</t>
    <phoneticPr fontId="8" type="noConversion"/>
  </si>
  <si>
    <t>IFMDFIX0021</t>
    <phoneticPr fontId="8" type="noConversion"/>
  </si>
  <si>
    <t>IFMDFIX0022</t>
    <phoneticPr fontId="8" type="noConversion"/>
  </si>
  <si>
    <t>IFMDFIX0023</t>
    <phoneticPr fontId="8" type="noConversion"/>
  </si>
  <si>
    <t>IFMDFIX0024</t>
    <phoneticPr fontId="8" type="noConversion"/>
  </si>
  <si>
    <t>IFMDFIX0025</t>
    <phoneticPr fontId="8" type="noConversion"/>
  </si>
  <si>
    <t>IFMDFIX0026</t>
    <phoneticPr fontId="8" type="noConversion"/>
  </si>
  <si>
    <t>IFMDFIX0027</t>
    <phoneticPr fontId="8" type="noConversion"/>
  </si>
  <si>
    <t>IFMDFIX0028</t>
    <phoneticPr fontId="8" type="noConversion"/>
  </si>
  <si>
    <t>IFMDFIX0029</t>
    <phoneticPr fontId="8" type="noConversion"/>
  </si>
  <si>
    <t>IFMDFIX0030</t>
    <phoneticPr fontId="8" type="noConversion"/>
  </si>
  <si>
    <t>IFMDFIX0031</t>
    <phoneticPr fontId="8" type="noConversion"/>
  </si>
  <si>
    <t>IFMDFIX0032</t>
    <phoneticPr fontId="8" type="noConversion"/>
  </si>
  <si>
    <t>IFMDFIX0033</t>
    <phoneticPr fontId="8" type="noConversion"/>
  </si>
  <si>
    <t>IFMDFIX0034</t>
    <phoneticPr fontId="8" type="noConversion"/>
  </si>
  <si>
    <t>(Block Trade) Price Recovery</t>
    <phoneticPr fontId="8" type="noConversion"/>
  </si>
  <si>
    <t>(Block Trade) Price Recovery</t>
    <phoneticPr fontId="8" type="noConversion"/>
  </si>
  <si>
    <t>(Block Trade) Price Recovery(Bond)</t>
    <phoneticPr fontId="8" type="noConversion"/>
  </si>
  <si>
    <t>2023.09.05</t>
    <phoneticPr fontId="8" type="noConversion"/>
  </si>
  <si>
    <t>1. Modify the field name and meaning ClassID(20009) to ProductID(20009)
2. Delete the tag SecurityGroup(1151) and modify the tags in definition to ProductID(20009)
3. Delete checks of the messages to MSS in interface list
4. Move the message 'RandomEnd(MW)' to trans type of market data in interface list
5. Delete the message 'Dynamic Price Limit(MG)' which is not included in VN
6. Delete the message 'Issuer Information(MJ)' and 'Member(Dealer) Information(MK)' as change of business requirement
7. Add the message 'Price Limit Expansion(MX)' and 'Quantity Allocation(MY)' in interface list
8. Modify field meaning and length of DisparateRatio(30602) to merge with DisparateSign(30601), and delete DisparateSign(30601)
9. Modify the name and fields of the message 'Reference Price Determination(M7)' to 'Security Information Notification(M7)'
10. Add ListedShares(20020) to the definition of Security Definition
11. Modify field meaning and possible value of all the tags to synchronize their definition of the document VN_CHN_DS_System Interface Specification(FIX)</t>
    <phoneticPr fontId="8" type="noConversion"/>
  </si>
  <si>
    <t>1. Delete TransactTime(60) from the definition of 'Open Interest(MA)'
2. Modify Req'd field  of  SellTotOrderQty, BuyTotOrderQty, SellValidOrderCnt, BuyValidOrderCnt,  NumberOfOrders in 'Price Recovery(W)'
3. Modify the description of possible values  for MDEntryType(269)
4. Add the message '(Block Trade) Price Recovery (W)' and '(Block Trade) Price Recovery (Bond) (W)' in interface list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</si>
</sst>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_);_(* \(#,##0\);_(* &quot;-&quot;_);_(@_)"/>
    <numFmt numFmtId="43" formatCode="_(* #,##0.00_);_(* \(#,##0.00\);_(* &quot;-&quot;??_);_(@_)"/>
    <numFmt numFmtId="164" formatCode="&quot;₩&quot;#,##0_);[Red]\(&quot;₩&quot;#,##0\)"/>
    <numFmt numFmtId="165" formatCode="&quot;₩&quot;#,##0.00_);[Red]\(&quot;₩&quot;#,##0.00\)"/>
    <numFmt numFmtId="166" formatCode="_(&quot;₩&quot;* #,##0_);_(&quot;₩&quot;* \(#,##0\);_(&quot;₩&quot;* &quot;-&quot;_);_(@_)"/>
    <numFmt numFmtId="167" formatCode="_(&quot;₩&quot;* #,##0.00_);_(&quot;₩&quot;* \(#,##0.00\);_(&quot;₩&quot;* &quot;-&quot;??_);_(@_)"/>
  </numFmts>
  <fonts count="159">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8"/>
      <name val="돋움"/>
      <family val="3"/>
      <charset val="129"/>
    </font>
    <font>
      <sz val="11"/>
      <name val="돋움"/>
      <family val="3"/>
      <charset val="129"/>
    </font>
    <font>
      <b/>
      <sz val="18"/>
      <color theme="3"/>
      <name val="Calibri Light"/>
      <family val="2"/>
      <charset val="129"/>
      <scheme val="major"/>
    </font>
    <font>
      <sz val="10"/>
      <color theme="1"/>
      <name val="맑은 고딕"/>
      <family val="3"/>
      <charset val="129"/>
    </font>
    <font>
      <sz val="10"/>
      <name val="Arial"/>
      <family val="2"/>
    </font>
    <font>
      <sz val="10"/>
      <name val="MS Sans Serif"/>
      <family val="2"/>
    </font>
    <font>
      <sz val="12"/>
      <name val="바탕체"/>
      <family val="1"/>
      <charset val="129"/>
    </font>
    <font>
      <sz val="12"/>
      <name val="Times New Roman"/>
      <family val="1"/>
    </font>
    <font>
      <sz val="11"/>
      <name val="굃굍 뼻뮝"/>
      <family val="3"/>
      <charset val="129"/>
    </font>
    <font>
      <sz val="11"/>
      <name val="괾괽듴긕긘긞긏M"/>
      <family val="3"/>
      <charset val="129"/>
    </font>
    <font>
      <sz val="11"/>
      <name val="μ¸¿o"/>
      <family val="3"/>
      <charset val="129"/>
    </font>
    <font>
      <sz val="12"/>
      <name val="¹UAAA¼"/>
      <family val="3"/>
      <charset val="129"/>
    </font>
    <font>
      <sz val="12"/>
      <name val="¹ÙÅÁÃ¼"/>
      <family val="3"/>
      <charset val="129"/>
    </font>
    <font>
      <sz val="11"/>
      <name val="µ¸¿ò"/>
      <family val="3"/>
      <charset val="129"/>
    </font>
    <font>
      <sz val="12"/>
      <name val="μ¸¿oA¼"/>
      <family val="3"/>
      <charset val="129"/>
    </font>
    <font>
      <sz val="8"/>
      <name val="¹UAAA¼"/>
      <family val="3"/>
      <charset val="129"/>
    </font>
    <font>
      <sz val="12"/>
      <name val="System"/>
      <family val="2"/>
      <charset val="129"/>
    </font>
    <font>
      <sz val="10"/>
      <name val="±¼¸²Ã¼"/>
      <family val="3"/>
      <charset val="129"/>
    </font>
    <font>
      <sz val="10"/>
      <name val="±¼¸²A¼"/>
      <family val="3"/>
      <charset val="129"/>
    </font>
    <font>
      <u/>
      <sz val="8"/>
      <color indexed="12"/>
      <name val="Times New Roman"/>
      <family val="1"/>
    </font>
    <font>
      <sz val="12"/>
      <name val="¾©"/>
      <family val="1"/>
      <charset val="129"/>
    </font>
    <font>
      <sz val="11"/>
      <color theme="1"/>
      <name val="Calibri"/>
      <family val="3"/>
      <charset val="129"/>
      <scheme val="minor"/>
    </font>
    <font>
      <sz val="1"/>
      <color indexed="8"/>
      <name val="Courier"/>
      <family val="3"/>
    </font>
    <font>
      <sz val="9"/>
      <color indexed="8"/>
      <name val="맑은 고딕"/>
      <family val="3"/>
      <charset val="129"/>
    </font>
    <font>
      <sz val="10"/>
      <color indexed="64"/>
      <name val="Arial"/>
      <family val="2"/>
    </font>
    <font>
      <sz val="10"/>
      <color theme="1"/>
      <name val="맑은 고딕"/>
      <family val="2"/>
      <charset val="129"/>
    </font>
    <font>
      <b/>
      <sz val="18"/>
      <color theme="3"/>
      <name val="Calibri Light"/>
      <family val="3"/>
      <charset val="129"/>
      <scheme val="major"/>
    </font>
    <font>
      <b/>
      <sz val="15"/>
      <color theme="3"/>
      <name val="Calibri"/>
      <family val="3"/>
      <charset val="129"/>
      <scheme val="minor"/>
    </font>
    <font>
      <b/>
      <sz val="13"/>
      <color theme="3"/>
      <name val="Calibri"/>
      <family val="3"/>
      <charset val="129"/>
      <scheme val="minor"/>
    </font>
    <font>
      <b/>
      <sz val="11"/>
      <color theme="3"/>
      <name val="Calibri"/>
      <family val="3"/>
      <charset val="129"/>
      <scheme val="minor"/>
    </font>
    <font>
      <sz val="11"/>
      <color rgb="FF006100"/>
      <name val="Calibri"/>
      <family val="3"/>
      <charset val="129"/>
      <scheme val="minor"/>
    </font>
    <font>
      <sz val="11"/>
      <color rgb="FF9C0006"/>
      <name val="Calibri"/>
      <family val="3"/>
      <charset val="129"/>
      <scheme val="minor"/>
    </font>
    <font>
      <sz val="11"/>
      <color rgb="FF9C6500"/>
      <name val="Calibri"/>
      <family val="3"/>
      <charset val="129"/>
      <scheme val="minor"/>
    </font>
    <font>
      <sz val="11"/>
      <color rgb="FF3F3F76"/>
      <name val="Calibri"/>
      <family val="3"/>
      <charset val="129"/>
      <scheme val="minor"/>
    </font>
    <font>
      <b/>
      <sz val="11"/>
      <color rgb="FF3F3F3F"/>
      <name val="Calibri"/>
      <family val="3"/>
      <charset val="129"/>
      <scheme val="minor"/>
    </font>
    <font>
      <b/>
      <sz val="11"/>
      <color rgb="FFFA7D00"/>
      <name val="Calibri"/>
      <family val="3"/>
      <charset val="129"/>
      <scheme val="minor"/>
    </font>
    <font>
      <sz val="11"/>
      <color rgb="FFFA7D00"/>
      <name val="Calibri"/>
      <family val="3"/>
      <charset val="129"/>
      <scheme val="minor"/>
    </font>
    <font>
      <b/>
      <sz val="11"/>
      <color theme="0"/>
      <name val="Calibri"/>
      <family val="3"/>
      <charset val="129"/>
      <scheme val="minor"/>
    </font>
    <font>
      <sz val="11"/>
      <color rgb="FFFF0000"/>
      <name val="Calibri"/>
      <family val="3"/>
      <charset val="129"/>
      <scheme val="minor"/>
    </font>
    <font>
      <i/>
      <sz val="11"/>
      <color rgb="FF7F7F7F"/>
      <name val="Calibri"/>
      <family val="3"/>
      <charset val="129"/>
      <scheme val="minor"/>
    </font>
    <font>
      <b/>
      <sz val="11"/>
      <color theme="1"/>
      <name val="Calibri"/>
      <family val="3"/>
      <charset val="129"/>
      <scheme val="minor"/>
    </font>
    <font>
      <sz val="11"/>
      <color theme="0"/>
      <name val="Calibri"/>
      <family val="3"/>
      <charset val="129"/>
      <scheme val="minor"/>
    </font>
    <font>
      <sz val="10"/>
      <color indexed="8"/>
      <name val="맑은 고딕"/>
      <family val="3"/>
      <charset val="129"/>
    </font>
    <font>
      <sz val="10"/>
      <color theme="1"/>
      <name val="Calibri"/>
      <family val="3"/>
      <charset val="129"/>
      <scheme val="minor"/>
    </font>
    <font>
      <u/>
      <sz val="10"/>
      <color theme="10"/>
      <name val="맑은 고딕"/>
      <family val="3"/>
      <charset val="129"/>
    </font>
    <font>
      <b/>
      <sz val="15"/>
      <color theme="3"/>
      <name val="맑은 고딕"/>
      <family val="2"/>
      <charset val="129"/>
    </font>
    <font>
      <b/>
      <sz val="13"/>
      <color theme="3"/>
      <name val="맑은 고딕"/>
      <family val="2"/>
      <charset val="129"/>
    </font>
    <font>
      <b/>
      <sz val="11"/>
      <color theme="3"/>
      <name val="맑은 고딕"/>
      <family val="2"/>
      <charset val="129"/>
    </font>
    <font>
      <sz val="10"/>
      <color rgb="FF006100"/>
      <name val="맑은 고딕"/>
      <family val="2"/>
      <charset val="129"/>
    </font>
    <font>
      <sz val="10"/>
      <color rgb="FF9C0006"/>
      <name val="맑은 고딕"/>
      <family val="2"/>
      <charset val="129"/>
    </font>
    <font>
      <sz val="10"/>
      <color rgb="FF9C6500"/>
      <name val="맑은 고딕"/>
      <family val="2"/>
      <charset val="129"/>
    </font>
    <font>
      <sz val="10"/>
      <color rgb="FF3F3F76"/>
      <name val="맑은 고딕"/>
      <family val="2"/>
      <charset val="129"/>
    </font>
    <font>
      <b/>
      <sz val="10"/>
      <color rgb="FF3F3F3F"/>
      <name val="맑은 고딕"/>
      <family val="2"/>
      <charset val="129"/>
    </font>
    <font>
      <b/>
      <sz val="10"/>
      <color rgb="FFFA7D00"/>
      <name val="맑은 고딕"/>
      <family val="2"/>
      <charset val="129"/>
    </font>
    <font>
      <sz val="10"/>
      <color rgb="FFFA7D00"/>
      <name val="맑은 고딕"/>
      <family val="2"/>
      <charset val="129"/>
    </font>
    <font>
      <b/>
      <sz val="10"/>
      <color theme="0"/>
      <name val="맑은 고딕"/>
      <family val="2"/>
      <charset val="129"/>
    </font>
    <font>
      <sz val="10"/>
      <color rgb="FFFF0000"/>
      <name val="맑은 고딕"/>
      <family val="2"/>
      <charset val="129"/>
    </font>
    <font>
      <i/>
      <sz val="10"/>
      <color rgb="FF7F7F7F"/>
      <name val="맑은 고딕"/>
      <family val="2"/>
      <charset val="129"/>
    </font>
    <font>
      <b/>
      <sz val="10"/>
      <color theme="1"/>
      <name val="맑은 고딕"/>
      <family val="2"/>
      <charset val="129"/>
    </font>
    <font>
      <sz val="10"/>
      <color theme="0"/>
      <name val="맑은 고딕"/>
      <family val="2"/>
      <charset val="129"/>
    </font>
    <font>
      <u/>
      <sz val="10"/>
      <color theme="11"/>
      <name val="맑은 고딕"/>
      <family val="3"/>
      <charset val="129"/>
    </font>
    <font>
      <sz val="11"/>
      <color indexed="8"/>
      <name val="맑은 고딕"/>
      <family val="3"/>
      <charset val="129"/>
    </font>
    <font>
      <sz val="10"/>
      <name val="굴림체"/>
      <family val="3"/>
      <charset val="129"/>
    </font>
    <font>
      <sz val="10"/>
      <name val="Helv"/>
      <family val="2"/>
    </font>
    <font>
      <u/>
      <sz val="10"/>
      <color indexed="36"/>
      <name val="Arial"/>
      <family val="2"/>
    </font>
    <font>
      <sz val="10"/>
      <color indexed="9"/>
      <name val="맑은 고딕"/>
      <family val="3"/>
      <charset val="129"/>
    </font>
    <font>
      <sz val="10"/>
      <color indexed="10"/>
      <name val="맑은 고딕"/>
      <family val="3"/>
      <charset val="129"/>
    </font>
    <font>
      <b/>
      <sz val="10"/>
      <color indexed="52"/>
      <name val="맑은 고딕"/>
      <family val="3"/>
      <charset val="129"/>
    </font>
    <font>
      <sz val="10"/>
      <color indexed="20"/>
      <name val="맑은 고딕"/>
      <family val="3"/>
      <charset val="129"/>
    </font>
    <font>
      <sz val="10"/>
      <color indexed="60"/>
      <name val="맑은 고딕"/>
      <family val="3"/>
      <charset val="129"/>
    </font>
    <font>
      <sz val="12"/>
      <name val="뼻뮝"/>
      <family val="1"/>
      <charset val="129"/>
    </font>
    <font>
      <i/>
      <sz val="10"/>
      <color indexed="23"/>
      <name val="맑은 고딕"/>
      <family val="3"/>
      <charset val="129"/>
    </font>
    <font>
      <b/>
      <sz val="10"/>
      <color indexed="9"/>
      <name val="맑은 고딕"/>
      <family val="3"/>
      <charset val="129"/>
    </font>
    <font>
      <sz val="10"/>
      <color indexed="52"/>
      <name val="맑은 고딕"/>
      <family val="3"/>
      <charset val="129"/>
    </font>
    <font>
      <b/>
      <sz val="10"/>
      <color indexed="8"/>
      <name val="맑은 고딕"/>
      <family val="3"/>
      <charset val="129"/>
    </font>
    <font>
      <sz val="10"/>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0"/>
      <color indexed="17"/>
      <name val="맑은 고딕"/>
      <family val="3"/>
      <charset val="129"/>
    </font>
    <font>
      <b/>
      <sz val="10"/>
      <color indexed="63"/>
      <name val="맑은 고딕"/>
      <family val="3"/>
      <charset val="129"/>
    </font>
    <font>
      <sz val="9"/>
      <name val="굴림체"/>
      <family val="3"/>
      <charset val="129"/>
    </font>
    <font>
      <sz val="11"/>
      <name val="￠R¨u¡§u¡E¡þ¨I¡AA¡§u"/>
      <family val="3"/>
      <charset val="129"/>
    </font>
    <font>
      <sz val="12"/>
      <name val="ⓒoUAAA¨u"/>
      <family val="1"/>
      <charset val="129"/>
    </font>
    <font>
      <sz val="12"/>
      <name val="±¼¸²Ã¼"/>
      <family val="3"/>
      <charset val="129"/>
    </font>
    <font>
      <sz val="12"/>
      <name val="Tms Rmn"/>
      <family val="1"/>
    </font>
    <font>
      <sz val="12"/>
      <name val="¨IoUAAA¡§u"/>
      <family val="1"/>
      <charset val="129"/>
    </font>
    <font>
      <b/>
      <sz val="10"/>
      <name val="Helv"/>
      <family val="2"/>
    </font>
    <font>
      <u/>
      <sz val="10"/>
      <color indexed="12"/>
      <name val="Arial"/>
      <family val="2"/>
    </font>
    <font>
      <sz val="10"/>
      <name val="Times New Roman"/>
      <family val="1"/>
    </font>
    <font>
      <sz val="10"/>
      <name val="MS Serif"/>
      <family val="1"/>
    </font>
    <font>
      <sz val="10"/>
      <color indexed="16"/>
      <name val="MS Serif"/>
      <family val="1"/>
    </font>
    <font>
      <sz val="8"/>
      <name val="Arial"/>
      <family val="2"/>
    </font>
    <font>
      <b/>
      <sz val="12"/>
      <name val="Helv"/>
      <family val="2"/>
    </font>
    <font>
      <b/>
      <sz val="12"/>
      <name val="Arial"/>
      <family val="2"/>
    </font>
    <font>
      <b/>
      <sz val="11"/>
      <name val="Helv"/>
      <family val="2"/>
    </font>
    <font>
      <sz val="7"/>
      <name val="Small Fonts"/>
      <family val="2"/>
    </font>
    <font>
      <b/>
      <i/>
      <sz val="16"/>
      <name val="Helv"/>
      <family val="2"/>
    </font>
    <font>
      <sz val="8"/>
      <name val="Helv"/>
      <family val="2"/>
    </font>
    <font>
      <b/>
      <sz val="8"/>
      <color indexed="8"/>
      <name val="Helv"/>
      <family val="2"/>
    </font>
    <font>
      <sz val="9"/>
      <name val="굴림"/>
      <family val="3"/>
      <charset val="129"/>
    </font>
    <font>
      <u/>
      <sz val="11"/>
      <color rgb="FF800080"/>
      <name val="돋움"/>
      <family val="3"/>
      <charset val="129"/>
    </font>
    <font>
      <sz val="11"/>
      <color rgb="FF000000"/>
      <name val="돋움"/>
      <family val="3"/>
      <charset val="129"/>
    </font>
    <font>
      <sz val="11"/>
      <color rgb="FF000000"/>
      <name val="맑은 고딕"/>
      <family val="3"/>
      <charset val="129"/>
    </font>
    <font>
      <u/>
      <sz val="11"/>
      <color rgb="FF0000FF"/>
      <name val="돋움"/>
      <family val="3"/>
      <charset val="129"/>
    </font>
    <font>
      <b/>
      <sz val="10"/>
      <name val="MS Sans Serif"/>
      <family val="2"/>
    </font>
    <font>
      <sz val="10"/>
      <color theme="0"/>
      <name val="Calibri"/>
      <family val="3"/>
      <charset val="129"/>
      <scheme val="minor"/>
    </font>
    <font>
      <sz val="10"/>
      <color rgb="FFFF0000"/>
      <name val="Calibri"/>
      <family val="3"/>
      <charset val="129"/>
      <scheme val="minor"/>
    </font>
    <font>
      <sz val="10"/>
      <color rgb="FFFA7D00"/>
      <name val="Calibri"/>
      <family val="3"/>
      <charset val="129"/>
      <scheme val="minor"/>
    </font>
    <font>
      <sz val="10"/>
      <color rgb="FF9C0006"/>
      <name val="Calibri"/>
      <family val="3"/>
      <charset val="129"/>
      <scheme val="minor"/>
    </font>
    <font>
      <sz val="10"/>
      <color rgb="FF9C6500"/>
      <name val="Calibri"/>
      <family val="3"/>
      <charset val="129"/>
      <scheme val="minor"/>
    </font>
    <font>
      <sz val="10"/>
      <color rgb="FF7F7F7F"/>
      <name val="Calibri"/>
      <family val="3"/>
      <charset val="129"/>
      <scheme val="minor"/>
    </font>
    <font>
      <sz val="10"/>
      <color rgb="FF800080"/>
      <name val="맑은 고딕"/>
      <family val="3"/>
      <charset val="129"/>
    </font>
    <font>
      <sz val="10"/>
      <color rgb="FF3F3F76"/>
      <name val="Calibri"/>
      <family val="3"/>
      <charset val="129"/>
      <scheme val="minor"/>
    </font>
    <font>
      <sz val="10"/>
      <color theme="3"/>
      <name val="Calibri"/>
      <family val="3"/>
      <charset val="129"/>
      <scheme val="minor"/>
    </font>
    <font>
      <sz val="10"/>
      <color theme="3"/>
      <name val="Calibri Light"/>
      <family val="3"/>
      <charset val="129"/>
      <scheme val="major"/>
    </font>
    <font>
      <sz val="10"/>
      <color rgb="FF006100"/>
      <name val="Calibri"/>
      <family val="3"/>
      <charset val="129"/>
      <scheme val="minor"/>
    </font>
    <font>
      <sz val="10"/>
      <color rgb="FF3F3F3F"/>
      <name val="Calibri"/>
      <family val="3"/>
      <charset val="129"/>
      <scheme val="minor"/>
    </font>
    <font>
      <sz val="10"/>
      <color rgb="FF000000"/>
      <name val="맑은 고딕"/>
      <family val="3"/>
      <charset val="129"/>
    </font>
    <font>
      <sz val="10"/>
      <color rgb="FF0000FF"/>
      <name val="맑은 고딕"/>
      <family val="3"/>
      <charset val="129"/>
    </font>
    <font>
      <sz val="10"/>
      <name val="맑은 고딕"/>
      <family val="3"/>
      <charset val="129"/>
    </font>
    <font>
      <u/>
      <sz val="11"/>
      <color theme="10"/>
      <name val="돋움"/>
      <family val="3"/>
      <charset val="129"/>
    </font>
    <font>
      <sz val="11"/>
      <name val="Times New Roman"/>
      <family val="1"/>
    </font>
    <font>
      <b/>
      <sz val="18"/>
      <name val="Times New Roman"/>
      <family val="1"/>
    </font>
    <font>
      <b/>
      <sz val="22"/>
      <name val="Times New Roman"/>
      <family val="1"/>
    </font>
    <font>
      <b/>
      <u/>
      <sz val="18"/>
      <name val="Times New Roman"/>
      <family val="1"/>
    </font>
    <font>
      <b/>
      <i/>
      <sz val="20"/>
      <name val="Times New Roman"/>
      <family val="1"/>
    </font>
    <font>
      <b/>
      <sz val="12"/>
      <name val="Times New Roman"/>
      <family val="1"/>
    </font>
    <font>
      <b/>
      <u/>
      <sz val="16"/>
      <color indexed="8"/>
      <name val="Times New Roman"/>
      <family val="1"/>
    </font>
    <font>
      <b/>
      <sz val="11"/>
      <name val="Times New Roman"/>
      <family val="1"/>
    </font>
    <font>
      <b/>
      <sz val="16"/>
      <name val="Times New Roman"/>
      <family val="1"/>
    </font>
    <font>
      <sz val="11"/>
      <color indexed="8"/>
      <name val="Times New Roman"/>
      <family val="1"/>
    </font>
    <font>
      <b/>
      <sz val="14"/>
      <name val="Times New Roman"/>
      <family val="1"/>
    </font>
    <font>
      <b/>
      <sz val="12"/>
      <color indexed="8"/>
      <name val="Times New Roman"/>
      <family val="1"/>
    </font>
    <font>
      <b/>
      <sz val="2"/>
      <name val="Times New Roman"/>
      <family val="1"/>
    </font>
    <font>
      <b/>
      <sz val="10"/>
      <color theme="1"/>
      <name val="Times New Roman"/>
      <family val="1"/>
    </font>
    <font>
      <u/>
      <sz val="10"/>
      <color theme="10"/>
      <name val="Times New Roman"/>
      <family val="1"/>
    </font>
    <font>
      <sz val="10"/>
      <color theme="0" tint="-0.34998626667073579"/>
      <name val="Times New Roman"/>
      <family val="1"/>
    </font>
    <font>
      <sz val="10"/>
      <name val="바탕"/>
      <family val="1"/>
      <charset val="129"/>
    </font>
    <font>
      <sz val="8"/>
      <name val="Calibri"/>
      <family val="3"/>
      <charset val="129"/>
      <scheme val="minor"/>
    </font>
    <font>
      <u/>
      <sz val="10"/>
      <color theme="10"/>
      <name val="Times"/>
      <family val="1"/>
    </font>
    <font>
      <u/>
      <sz val="10"/>
      <color theme="10"/>
      <name val="time"/>
    </font>
    <font>
      <u/>
      <sz val="10"/>
      <color theme="10"/>
      <name val="time"/>
      <family val="1"/>
    </font>
    <font>
      <sz val="8"/>
      <name val="맑은 고딕"/>
      <family val="3"/>
      <charset val="129"/>
    </font>
    <font>
      <sz val="8"/>
      <color theme="1"/>
      <name val="나눔고딕코딩"/>
      <family val="2"/>
      <charset val="129"/>
    </font>
    <font>
      <sz val="11"/>
      <name val="바탕"/>
      <family val="1"/>
      <charset val="129"/>
    </font>
    <font>
      <sz val="10"/>
      <color indexed="81"/>
      <name val="Times New Roman"/>
      <family val="1"/>
    </font>
    <font>
      <sz val="10"/>
      <color rgb="FFFF0000"/>
      <name val="Times New Roman"/>
      <family val="1"/>
    </font>
    <font>
      <sz val="9"/>
      <color indexed="81"/>
      <name val="Tahoma"/>
      <family val="2"/>
    </font>
    <font>
      <b/>
      <sz val="9"/>
      <color indexed="81"/>
      <name val="Tahoma"/>
      <family val="2"/>
    </font>
  </fonts>
  <fills count="6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s>
  <borders count="56">
    <border>
      <left/>
      <right/>
      <top/>
      <bottom/>
      <diagonal/>
    </border>
    <border>
      <left/>
      <right/>
      <top style="thin">
        <color indexed="64"/>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right style="medium">
        <color indexed="64"/>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style="medium">
        <color indexed="64"/>
      </left>
      <right style="thin">
        <color theme="0" tint="-0.34998626667073579"/>
      </right>
      <top style="thin">
        <color theme="0" tint="-0.34998626667073579"/>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bottom style="thin">
        <color theme="0" tint="-0.34998626667073579"/>
      </bottom>
      <diagonal/>
    </border>
  </borders>
  <cellStyleXfs count="52366">
    <xf numFmtId="0" fontId="0" fillId="0" borderId="0">
      <alignment vertical="center"/>
    </xf>
    <xf numFmtId="0" fontId="7" fillId="0" borderId="0">
      <alignment vertical="center"/>
    </xf>
    <xf numFmtId="0" fontId="11" fillId="0" borderId="0">
      <alignment vertical="center"/>
    </xf>
    <xf numFmtId="38" fontId="13" fillId="0" borderId="0" applyFont="0" applyFill="0" applyBorder="0" applyAlignment="0" applyProtection="0"/>
    <xf numFmtId="0" fontId="15" fillId="0" borderId="0"/>
    <xf numFmtId="0" fontId="28" fillId="0" borderId="0"/>
    <xf numFmtId="0" fontId="19" fillId="0" borderId="0" applyFont="0" applyFill="0" applyBorder="0" applyAlignment="0" applyProtection="0"/>
    <xf numFmtId="0" fontId="20" fillId="0" borderId="0" applyFont="0" applyFill="0" applyBorder="0" applyAlignment="0" applyProtection="0"/>
    <xf numFmtId="0" fontId="9" fillId="0" borderId="0" applyFont="0" applyFill="0" applyBorder="0" applyAlignment="0" applyProtection="0"/>
    <xf numFmtId="0" fontId="20"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pplyFont="0" applyFill="0" applyBorder="0" applyAlignment="0" applyProtection="0"/>
    <xf numFmtId="0" fontId="19" fillId="0" borderId="0" applyFont="0" applyFill="0" applyBorder="0" applyAlignment="0" applyProtection="0"/>
    <xf numFmtId="0" fontId="20" fillId="0" borderId="0" applyFont="0" applyFill="0" applyBorder="0" applyAlignment="0" applyProtection="0"/>
    <xf numFmtId="0" fontId="19" fillId="0" borderId="0" applyFont="0" applyFill="0" applyBorder="0" applyAlignment="0" applyProtection="0"/>
    <xf numFmtId="0" fontId="18" fillId="0" borderId="0" applyFont="0" applyFill="0" applyBorder="0" applyAlignment="0" applyProtection="0"/>
    <xf numFmtId="0" fontId="20" fillId="0" borderId="0" applyFont="0" applyFill="0" applyBorder="0" applyAlignment="0" applyProtection="0"/>
    <xf numFmtId="0" fontId="18" fillId="0" borderId="0" applyFont="0" applyFill="0" applyBorder="0" applyAlignment="0" applyProtection="0"/>
    <xf numFmtId="0" fontId="20" fillId="0" borderId="0" applyFont="0" applyFill="0" applyBorder="0" applyAlignment="0" applyProtection="0"/>
    <xf numFmtId="0" fontId="19" fillId="0" borderId="0" applyFont="0" applyFill="0" applyBorder="0" applyAlignment="0" applyProtection="0"/>
    <xf numFmtId="0" fontId="21" fillId="0" borderId="0" applyFont="0" applyFill="0" applyBorder="0" applyAlignment="0" applyProtection="0"/>
    <xf numFmtId="0" fontId="22" fillId="0" borderId="0" applyFont="0" applyFill="0" applyBorder="0" applyAlignment="0" applyProtection="0"/>
    <xf numFmtId="0" fontId="23" fillId="0" borderId="0"/>
    <xf numFmtId="0" fontId="20" fillId="0" borderId="0"/>
    <xf numFmtId="0" fontId="19" fillId="0" borderId="0"/>
    <xf numFmtId="0" fontId="24" fillId="0" borderId="0"/>
    <xf numFmtId="0" fontId="24" fillId="0" borderId="0"/>
    <xf numFmtId="0" fontId="20" fillId="0" borderId="0"/>
    <xf numFmtId="0" fontId="19" fillId="0" borderId="0"/>
    <xf numFmtId="0" fontId="20" fillId="0" borderId="0"/>
    <xf numFmtId="0" fontId="19" fillId="0" borderId="0"/>
    <xf numFmtId="0" fontId="25" fillId="0" borderId="0"/>
    <xf numFmtId="0" fontId="26" fillId="0" borderId="0"/>
    <xf numFmtId="0" fontId="25" fillId="0" borderId="0"/>
    <xf numFmtId="0" fontId="26" fillId="0" borderId="0"/>
    <xf numFmtId="0" fontId="25" fillId="0" borderId="0"/>
    <xf numFmtId="0" fontId="19" fillId="0" borderId="0"/>
    <xf numFmtId="0" fontId="14" fillId="0" borderId="0"/>
    <xf numFmtId="165" fontId="16" fillId="0" borderId="0" applyFont="0" applyFill="0" applyBorder="0" applyAlignment="0" applyProtection="0"/>
    <xf numFmtId="164" fontId="16" fillId="0" borderId="0" applyFont="0" applyFill="0" applyBorder="0" applyAlignment="0" applyProtection="0"/>
    <xf numFmtId="0" fontId="17" fillId="0" borderId="0" applyFont="0" applyFill="0" applyBorder="0" applyAlignment="0" applyProtection="0"/>
    <xf numFmtId="0" fontId="14" fillId="0" borderId="0" applyFont="0" applyFill="0" applyBorder="0" applyAlignment="0" applyProtection="0"/>
    <xf numFmtId="0" fontId="9" fillId="0" borderId="0">
      <alignment vertical="center"/>
    </xf>
    <xf numFmtId="38" fontId="13" fillId="0" borderId="0" applyFont="0" applyFill="0" applyBorder="0" applyAlignment="0" applyProtection="0"/>
    <xf numFmtId="38" fontId="13" fillId="0" borderId="0" applyFont="0" applyFill="0" applyBorder="0" applyAlignment="0" applyProtection="0"/>
    <xf numFmtId="38" fontId="9" fillId="0" borderId="0" applyFill="0" applyBorder="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0" fontId="11" fillId="0" borderId="0">
      <alignment vertical="center"/>
    </xf>
    <xf numFmtId="0" fontId="11" fillId="0" borderId="0">
      <alignment vertical="center"/>
    </xf>
    <xf numFmtId="4" fontId="30" fillId="0" borderId="0">
      <protection locked="0"/>
    </xf>
    <xf numFmtId="3" fontId="13" fillId="0" borderId="0" applyFont="0" applyFill="0" applyBorder="0" applyAlignment="0" applyProtection="0"/>
    <xf numFmtId="0" fontId="12" fillId="0" borderId="0" applyFont="0" applyFill="0" applyBorder="0" applyAlignment="0" applyProtection="0"/>
    <xf numFmtId="0" fontId="9" fillId="0" borderId="0">
      <protection locked="0"/>
    </xf>
    <xf numFmtId="0" fontId="13" fillId="0" borderId="0" applyFont="0" applyFill="0" applyBorder="0" applyAlignment="0" applyProtection="0"/>
    <xf numFmtId="0" fontId="9" fillId="0" borderId="0" applyFont="0" applyFill="0" applyBorder="0" applyAlignment="0" applyProtection="0"/>
    <xf numFmtId="0" fontId="9" fillId="0" borderId="0">
      <protection locked="0"/>
    </xf>
    <xf numFmtId="0" fontId="11" fillId="0" borderId="0">
      <alignment vertical="center"/>
    </xf>
    <xf numFmtId="0" fontId="9" fillId="0" borderId="0">
      <alignment vertical="center"/>
    </xf>
    <xf numFmtId="0" fontId="7" fillId="0" borderId="0">
      <alignment vertical="center"/>
    </xf>
    <xf numFmtId="41" fontId="7" fillId="0" borderId="0" applyFont="0" applyFill="0" applyBorder="0" applyAlignment="0" applyProtection="0">
      <alignment vertical="center"/>
    </xf>
    <xf numFmtId="0" fontId="31" fillId="0" borderId="0">
      <alignment vertical="center"/>
    </xf>
    <xf numFmtId="0" fontId="32" fillId="0" borderId="0"/>
    <xf numFmtId="0" fontId="11" fillId="0" borderId="0">
      <alignment vertical="center"/>
    </xf>
    <xf numFmtId="0" fontId="33" fillId="0" borderId="0">
      <alignment vertical="center"/>
    </xf>
    <xf numFmtId="0" fontId="9" fillId="0" borderId="0">
      <alignment vertical="center"/>
    </xf>
    <xf numFmtId="0" fontId="9" fillId="0" borderId="0"/>
    <xf numFmtId="0" fontId="11"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9"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41" fontId="11" fillId="0" borderId="0" applyFont="0" applyFill="0" applyBorder="0" applyAlignment="0" applyProtection="0">
      <alignment vertical="center"/>
    </xf>
    <xf numFmtId="0" fontId="52" fillId="0" borderId="0" applyNumberFormat="0" applyFill="0" applyBorder="0" applyAlignment="0" applyProtection="0">
      <alignment vertical="center"/>
    </xf>
    <xf numFmtId="0" fontId="14" fillId="0" borderId="0"/>
    <xf numFmtId="0" fontId="14" fillId="0" borderId="0"/>
    <xf numFmtId="0" fontId="70" fillId="0" borderId="0" applyFont="0" applyFill="0" applyBorder="0" applyAlignment="0" applyProtection="0"/>
    <xf numFmtId="0" fontId="71" fillId="0" borderId="0"/>
    <xf numFmtId="0" fontId="71" fillId="0" borderId="0"/>
    <xf numFmtId="0" fontId="12" fillId="0" borderId="0"/>
    <xf numFmtId="0" fontId="72" fillId="0" borderId="0" applyNumberFormat="0" applyFill="0" applyBorder="0" applyAlignment="0" applyProtection="0">
      <alignment vertical="top"/>
      <protection locked="0"/>
    </xf>
    <xf numFmtId="0" fontId="9" fillId="0" borderId="0"/>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29" fillId="13"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29" fillId="17"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29" fillId="21"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5"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29" fillId="29"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29" fillId="3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1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29" fillId="18"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29" fillId="22"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6"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30"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29" fillId="34" borderId="0" applyNumberFormat="0" applyBorder="0" applyAlignment="0" applyProtection="0">
      <alignment vertical="center"/>
    </xf>
    <xf numFmtId="0" fontId="73" fillId="47" borderId="0" applyNumberFormat="0" applyBorder="0" applyAlignment="0" applyProtection="0">
      <alignment vertical="center"/>
    </xf>
    <xf numFmtId="0" fontId="49" fillId="15" borderId="0" applyNumberFormat="0" applyBorder="0" applyAlignment="0" applyProtection="0">
      <alignment vertical="center"/>
    </xf>
    <xf numFmtId="0" fontId="73" fillId="44" borderId="0" applyNumberFormat="0" applyBorder="0" applyAlignment="0" applyProtection="0">
      <alignment vertical="center"/>
    </xf>
    <xf numFmtId="0" fontId="49" fillId="19" borderId="0" applyNumberFormat="0" applyBorder="0" applyAlignment="0" applyProtection="0">
      <alignment vertical="center"/>
    </xf>
    <xf numFmtId="0" fontId="73" fillId="45" borderId="0" applyNumberFormat="0" applyBorder="0" applyAlignment="0" applyProtection="0">
      <alignment vertical="center"/>
    </xf>
    <xf numFmtId="0" fontId="49" fillId="23" borderId="0" applyNumberFormat="0" applyBorder="0" applyAlignment="0" applyProtection="0">
      <alignment vertical="center"/>
    </xf>
    <xf numFmtId="0" fontId="73" fillId="48" borderId="0" applyNumberFormat="0" applyBorder="0" applyAlignment="0" applyProtection="0">
      <alignment vertical="center"/>
    </xf>
    <xf numFmtId="0" fontId="49" fillId="27" borderId="0" applyNumberFormat="0" applyBorder="0" applyAlignment="0" applyProtection="0">
      <alignment vertical="center"/>
    </xf>
    <xf numFmtId="0" fontId="73" fillId="49" borderId="0" applyNumberFormat="0" applyBorder="0" applyAlignment="0" applyProtection="0">
      <alignment vertical="center"/>
    </xf>
    <xf numFmtId="0" fontId="49" fillId="31" borderId="0" applyNumberFormat="0" applyBorder="0" applyAlignment="0" applyProtection="0">
      <alignment vertical="center"/>
    </xf>
    <xf numFmtId="0" fontId="73" fillId="50" borderId="0" applyNumberFormat="0" applyBorder="0" applyAlignment="0" applyProtection="0">
      <alignment vertical="center"/>
    </xf>
    <xf numFmtId="0" fontId="49" fillId="35"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1" fillId="0" borderId="0" applyFont="0" applyFill="0" applyBorder="0" applyAlignment="0" applyProtection="0"/>
    <xf numFmtId="0" fontId="91" fillId="0" borderId="0" applyFont="0" applyFill="0" applyBorder="0" applyAlignment="0" applyProtection="0"/>
    <xf numFmtId="0" fontId="92" fillId="0" borderId="0" applyFont="0" applyFill="0" applyBorder="0" applyAlignment="0" applyProtection="0"/>
    <xf numFmtId="0" fontId="92" fillId="0" borderId="0" applyFont="0" applyFill="0" applyBorder="0" applyAlignment="0" applyProtection="0"/>
    <xf numFmtId="166" fontId="18" fillId="0" borderId="0" applyFont="0" applyFill="0" applyBorder="0" applyAlignment="0" applyProtection="0"/>
    <xf numFmtId="0" fontId="93" fillId="0" borderId="0" applyFont="0" applyFill="0" applyBorder="0" applyAlignment="0" applyProtection="0"/>
    <xf numFmtId="167" fontId="18" fillId="0" borderId="0" applyFont="0" applyFill="0" applyBorder="0" applyAlignment="0" applyProtection="0"/>
    <xf numFmtId="0" fontId="93" fillId="0" borderId="0" applyFont="0" applyFill="0" applyBorder="0" applyAlignment="0" applyProtection="0"/>
    <xf numFmtId="0" fontId="92" fillId="0" borderId="0" applyFont="0" applyFill="0" applyBorder="0" applyAlignment="0" applyProtection="0"/>
    <xf numFmtId="0" fontId="92" fillId="0" borderId="0" applyFont="0" applyFill="0" applyBorder="0" applyAlignment="0" applyProtection="0"/>
    <xf numFmtId="0" fontId="91" fillId="0" borderId="0" applyFont="0" applyFill="0" applyBorder="0" applyAlignment="0" applyProtection="0"/>
    <xf numFmtId="0" fontId="91" fillId="0" borderId="0" applyFont="0" applyFill="0" applyBorder="0" applyAlignment="0" applyProtection="0"/>
    <xf numFmtId="41" fontId="18" fillId="0" borderId="0" applyFont="0" applyFill="0" applyBorder="0" applyAlignment="0" applyProtection="0"/>
    <xf numFmtId="0" fontId="93" fillId="0" borderId="0" applyFont="0" applyFill="0" applyBorder="0" applyAlignment="0" applyProtection="0"/>
    <xf numFmtId="0" fontId="19" fillId="0" borderId="0" applyFont="0" applyFill="0" applyBorder="0" applyAlignment="0" applyProtection="0"/>
    <xf numFmtId="43" fontId="18" fillId="0" borderId="0" applyFont="0" applyFill="0" applyBorder="0" applyAlignment="0" applyProtection="0"/>
    <xf numFmtId="0" fontId="93" fillId="0" borderId="0" applyFont="0" applyFill="0" applyBorder="0" applyAlignment="0" applyProtection="0"/>
    <xf numFmtId="0" fontId="94" fillId="0" borderId="0" applyNumberFormat="0" applyFill="0" applyBorder="0" applyAlignment="0" applyProtection="0"/>
    <xf numFmtId="0" fontId="92" fillId="0" borderId="0"/>
    <xf numFmtId="0" fontId="95" fillId="0" borderId="0"/>
    <xf numFmtId="37" fontId="20" fillId="0" borderId="0" applyFill="0" applyBorder="0"/>
    <xf numFmtId="0" fontId="19" fillId="0" borderId="0"/>
    <xf numFmtId="0" fontId="26" fillId="0" borderId="0"/>
    <xf numFmtId="0" fontId="25" fillId="0" borderId="0"/>
    <xf numFmtId="0" fontId="9" fillId="0" borderId="0" applyFill="0" applyBorder="0" applyAlignment="0"/>
    <xf numFmtId="0" fontId="96" fillId="0" borderId="0"/>
    <xf numFmtId="0" fontId="97" fillId="0" borderId="0" applyNumberFormat="0" applyFill="0" applyBorder="0" applyAlignment="0" applyProtection="0">
      <alignment vertical="top"/>
      <protection locked="0"/>
    </xf>
    <xf numFmtId="0" fontId="12" fillId="0" borderId="0" applyFont="0" applyFill="0" applyBorder="0" applyAlignment="0" applyProtection="0"/>
    <xf numFmtId="0" fontId="98" fillId="0" borderId="0"/>
    <xf numFmtId="0" fontId="99" fillId="0" borderId="0" applyNumberFormat="0" applyAlignment="0">
      <alignment horizontal="left"/>
    </xf>
    <xf numFmtId="0" fontId="70" fillId="0" borderId="0" applyFont="0" applyFill="0" applyBorder="0" applyAlignment="0" applyProtection="0"/>
    <xf numFmtId="0" fontId="14" fillId="0" borderId="0"/>
    <xf numFmtId="0" fontId="12" fillId="0" borderId="0" applyFont="0" applyFill="0" applyBorder="0" applyAlignment="0" applyProtection="0"/>
    <xf numFmtId="0" fontId="12" fillId="0" borderId="0" applyFont="0" applyFill="0" applyBorder="0" applyAlignment="0" applyProtection="0"/>
    <xf numFmtId="0" fontId="14" fillId="0" borderId="0"/>
    <xf numFmtId="0" fontId="100" fillId="0" borderId="0" applyNumberFormat="0" applyAlignment="0">
      <alignment horizontal="left"/>
    </xf>
    <xf numFmtId="38" fontId="101" fillId="36" borderId="0" applyNumberFormat="0" applyBorder="0" applyAlignment="0" applyProtection="0"/>
    <xf numFmtId="0" fontId="102" fillId="0" borderId="0">
      <alignment horizontal="left"/>
    </xf>
    <xf numFmtId="0" fontId="103" fillId="0" borderId="15" applyNumberFormat="0" applyAlignment="0" applyProtection="0">
      <alignment horizontal="left" vertical="center"/>
    </xf>
    <xf numFmtId="0" fontId="103" fillId="0" borderId="14">
      <alignment horizontal="left" vertical="center"/>
    </xf>
    <xf numFmtId="0" fontId="27" fillId="0" borderId="0" applyNumberFormat="0" applyFill="0" applyBorder="0" applyAlignment="0" applyProtection="0">
      <alignment vertical="top"/>
      <protection locked="0"/>
    </xf>
    <xf numFmtId="10" fontId="101" fillId="36" borderId="13" applyNumberFormat="0" applyBorder="0" applyAlignment="0" applyProtection="0"/>
    <xf numFmtId="41" fontId="12" fillId="0" borderId="0" applyFont="0" applyFill="0" applyBorder="0" applyAlignment="0" applyProtection="0"/>
    <xf numFmtId="43" fontId="12" fillId="0" borderId="0" applyFont="0" applyFill="0" applyBorder="0" applyAlignment="0" applyProtection="0"/>
    <xf numFmtId="0" fontId="104" fillId="0" borderId="16"/>
    <xf numFmtId="0" fontId="12" fillId="0" borderId="0" applyFont="0" applyFill="0" applyBorder="0" applyAlignment="0" applyProtection="0"/>
    <xf numFmtId="0" fontId="12" fillId="0" borderId="0" applyFont="0" applyFill="0" applyBorder="0" applyAlignment="0" applyProtection="0"/>
    <xf numFmtId="37" fontId="105" fillId="0" borderId="0"/>
    <xf numFmtId="0" fontId="106" fillId="0" borderId="0"/>
    <xf numFmtId="10" fontId="12" fillId="0" borderId="0" applyFont="0" applyFill="0" applyBorder="0" applyAlignment="0" applyProtection="0"/>
    <xf numFmtId="14" fontId="107" fillId="0" borderId="0" applyNumberFormat="0" applyFill="0" applyBorder="0" applyAlignment="0" applyProtection="0">
      <alignment horizontal="left"/>
    </xf>
    <xf numFmtId="0" fontId="12" fillId="0" borderId="0"/>
    <xf numFmtId="0" fontId="104" fillId="0" borderId="0"/>
    <xf numFmtId="40" fontId="108" fillId="0" borderId="0" applyBorder="0">
      <alignment horizontal="right"/>
    </xf>
    <xf numFmtId="0" fontId="12" fillId="0" borderId="0" applyFont="0" applyFill="0" applyBorder="0" applyAlignment="0" applyProtection="0"/>
    <xf numFmtId="0" fontId="12" fillId="0" borderId="0" applyFont="0" applyFill="0" applyBorder="0" applyAlignment="0" applyProtection="0"/>
    <xf numFmtId="0" fontId="73" fillId="51" borderId="0" applyNumberFormat="0" applyBorder="0" applyAlignment="0" applyProtection="0">
      <alignment vertical="center"/>
    </xf>
    <xf numFmtId="0" fontId="49" fillId="12" borderId="0" applyNumberFormat="0" applyBorder="0" applyAlignment="0" applyProtection="0">
      <alignment vertical="center"/>
    </xf>
    <xf numFmtId="0" fontId="73" fillId="52" borderId="0" applyNumberFormat="0" applyBorder="0" applyAlignment="0" applyProtection="0">
      <alignment vertical="center"/>
    </xf>
    <xf numFmtId="0" fontId="49" fillId="16" borderId="0" applyNumberFormat="0" applyBorder="0" applyAlignment="0" applyProtection="0">
      <alignment vertical="center"/>
    </xf>
    <xf numFmtId="0" fontId="73" fillId="53" borderId="0" applyNumberFormat="0" applyBorder="0" applyAlignment="0" applyProtection="0">
      <alignment vertical="center"/>
    </xf>
    <xf numFmtId="0" fontId="49" fillId="20" borderId="0" applyNumberFormat="0" applyBorder="0" applyAlignment="0" applyProtection="0">
      <alignment vertical="center"/>
    </xf>
    <xf numFmtId="0" fontId="73" fillId="48" borderId="0" applyNumberFormat="0" applyBorder="0" applyAlignment="0" applyProtection="0">
      <alignment vertical="center"/>
    </xf>
    <xf numFmtId="0" fontId="49" fillId="24" borderId="0" applyNumberFormat="0" applyBorder="0" applyAlignment="0" applyProtection="0">
      <alignment vertical="center"/>
    </xf>
    <xf numFmtId="0" fontId="73" fillId="49" borderId="0" applyNumberFormat="0" applyBorder="0" applyAlignment="0" applyProtection="0">
      <alignment vertical="center"/>
    </xf>
    <xf numFmtId="0" fontId="49" fillId="28" borderId="0" applyNumberFormat="0" applyBorder="0" applyAlignment="0" applyProtection="0">
      <alignment vertical="center"/>
    </xf>
    <xf numFmtId="0" fontId="73" fillId="54" borderId="0" applyNumberFormat="0" applyBorder="0" applyAlignment="0" applyProtection="0">
      <alignment vertical="center"/>
    </xf>
    <xf numFmtId="0" fontId="49" fillId="32" borderId="0" applyNumberFormat="0" applyBorder="0" applyAlignment="0" applyProtection="0">
      <alignment vertical="center"/>
    </xf>
    <xf numFmtId="0" fontId="74"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75" fillId="55" borderId="17" applyNumberFormat="0" applyAlignment="0" applyProtection="0">
      <alignment vertical="center"/>
    </xf>
    <xf numFmtId="0" fontId="43" fillId="9" borderId="7" applyNumberFormat="0" applyAlignment="0" applyProtection="0">
      <alignment vertical="center"/>
    </xf>
    <xf numFmtId="0" fontId="76" fillId="38" borderId="0" applyNumberFormat="0" applyBorder="0" applyAlignment="0" applyProtection="0">
      <alignment vertical="center"/>
    </xf>
    <xf numFmtId="0" fontId="39" fillId="6" borderId="0" applyNumberFormat="0" applyBorder="0" applyAlignment="0" applyProtection="0">
      <alignment vertical="center"/>
    </xf>
    <xf numFmtId="0" fontId="9" fillId="56" borderId="18" applyNumberFormat="0" applyFont="0" applyAlignment="0" applyProtection="0">
      <alignment vertical="center"/>
    </xf>
    <xf numFmtId="0" fontId="29" fillId="11" borderId="11" applyNumberFormat="0" applyFont="0" applyAlignment="0" applyProtection="0">
      <alignment vertical="center"/>
    </xf>
    <xf numFmtId="0" fontId="77" fillId="57" borderId="0" applyNumberFormat="0" applyBorder="0" applyAlignment="0" applyProtection="0">
      <alignment vertical="center"/>
    </xf>
    <xf numFmtId="0" fontId="40" fillId="7" borderId="0" applyNumberFormat="0" applyBorder="0" applyAlignment="0" applyProtection="0">
      <alignment vertical="center"/>
    </xf>
    <xf numFmtId="0" fontId="78" fillId="0" borderId="0"/>
    <xf numFmtId="0" fontId="79"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80" fillId="58" borderId="19" applyNumberFormat="0" applyAlignment="0" applyProtection="0">
      <alignment vertical="center"/>
    </xf>
    <xf numFmtId="0" fontId="45" fillId="10" borderId="10" applyNumberFormat="0" applyAlignment="0" applyProtection="0">
      <alignment vertical="center"/>
    </xf>
    <xf numFmtId="41" fontId="69"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xf numFmtId="0" fontId="81" fillId="0" borderId="20" applyNumberFormat="0" applyFill="0" applyAlignment="0" applyProtection="0">
      <alignment vertical="center"/>
    </xf>
    <xf numFmtId="0" fontId="44" fillId="0" borderId="9" applyNumberFormat="0" applyFill="0" applyAlignment="0" applyProtection="0">
      <alignment vertical="center"/>
    </xf>
    <xf numFmtId="0" fontId="110" fillId="0" borderId="0" applyNumberFormat="0" applyFill="0" applyBorder="0" applyAlignment="0" applyProtection="0">
      <alignment vertical="center"/>
    </xf>
    <xf numFmtId="0" fontId="82" fillId="0" borderId="21" applyNumberFormat="0" applyFill="0" applyAlignment="0" applyProtection="0">
      <alignment vertical="center"/>
    </xf>
    <xf numFmtId="0" fontId="48" fillId="0" borderId="12" applyNumberFormat="0" applyFill="0" applyAlignment="0" applyProtection="0">
      <alignment vertical="center"/>
    </xf>
    <xf numFmtId="0" fontId="83" fillId="42" borderId="17" applyNumberFormat="0" applyAlignment="0" applyProtection="0">
      <alignment vertical="center"/>
    </xf>
    <xf numFmtId="0" fontId="41" fillId="8" borderId="7" applyNumberFormat="0" applyAlignment="0" applyProtection="0">
      <alignment vertical="center"/>
    </xf>
    <xf numFmtId="0" fontId="34" fillId="0" borderId="0" applyNumberFormat="0" applyFill="0" applyBorder="0" applyAlignment="0" applyProtection="0">
      <alignment vertical="center"/>
    </xf>
    <xf numFmtId="0" fontId="85" fillId="0" borderId="22" applyNumberFormat="0" applyFill="0" applyAlignment="0" applyProtection="0">
      <alignment vertical="center"/>
    </xf>
    <xf numFmtId="0" fontId="35" fillId="0" borderId="4" applyNumberFormat="0" applyFill="0" applyAlignment="0" applyProtection="0">
      <alignment vertical="center"/>
    </xf>
    <xf numFmtId="0" fontId="86" fillId="0" borderId="23" applyNumberFormat="0" applyFill="0" applyAlignment="0" applyProtection="0">
      <alignment vertical="center"/>
    </xf>
    <xf numFmtId="0" fontId="36" fillId="0" borderId="5" applyNumberFormat="0" applyFill="0" applyAlignment="0" applyProtection="0">
      <alignment vertical="center"/>
    </xf>
    <xf numFmtId="0" fontId="87" fillId="0" borderId="24" applyNumberFormat="0" applyFill="0" applyAlignment="0" applyProtection="0">
      <alignment vertical="center"/>
    </xf>
    <xf numFmtId="0" fontId="37" fillId="0" borderId="6" applyNumberFormat="0" applyFill="0" applyAlignment="0" applyProtection="0">
      <alignment vertical="center"/>
    </xf>
    <xf numFmtId="0" fontId="8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8" fillId="39" borderId="0" applyNumberFormat="0" applyBorder="0" applyAlignment="0" applyProtection="0">
      <alignment vertical="center"/>
    </xf>
    <xf numFmtId="0" fontId="38" fillId="5" borderId="0" applyNumberFormat="0" applyBorder="0" applyAlignment="0" applyProtection="0">
      <alignment vertical="center"/>
    </xf>
    <xf numFmtId="0" fontId="14" fillId="0" borderId="0"/>
    <xf numFmtId="0" fontId="89" fillId="55" borderId="25" applyNumberFormat="0" applyAlignment="0" applyProtection="0">
      <alignment vertical="center"/>
    </xf>
    <xf numFmtId="0" fontId="42" fillId="9" borderId="8" applyNumberFormat="0" applyAlignment="0" applyProtection="0">
      <alignment vertical="center"/>
    </xf>
    <xf numFmtId="0" fontId="33" fillId="14" borderId="0" applyNumberFormat="0" applyBorder="0" applyAlignment="0" applyProtection="0">
      <alignment vertical="center"/>
    </xf>
    <xf numFmtId="0" fontId="11" fillId="0" borderId="0">
      <alignment vertical="center"/>
    </xf>
    <xf numFmtId="0" fontId="111" fillId="0" borderId="0">
      <alignment vertical="center"/>
    </xf>
    <xf numFmtId="0" fontId="11" fillId="0" borderId="0">
      <alignment vertical="center"/>
    </xf>
    <xf numFmtId="0" fontId="67" fillId="16" borderId="0" applyNumberFormat="0" applyBorder="0" applyAlignment="0" applyProtection="0">
      <alignment vertical="center"/>
    </xf>
    <xf numFmtId="0" fontId="67" fillId="24" borderId="0" applyNumberFormat="0" applyBorder="0" applyAlignment="0" applyProtection="0">
      <alignment vertical="center"/>
    </xf>
    <xf numFmtId="0" fontId="90" fillId="0" borderId="0"/>
    <xf numFmtId="0" fontId="9" fillId="0" borderId="0">
      <alignment vertical="center"/>
    </xf>
    <xf numFmtId="0" fontId="29" fillId="0" borderId="0">
      <alignment vertical="center"/>
    </xf>
    <xf numFmtId="0" fontId="9" fillId="0" borderId="0">
      <alignment vertical="center"/>
    </xf>
    <xf numFmtId="0" fontId="29" fillId="0" borderId="0">
      <alignment vertical="center"/>
    </xf>
    <xf numFmtId="0" fontId="9" fillId="0" borderId="0">
      <alignment vertical="center"/>
    </xf>
    <xf numFmtId="0" fontId="9" fillId="0" borderId="0">
      <alignment vertical="center"/>
    </xf>
    <xf numFmtId="0" fontId="9" fillId="0" borderId="0">
      <alignment vertical="center"/>
    </xf>
    <xf numFmtId="0" fontId="109" fillId="0" borderId="0">
      <alignment vertical="center"/>
    </xf>
    <xf numFmtId="0" fontId="9" fillId="0" borderId="0">
      <alignment vertical="center"/>
    </xf>
    <xf numFmtId="0" fontId="9" fillId="0" borderId="0">
      <alignment vertical="center"/>
    </xf>
    <xf numFmtId="0" fontId="11" fillId="0" borderId="0">
      <alignment vertical="center"/>
    </xf>
    <xf numFmtId="0" fontId="112"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1" fillId="0" borderId="0">
      <alignment vertical="center"/>
    </xf>
    <xf numFmtId="0" fontId="29" fillId="0" borderId="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xf numFmtId="0" fontId="9" fillId="0" borderId="0"/>
    <xf numFmtId="0" fontId="9" fillId="0" borderId="0"/>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50" fillId="37"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50" fillId="38"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50" fillId="41"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50" fillId="42"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33"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4"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18"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50" fillId="45"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2"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50" fillId="40"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26"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50" fillId="43"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0"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50" fillId="46"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29" fillId="34"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73" fillId="47"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9" fillId="15" borderId="0" applyNumberFormat="0" applyBorder="0" applyAlignment="0" applyProtection="0">
      <alignment vertical="center"/>
    </xf>
    <xf numFmtId="0" fontId="4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73" fillId="44"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9" fillId="19" borderId="0" applyNumberFormat="0" applyBorder="0" applyAlignment="0" applyProtection="0">
      <alignment vertical="center"/>
    </xf>
    <xf numFmtId="0" fontId="4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73" fillId="45"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9" fillId="23" borderId="0" applyNumberFormat="0" applyBorder="0" applyAlignment="0" applyProtection="0">
      <alignment vertical="center"/>
    </xf>
    <xf numFmtId="0" fontId="4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73" fillId="48"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9" fillId="27" borderId="0" applyNumberFormat="0" applyBorder="0" applyAlignment="0" applyProtection="0">
      <alignment vertical="center"/>
    </xf>
    <xf numFmtId="0" fontId="4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27"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73" fillId="49"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9" fillId="31" borderId="0" applyNumberFormat="0" applyBorder="0" applyAlignment="0" applyProtection="0">
      <alignment vertical="center"/>
    </xf>
    <xf numFmtId="0" fontId="4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1"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73" fillId="50"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9" fillId="35" borderId="0" applyNumberFormat="0" applyBorder="0" applyAlignment="0" applyProtection="0">
      <alignment vertical="center"/>
    </xf>
    <xf numFmtId="0" fontId="4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49" fillId="35"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50" fillId="0" borderId="7" applyNumberFormat="0" applyFon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50" fillId="0" borderId="7" applyNumberFormat="0" applyFont="0" applyFill="0" applyAlignment="0" applyProtection="0">
      <alignment vertical="center"/>
    </xf>
    <xf numFmtId="0" fontId="117"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7" fillId="0" borderId="7" applyNumberFormat="0" applyFill="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11" applyNumberFormat="0" applyFont="0" applyFill="0" applyAlignment="0" applyProtection="0">
      <alignment vertical="center"/>
    </xf>
    <xf numFmtId="0" fontId="50" fillId="0" borderId="0" applyNumberFormat="0" applyFont="0" applyFill="0" applyBorder="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50" fillId="0" borderId="11" applyNumberFormat="0" applyFont="0" applyFill="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10" applyNumberFormat="0" applyFont="0" applyFill="0" applyAlignment="0" applyProtection="0">
      <alignment vertical="center"/>
    </xf>
    <xf numFmtId="0" fontId="50" fillId="0" borderId="10" applyNumberFormat="0" applyFont="0" applyFill="0" applyAlignment="0" applyProtection="0">
      <alignment vertical="center"/>
    </xf>
    <xf numFmtId="0" fontId="50" fillId="0" borderId="10" applyNumberFormat="0" applyFon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10" applyNumberFormat="0" applyFon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10" applyNumberFormat="0" applyFont="0" applyFill="0" applyAlignment="0" applyProtection="0">
      <alignment vertical="center"/>
    </xf>
    <xf numFmtId="0" fontId="115" fillId="0" borderId="10" applyNumberFormat="0" applyFill="0" applyAlignment="0" applyProtection="0">
      <alignment vertical="center"/>
    </xf>
    <xf numFmtId="0" fontId="50" fillId="0" borderId="10" applyNumberFormat="0" applyFont="0" applyFill="0" applyAlignment="0" applyProtection="0">
      <alignment vertical="center"/>
    </xf>
    <xf numFmtId="0" fontId="50" fillId="0" borderId="10" applyNumberFormat="0" applyFon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10" applyNumberFormat="0" applyFont="0" applyFill="0" applyAlignment="0" applyProtection="0">
      <alignment vertical="center"/>
    </xf>
    <xf numFmtId="0" fontId="50" fillId="0" borderId="10" applyNumberFormat="0" applyFont="0" applyFill="0" applyAlignment="0" applyProtection="0">
      <alignment vertical="center"/>
    </xf>
    <xf numFmtId="0" fontId="50" fillId="0" borderId="10" applyNumberFormat="0" applyFon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115" fillId="0" borderId="10"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50" fillId="0" borderId="9" applyNumberFormat="0" applyFont="0" applyFill="0" applyAlignment="0" applyProtection="0">
      <alignment vertical="center"/>
    </xf>
    <xf numFmtId="0" fontId="50" fillId="0" borderId="9" applyNumberFormat="0" applyFont="0" applyFill="0" applyAlignment="0" applyProtection="0">
      <alignment vertical="center"/>
    </xf>
    <xf numFmtId="0" fontId="50" fillId="0" borderId="9" applyNumberFormat="0" applyFon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50" fillId="0" borderId="9" applyNumberFormat="0" applyFon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50" fillId="0" borderId="9" applyNumberFormat="0" applyFont="0" applyFill="0" applyAlignment="0" applyProtection="0">
      <alignment vertical="center"/>
    </xf>
    <xf numFmtId="0" fontId="117" fillId="0" borderId="9" applyNumberFormat="0" applyFill="0" applyAlignment="0" applyProtection="0">
      <alignment vertical="center"/>
    </xf>
    <xf numFmtId="0" fontId="50" fillId="0" borderId="9" applyNumberFormat="0" applyFont="0" applyFill="0" applyAlignment="0" applyProtection="0">
      <alignment vertical="center"/>
    </xf>
    <xf numFmtId="0" fontId="50" fillId="0" borderId="9" applyNumberFormat="0" applyFon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50" fillId="0" borderId="9" applyNumberFormat="0" applyFont="0" applyFill="0" applyAlignment="0" applyProtection="0">
      <alignment vertical="center"/>
    </xf>
    <xf numFmtId="0" fontId="50" fillId="0" borderId="9" applyNumberFormat="0" applyFont="0" applyFill="0" applyAlignment="0" applyProtection="0">
      <alignment vertical="center"/>
    </xf>
    <xf numFmtId="0" fontId="50" fillId="0" borderId="9" applyNumberFormat="0" applyFon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17" fillId="0" borderId="9" applyNumberFormat="0" applyFill="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0" fillId="0" borderId="12" applyNumberFormat="0" applyFont="0" applyFill="0" applyAlignment="0" applyProtection="0">
      <alignment vertical="center"/>
    </xf>
    <xf numFmtId="0" fontId="50" fillId="0" borderId="12" applyNumberFormat="0" applyFont="0" applyFill="0" applyAlignment="0" applyProtection="0">
      <alignment vertical="center"/>
    </xf>
    <xf numFmtId="0" fontId="50" fillId="0" borderId="12" applyNumberFormat="0" applyFon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0" fillId="0" borderId="12" applyNumberFormat="0" applyFon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0" fillId="0" borderId="12" applyNumberFormat="0" applyFont="0" applyFill="0" applyAlignment="0" applyProtection="0">
      <alignment vertical="center"/>
    </xf>
    <xf numFmtId="0" fontId="51" fillId="0" borderId="12" applyNumberFormat="0" applyFill="0" applyAlignment="0" applyProtection="0">
      <alignment vertical="center"/>
    </xf>
    <xf numFmtId="0" fontId="50" fillId="0" borderId="12" applyNumberFormat="0" applyFont="0" applyFill="0" applyAlignment="0" applyProtection="0">
      <alignment vertical="center"/>
    </xf>
    <xf numFmtId="0" fontId="50" fillId="0" borderId="12" applyNumberFormat="0" applyFon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0" fillId="0" borderId="12" applyNumberFormat="0" applyFont="0" applyFill="0" applyAlignment="0" applyProtection="0">
      <alignment vertical="center"/>
    </xf>
    <xf numFmtId="0" fontId="50" fillId="0" borderId="12" applyNumberFormat="0" applyFont="0" applyFill="0" applyAlignment="0" applyProtection="0">
      <alignment vertical="center"/>
    </xf>
    <xf numFmtId="0" fontId="50" fillId="0" borderId="12" applyNumberFormat="0" applyFon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51" fillId="0" borderId="12"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7" applyNumberFormat="0" applyFon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7" applyNumberFormat="0" applyFont="0" applyFill="0" applyAlignment="0" applyProtection="0">
      <alignment vertical="center"/>
    </xf>
    <xf numFmtId="0" fontId="122"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50" fillId="0" borderId="7" applyNumberFormat="0" applyFon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122" fillId="0" borderId="7" applyNumberFormat="0" applyFill="0" applyAlignment="0" applyProtection="0">
      <alignment vertical="center"/>
    </xf>
    <xf numFmtId="0" fontId="50" fillId="0" borderId="0" applyNumberFormat="0" applyFont="0" applyFill="0" applyBorder="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50" fillId="0" borderId="4" applyNumberFormat="0" applyFont="0" applyFill="0" applyAlignment="0" applyProtection="0">
      <alignment vertical="center"/>
    </xf>
    <xf numFmtId="0" fontId="50" fillId="0" borderId="4" applyNumberFormat="0" applyFont="0" applyFill="0" applyAlignment="0" applyProtection="0">
      <alignment vertical="center"/>
    </xf>
    <xf numFmtId="0" fontId="50" fillId="0" borderId="4" applyNumberFormat="0" applyFon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50" fillId="0" borderId="4" applyNumberFormat="0" applyFon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50" fillId="0" borderId="4" applyNumberFormat="0" applyFont="0" applyFill="0" applyAlignment="0" applyProtection="0">
      <alignment vertical="center"/>
    </xf>
    <xf numFmtId="0" fontId="123" fillId="0" borderId="4" applyNumberFormat="0" applyFill="0" applyAlignment="0" applyProtection="0">
      <alignment vertical="center"/>
    </xf>
    <xf numFmtId="0" fontId="50" fillId="0" borderId="4" applyNumberFormat="0" applyFont="0" applyFill="0" applyAlignment="0" applyProtection="0">
      <alignment vertical="center"/>
    </xf>
    <xf numFmtId="0" fontId="50" fillId="0" borderId="4" applyNumberFormat="0" applyFon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50" fillId="0" borderId="4" applyNumberFormat="0" applyFont="0" applyFill="0" applyAlignment="0" applyProtection="0">
      <alignment vertical="center"/>
    </xf>
    <xf numFmtId="0" fontId="50" fillId="0" borderId="4" applyNumberFormat="0" applyFont="0" applyFill="0" applyAlignment="0" applyProtection="0">
      <alignment vertical="center"/>
    </xf>
    <xf numFmtId="0" fontId="50" fillId="0" borderId="4" applyNumberFormat="0" applyFon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3" fillId="0" borderId="4" applyNumberFormat="0" applyFill="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50" fillId="0" borderId="5" applyNumberFormat="0" applyFont="0" applyFill="0" applyAlignment="0" applyProtection="0">
      <alignment vertical="center"/>
    </xf>
    <xf numFmtId="0" fontId="50" fillId="0" borderId="5" applyNumberFormat="0" applyFont="0" applyFill="0" applyAlignment="0" applyProtection="0">
      <alignment vertical="center"/>
    </xf>
    <xf numFmtId="0" fontId="50" fillId="0" borderId="5" applyNumberFormat="0" applyFon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50" fillId="0" borderId="5" applyNumberFormat="0" applyFon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50" fillId="0" borderId="5" applyNumberFormat="0" applyFont="0" applyFill="0" applyAlignment="0" applyProtection="0">
      <alignment vertical="center"/>
    </xf>
    <xf numFmtId="0" fontId="123" fillId="0" borderId="5" applyNumberFormat="0" applyFill="0" applyAlignment="0" applyProtection="0">
      <alignment vertical="center"/>
    </xf>
    <xf numFmtId="0" fontId="50" fillId="0" borderId="5" applyNumberFormat="0" applyFont="0" applyFill="0" applyAlignment="0" applyProtection="0">
      <alignment vertical="center"/>
    </xf>
    <xf numFmtId="0" fontId="50" fillId="0" borderId="5" applyNumberFormat="0" applyFon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50" fillId="0" borderId="5" applyNumberFormat="0" applyFont="0" applyFill="0" applyAlignment="0" applyProtection="0">
      <alignment vertical="center"/>
    </xf>
    <xf numFmtId="0" fontId="50" fillId="0" borderId="5" applyNumberFormat="0" applyFont="0" applyFill="0" applyAlignment="0" applyProtection="0">
      <alignment vertical="center"/>
    </xf>
    <xf numFmtId="0" fontId="50" fillId="0" borderId="5" applyNumberFormat="0" applyFon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3" fillId="0" borderId="5" applyNumberFormat="0" applyFill="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50" fillId="0" borderId="6" applyNumberFormat="0" applyFont="0" applyFill="0" applyAlignment="0" applyProtection="0">
      <alignment vertical="center"/>
    </xf>
    <xf numFmtId="0" fontId="50" fillId="0" borderId="6" applyNumberFormat="0" applyFont="0" applyFill="0" applyAlignment="0" applyProtection="0">
      <alignment vertical="center"/>
    </xf>
    <xf numFmtId="0" fontId="50" fillId="0" borderId="6" applyNumberFormat="0" applyFon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50" fillId="0" borderId="6" applyNumberFormat="0" applyFon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50" fillId="0" borderId="6" applyNumberFormat="0" applyFont="0" applyFill="0" applyAlignment="0" applyProtection="0">
      <alignment vertical="center"/>
    </xf>
    <xf numFmtId="0" fontId="123" fillId="0" borderId="6" applyNumberFormat="0" applyFill="0" applyAlignment="0" applyProtection="0">
      <alignment vertical="center"/>
    </xf>
    <xf numFmtId="0" fontId="50" fillId="0" borderId="6" applyNumberFormat="0" applyFont="0" applyFill="0" applyAlignment="0" applyProtection="0">
      <alignment vertical="center"/>
    </xf>
    <xf numFmtId="0" fontId="50" fillId="0" borderId="6" applyNumberFormat="0" applyFon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50" fillId="0" borderId="6" applyNumberFormat="0" applyFont="0" applyFill="0" applyAlignment="0" applyProtection="0">
      <alignment vertical="center"/>
    </xf>
    <xf numFmtId="0" fontId="50" fillId="0" borderId="6" applyNumberFormat="0" applyFont="0" applyFill="0" applyAlignment="0" applyProtection="0">
      <alignment vertical="center"/>
    </xf>
    <xf numFmtId="0" fontId="50" fillId="0" borderId="6" applyNumberFormat="0" applyFon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50" fillId="0" borderId="0" applyNumberFormat="0" applyFont="0" applyFill="0" applyBorder="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50" fillId="0" borderId="8" applyNumberFormat="0" applyFont="0" applyFill="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1" fillId="0" borderId="0" applyNumberFormat="0" applyFon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33" fillId="0" borderId="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29" fillId="0" borderId="0">
      <alignment vertical="center"/>
    </xf>
    <xf numFmtId="41" fontId="29" fillId="0" borderId="0" applyFont="0" applyFill="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1" fillId="0" borderId="0">
      <alignment vertical="center"/>
    </xf>
    <xf numFmtId="0" fontId="11"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7" fillId="0" borderId="0">
      <alignment vertical="center"/>
    </xf>
    <xf numFmtId="0" fontId="11" fillId="0" borderId="0">
      <alignment vertical="center"/>
    </xf>
    <xf numFmtId="0" fontId="50" fillId="0" borderId="0">
      <alignment vertical="center"/>
    </xf>
    <xf numFmtId="41" fontId="11"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3" fillId="0" borderId="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11" fillId="0" borderId="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11" fillId="0" borderId="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1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5" borderId="0" applyNumberFormat="0" applyBorder="0" applyAlignment="0" applyProtection="0">
      <alignment vertical="center"/>
    </xf>
    <xf numFmtId="0" fontId="33" fillId="13" borderId="0" applyNumberFormat="0" applyBorder="0" applyAlignment="0" applyProtection="0">
      <alignment vertical="center"/>
    </xf>
    <xf numFmtId="0" fontId="55" fillId="0" borderId="0" applyNumberFormat="0" applyFill="0" applyBorder="0" applyAlignment="0" applyProtection="0">
      <alignment vertical="center"/>
    </xf>
    <xf numFmtId="0" fontId="67" fillId="2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33" fillId="0" borderId="0">
      <alignment vertical="center"/>
    </xf>
    <xf numFmtId="0" fontId="7"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67" fillId="24" borderId="0" applyNumberFormat="0" applyBorder="0" applyAlignment="0" applyProtection="0">
      <alignment vertical="center"/>
    </xf>
    <xf numFmtId="0" fontId="56" fillId="5" borderId="0" applyNumberFormat="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50" fillId="0" borderId="0">
      <alignment vertical="center"/>
    </xf>
    <xf numFmtId="0" fontId="50" fillId="0" borderId="0">
      <alignment vertical="center"/>
    </xf>
    <xf numFmtId="0" fontId="67" fillId="15" borderId="0" applyNumberFormat="0" applyBorder="0" applyAlignment="0" applyProtection="0">
      <alignment vertical="center"/>
    </xf>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7"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2" fillId="0" borderId="0" applyNumberFormat="0" applyFont="0" applyFill="0" applyBorder="0" applyAlignment="0" applyProtection="0"/>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12" fillId="0" borderId="0" applyNumberFormat="0" applyFont="0" applyFill="0" applyBorder="0" applyAlignment="0" applyProtection="0"/>
    <xf numFmtId="0" fontId="10" fillId="0" borderId="0" applyNumberFormat="0" applyFill="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67" fillId="24" borderId="0" applyNumberFormat="0" applyBorder="0" applyAlignment="0" applyProtection="0">
      <alignment vertical="center"/>
    </xf>
    <xf numFmtId="0" fontId="12" fillId="0" borderId="0" applyNumberFormat="0" applyFont="0" applyFill="0" applyBorder="0" applyAlignment="0" applyProtection="0"/>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5" borderId="0" applyNumberFormat="0" applyBorder="0" applyAlignment="0" applyProtection="0">
      <alignment vertical="center"/>
    </xf>
    <xf numFmtId="0" fontId="33" fillId="13" borderId="0" applyNumberFormat="0" applyBorder="0" applyAlignment="0" applyProtection="0">
      <alignment vertical="center"/>
    </xf>
    <xf numFmtId="0" fontId="55" fillId="0" borderId="0" applyNumberFormat="0" applyFill="0" applyBorder="0" applyAlignment="0" applyProtection="0">
      <alignment vertical="center"/>
    </xf>
    <xf numFmtId="0" fontId="67" fillId="2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0"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67" fillId="24" borderId="0" applyNumberFormat="0" applyBorder="0" applyAlignment="0" applyProtection="0">
      <alignment vertical="center"/>
    </xf>
    <xf numFmtId="0" fontId="56" fillId="5" borderId="0" applyNumberFormat="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15" borderId="0" applyNumberFormat="0" applyBorder="0" applyAlignment="0" applyProtection="0">
      <alignment vertical="center"/>
    </xf>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7"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7" fillId="0" borderId="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7"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9" fillId="0" borderId="0">
      <alignment vertical="center"/>
    </xf>
    <xf numFmtId="0" fontId="29" fillId="0" borderId="0">
      <alignment vertical="center"/>
    </xf>
    <xf numFmtId="0" fontId="29" fillId="0" borderId="0">
      <alignment vertical="center"/>
    </xf>
    <xf numFmtId="0" fontId="130" fillId="0" borderId="0" applyNumberFormat="0" applyFill="0" applyBorder="0" applyAlignment="0" applyProtection="0">
      <alignment vertical="top"/>
      <protection locked="0"/>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153" fillId="0" borderId="0">
      <alignment vertical="center"/>
    </xf>
    <xf numFmtId="0" fontId="3" fillId="0" borderId="0">
      <alignment vertical="center"/>
    </xf>
    <xf numFmtId="0" fontId="29" fillId="0" borderId="0">
      <alignment vertical="center"/>
    </xf>
    <xf numFmtId="0" fontId="29" fillId="0" borderId="0">
      <alignment vertical="center"/>
    </xf>
    <xf numFmtId="0" fontId="15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67" fillId="24"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5" borderId="0" applyNumberFormat="0" applyBorder="0" applyAlignment="0" applyProtection="0">
      <alignment vertical="center"/>
    </xf>
    <xf numFmtId="0" fontId="33" fillId="13" borderId="0" applyNumberFormat="0" applyBorder="0" applyAlignment="0" applyProtection="0">
      <alignment vertical="center"/>
    </xf>
    <xf numFmtId="0" fontId="55" fillId="0" borderId="0" applyNumberFormat="0" applyFill="0" applyBorder="0" applyAlignment="0" applyProtection="0">
      <alignment vertical="center"/>
    </xf>
    <xf numFmtId="0" fontId="67" fillId="2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67" fillId="24" borderId="0" applyNumberFormat="0" applyBorder="0" applyAlignment="0" applyProtection="0">
      <alignment vertical="center"/>
    </xf>
    <xf numFmtId="0" fontId="56" fillId="5" borderId="0" applyNumberFormat="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15" borderId="0" applyNumberFormat="0" applyBorder="0" applyAlignment="0" applyProtection="0">
      <alignment vertical="center"/>
    </xf>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67" fillId="24"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5" borderId="0" applyNumberFormat="0" applyBorder="0" applyAlignment="0" applyProtection="0">
      <alignment vertical="center"/>
    </xf>
    <xf numFmtId="0" fontId="33" fillId="13" borderId="0" applyNumberFormat="0" applyBorder="0" applyAlignment="0" applyProtection="0">
      <alignment vertical="center"/>
    </xf>
    <xf numFmtId="0" fontId="55" fillId="0" borderId="0" applyNumberFormat="0" applyFill="0" applyBorder="0" applyAlignment="0" applyProtection="0">
      <alignment vertical="center"/>
    </xf>
    <xf numFmtId="0" fontId="67" fillId="2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67" fillId="24" borderId="0" applyNumberFormat="0" applyBorder="0" applyAlignment="0" applyProtection="0">
      <alignment vertical="center"/>
    </xf>
    <xf numFmtId="0" fontId="56" fillId="5" borderId="0" applyNumberFormat="0" applyBorder="0" applyAlignment="0" applyProtection="0">
      <alignment vertical="center"/>
    </xf>
    <xf numFmtId="0" fontId="33" fillId="14" borderId="0" applyNumberFormat="0" applyBorder="0" applyAlignment="0" applyProtection="0">
      <alignment vertical="center"/>
    </xf>
    <xf numFmtId="0" fontId="67" fillId="16"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15" borderId="0" applyNumberFormat="0" applyBorder="0" applyAlignment="0" applyProtection="0">
      <alignment vertical="center"/>
    </xf>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 fillId="0" borderId="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 fillId="0" borderId="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1" fillId="11" borderId="11" applyNumberFormat="0" applyFon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67" fillId="27" borderId="0" applyNumberFormat="0" applyBorder="0" applyAlignment="0" applyProtection="0">
      <alignment vertical="center"/>
    </xf>
    <xf numFmtId="0" fontId="33" fillId="25" borderId="0" applyNumberFormat="0" applyBorder="0" applyAlignment="0" applyProtection="0">
      <alignment vertical="center"/>
    </xf>
    <xf numFmtId="0" fontId="33" fillId="21"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33" fillId="26" borderId="0" applyNumberFormat="0" applyBorder="0" applyAlignment="0" applyProtection="0">
      <alignment vertical="center"/>
    </xf>
    <xf numFmtId="0" fontId="67" fillId="24" borderId="0" applyNumberFormat="0" applyBorder="0" applyAlignment="0" applyProtection="0">
      <alignment vertical="center"/>
    </xf>
    <xf numFmtId="0" fontId="65" fillId="0" borderId="0" applyNumberFormat="0" applyFill="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11" fillId="11" borderId="11" applyNumberFormat="0" applyFont="0" applyAlignment="0" applyProtection="0">
      <alignment vertical="center"/>
    </xf>
    <xf numFmtId="0" fontId="50" fillId="0" borderId="0">
      <alignment vertical="center"/>
    </xf>
    <xf numFmtId="0" fontId="62" fillId="0" borderId="9" applyNumberFormat="0" applyFill="0" applyAlignment="0" applyProtection="0">
      <alignment vertical="center"/>
    </xf>
    <xf numFmtId="0" fontId="53" fillId="0" borderId="4" applyNumberFormat="0" applyFill="0" applyAlignment="0" applyProtection="0">
      <alignment vertical="center"/>
    </xf>
    <xf numFmtId="0" fontId="55" fillId="0" borderId="6" applyNumberFormat="0" applyFill="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7" fillId="35" borderId="0" applyNumberFormat="0" applyBorder="0" applyAlignment="0" applyProtection="0">
      <alignment vertical="center"/>
    </xf>
    <xf numFmtId="0" fontId="33" fillId="34" borderId="0" applyNumberFormat="0" applyBorder="0" applyAlignment="0" applyProtection="0">
      <alignment vertical="center"/>
    </xf>
    <xf numFmtId="0" fontId="33" fillId="33" borderId="0" applyNumberFormat="0" applyBorder="0" applyAlignment="0" applyProtection="0">
      <alignment vertical="center"/>
    </xf>
    <xf numFmtId="0" fontId="67" fillId="32" borderId="0" applyNumberFormat="0" applyBorder="0" applyAlignment="0" applyProtection="0">
      <alignment vertical="center"/>
    </xf>
    <xf numFmtId="0" fontId="67" fillId="31" borderId="0" applyNumberFormat="0" applyBorder="0" applyAlignment="0" applyProtection="0">
      <alignment vertical="center"/>
    </xf>
    <xf numFmtId="0" fontId="33" fillId="30" borderId="0" applyNumberFormat="0" applyBorder="0" applyAlignment="0" applyProtection="0">
      <alignment vertical="center"/>
    </xf>
    <xf numFmtId="0" fontId="33" fillId="29"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33" fillId="26" borderId="0" applyNumberFormat="0" applyBorder="0" applyAlignment="0" applyProtection="0">
      <alignment vertical="center"/>
    </xf>
    <xf numFmtId="0" fontId="33" fillId="25" borderId="0" applyNumberFormat="0" applyBorder="0" applyAlignment="0" applyProtection="0">
      <alignment vertical="center"/>
    </xf>
    <xf numFmtId="0" fontId="67" fillId="24" borderId="0" applyNumberFormat="0" applyBorder="0" applyAlignment="0" applyProtection="0">
      <alignment vertical="center"/>
    </xf>
    <xf numFmtId="0" fontId="67" fillId="23" borderId="0" applyNumberFormat="0" applyBorder="0" applyAlignment="0" applyProtection="0">
      <alignment vertical="center"/>
    </xf>
    <xf numFmtId="0" fontId="33" fillId="22" borderId="0" applyNumberFormat="0" applyBorder="0" applyAlignment="0" applyProtection="0">
      <alignment vertical="center"/>
    </xf>
    <xf numFmtId="0" fontId="33" fillId="21" borderId="0" applyNumberFormat="0" applyBorder="0" applyAlignment="0" applyProtection="0">
      <alignment vertical="center"/>
    </xf>
    <xf numFmtId="0" fontId="67" fillId="20" borderId="0" applyNumberFormat="0" applyBorder="0" applyAlignment="0" applyProtection="0">
      <alignment vertical="center"/>
    </xf>
    <xf numFmtId="0" fontId="67" fillId="19" borderId="0" applyNumberFormat="0" applyBorder="0" applyAlignment="0" applyProtection="0">
      <alignment vertical="center"/>
    </xf>
    <xf numFmtId="0" fontId="33" fillId="18" borderId="0" applyNumberFormat="0" applyBorder="0" applyAlignment="0" applyProtection="0">
      <alignment vertical="center"/>
    </xf>
    <xf numFmtId="0" fontId="33" fillId="17" borderId="0" applyNumberFormat="0" applyBorder="0" applyAlignment="0" applyProtection="0">
      <alignment vertical="center"/>
    </xf>
    <xf numFmtId="0" fontId="67" fillId="16" borderId="0" applyNumberFormat="0" applyBorder="0" applyAlignment="0" applyProtection="0">
      <alignment vertical="center"/>
    </xf>
    <xf numFmtId="0" fontId="67" fillId="15"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67" fillId="12" borderId="0" applyNumberFormat="0" applyBorder="0" applyAlignment="0" applyProtection="0">
      <alignment vertical="center"/>
    </xf>
    <xf numFmtId="0" fontId="66" fillId="0" borderId="12" applyNumberFormat="0" applyFill="0" applyAlignment="0" applyProtection="0">
      <alignment vertical="center"/>
    </xf>
    <xf numFmtId="0" fontId="65" fillId="0" borderId="0" applyNumberFormat="0" applyFill="0" applyBorder="0" applyAlignment="0" applyProtection="0">
      <alignment vertical="center"/>
    </xf>
    <xf numFmtId="0" fontId="11" fillId="11" borderId="11" applyNumberFormat="0" applyFont="0" applyAlignment="0" applyProtection="0">
      <alignment vertical="center"/>
    </xf>
    <xf numFmtId="0" fontId="64" fillId="0" borderId="0" applyNumberFormat="0" applyFill="0" applyBorder="0" applyAlignment="0" applyProtection="0">
      <alignment vertical="center"/>
    </xf>
    <xf numFmtId="0" fontId="63" fillId="10" borderId="10" applyNumberFormat="0" applyAlignment="0" applyProtection="0">
      <alignment vertical="center"/>
    </xf>
    <xf numFmtId="0" fontId="62" fillId="0" borderId="9" applyNumberFormat="0" applyFill="0" applyAlignment="0" applyProtection="0">
      <alignment vertical="center"/>
    </xf>
    <xf numFmtId="0" fontId="61" fillId="9" borderId="7" applyNumberFormat="0" applyAlignment="0" applyProtection="0">
      <alignment vertical="center"/>
    </xf>
    <xf numFmtId="0" fontId="60" fillId="9" borderId="8" applyNumberFormat="0" applyAlignment="0" applyProtection="0">
      <alignment vertical="center"/>
    </xf>
    <xf numFmtId="0" fontId="59" fillId="8" borderId="7" applyNumberFormat="0" applyAlignment="0" applyProtection="0">
      <alignment vertical="center"/>
    </xf>
    <xf numFmtId="0" fontId="58" fillId="7" borderId="0" applyNumberFormat="0" applyBorder="0" applyAlignment="0" applyProtection="0">
      <alignment vertical="center"/>
    </xf>
    <xf numFmtId="0" fontId="57" fillId="6" borderId="0" applyNumberFormat="0" applyBorder="0" applyAlignment="0" applyProtection="0">
      <alignment vertical="center"/>
    </xf>
    <xf numFmtId="0" fontId="56" fillId="5"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6" applyNumberFormat="0" applyFill="0" applyAlignment="0" applyProtection="0">
      <alignment vertical="center"/>
    </xf>
    <xf numFmtId="0" fontId="54" fillId="0" borderId="5" applyNumberFormat="0" applyFill="0" applyAlignment="0" applyProtection="0">
      <alignment vertical="center"/>
    </xf>
    <xf numFmtId="0" fontId="53" fillId="0" borderId="4" applyNumberFormat="0" applyFill="0" applyAlignment="0" applyProtection="0">
      <alignment vertical="center"/>
    </xf>
    <xf numFmtId="0" fontId="50" fillId="0" borderId="0">
      <alignment vertical="center"/>
    </xf>
    <xf numFmtId="0" fontId="54" fillId="0" borderId="5" applyNumberFormat="0" applyFill="0" applyAlignment="0" applyProtection="0">
      <alignment vertical="center"/>
    </xf>
    <xf numFmtId="0" fontId="55" fillId="0" borderId="0" applyNumberFormat="0" applyFill="0" applyBorder="0" applyAlignment="0" applyProtection="0">
      <alignment vertical="center"/>
    </xf>
    <xf numFmtId="0" fontId="63" fillId="10" borderId="10" applyNumberFormat="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11" fillId="11" borderId="11" applyNumberFormat="0" applyFont="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68"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50" fillId="0" borderId="0">
      <alignment vertical="center"/>
    </xf>
    <xf numFmtId="0" fontId="53" fillId="0" borderId="4" applyNumberFormat="0" applyFill="0" applyAlignment="0" applyProtection="0">
      <alignment vertical="center"/>
    </xf>
    <xf numFmtId="0" fontId="54" fillId="0" borderId="5" applyNumberFormat="0" applyFill="0" applyAlignment="0" applyProtection="0">
      <alignment vertical="center"/>
    </xf>
    <xf numFmtId="0" fontId="55" fillId="0" borderId="6" applyNumberFormat="0" applyFill="0" applyAlignment="0" applyProtection="0">
      <alignment vertical="center"/>
    </xf>
    <xf numFmtId="0" fontId="55" fillId="0" borderId="0" applyNumberFormat="0" applyFill="0" applyBorder="0" applyAlignment="0" applyProtection="0">
      <alignment vertical="center"/>
    </xf>
    <xf numFmtId="0" fontId="56" fillId="5" borderId="0" applyNumberFormat="0" applyBorder="0" applyAlignment="0" applyProtection="0">
      <alignment vertical="center"/>
    </xf>
    <xf numFmtId="0" fontId="57" fillId="6" borderId="0" applyNumberFormat="0" applyBorder="0" applyAlignment="0" applyProtection="0">
      <alignment vertical="center"/>
    </xf>
    <xf numFmtId="0" fontId="58" fillId="7" borderId="0" applyNumberFormat="0" applyBorder="0" applyAlignment="0" applyProtection="0">
      <alignment vertical="center"/>
    </xf>
    <xf numFmtId="0" fontId="59" fillId="8" borderId="7" applyNumberFormat="0" applyAlignment="0" applyProtection="0">
      <alignment vertical="center"/>
    </xf>
    <xf numFmtId="0" fontId="60" fillId="9" borderId="8" applyNumberFormat="0" applyAlignment="0" applyProtection="0">
      <alignment vertical="center"/>
    </xf>
    <xf numFmtId="0" fontId="61" fillId="9" borderId="7" applyNumberFormat="0" applyAlignment="0" applyProtection="0">
      <alignment vertical="center"/>
    </xf>
    <xf numFmtId="0" fontId="62" fillId="0" borderId="9" applyNumberFormat="0" applyFill="0" applyAlignment="0" applyProtection="0">
      <alignment vertical="center"/>
    </xf>
    <xf numFmtId="0" fontId="63" fillId="10" borderId="10" applyNumberForma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2" applyNumberFormat="0" applyFill="0" applyAlignment="0" applyProtection="0">
      <alignment vertical="center"/>
    </xf>
    <xf numFmtId="0" fontId="67"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67" fillId="35"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43">
    <xf numFmtId="0" fontId="0" fillId="0" borderId="0" xfId="0">
      <alignment vertical="center"/>
    </xf>
    <xf numFmtId="0" fontId="134" fillId="2" borderId="0" xfId="0" applyFont="1" applyFill="1" applyBorder="1" applyAlignment="1">
      <alignment horizontal="center"/>
    </xf>
    <xf numFmtId="0" fontId="0" fillId="2" borderId="0" xfId="0" applyFill="1">
      <alignment vertical="center"/>
    </xf>
    <xf numFmtId="0" fontId="0" fillId="2" borderId="0" xfId="0" applyFill="1" applyBorder="1">
      <alignment vertical="center"/>
    </xf>
    <xf numFmtId="0" fontId="0" fillId="2" borderId="0" xfId="0" applyFont="1" applyFill="1">
      <alignment vertical="center"/>
    </xf>
    <xf numFmtId="0" fontId="131" fillId="2" borderId="0" xfId="0" applyFont="1" applyFill="1" applyBorder="1">
      <alignment vertical="center"/>
    </xf>
    <xf numFmtId="0" fontId="131" fillId="2" borderId="0" xfId="0" applyFont="1" applyFill="1" applyBorder="1" applyAlignment="1">
      <alignment wrapText="1" shrinkToFit="1"/>
    </xf>
    <xf numFmtId="0" fontId="131" fillId="2" borderId="0" xfId="0" applyFont="1" applyFill="1">
      <alignment vertical="center"/>
    </xf>
    <xf numFmtId="0" fontId="133" fillId="2" borderId="0" xfId="0" applyFont="1" applyFill="1" applyBorder="1" applyAlignment="1">
      <alignment horizontal="center" vertical="top" wrapText="1"/>
    </xf>
    <xf numFmtId="0" fontId="135" fillId="2" borderId="0" xfId="0" applyFont="1" applyFill="1" applyBorder="1" applyAlignment="1">
      <alignment horizontal="center" vertical="center"/>
    </xf>
    <xf numFmtId="0" fontId="131" fillId="2" borderId="0" xfId="0" applyFont="1" applyFill="1" applyBorder="1" applyAlignment="1">
      <alignment horizontal="center" vertical="center"/>
    </xf>
    <xf numFmtId="0" fontId="136" fillId="2" borderId="0" xfId="0" applyFont="1" applyFill="1" applyBorder="1" applyAlignment="1">
      <alignment horizontal="right" vertical="center"/>
    </xf>
    <xf numFmtId="0" fontId="134" fillId="2" borderId="0" xfId="0" applyFont="1" applyFill="1" applyBorder="1" applyAlignment="1">
      <alignment horizontal="center"/>
    </xf>
    <xf numFmtId="0" fontId="137" fillId="2" borderId="0" xfId="0" applyFont="1" applyFill="1" applyBorder="1" applyAlignment="1">
      <alignment horizontal="center"/>
    </xf>
    <xf numFmtId="0" fontId="138" fillId="2" borderId="0" xfId="0" applyFont="1" applyFill="1" applyBorder="1" applyAlignment="1">
      <alignment horizontal="center" vertical="center"/>
    </xf>
    <xf numFmtId="0" fontId="139" fillId="2" borderId="0" xfId="0" applyFont="1" applyFill="1" applyBorder="1" applyAlignment="1">
      <alignment horizontal="right" vertical="center" indent="5"/>
    </xf>
    <xf numFmtId="0" fontId="139" fillId="2" borderId="0" xfId="0" applyFont="1" applyFill="1" applyBorder="1">
      <alignment vertical="center"/>
    </xf>
    <xf numFmtId="0" fontId="139" fillId="2" borderId="0" xfId="0" applyNumberFormat="1" applyFont="1" applyFill="1" applyBorder="1" applyAlignment="1">
      <alignment horizontal="right" vertical="center"/>
    </xf>
    <xf numFmtId="0" fontId="131" fillId="2" borderId="0" xfId="0" applyFont="1" applyFill="1" applyBorder="1" applyAlignment="1">
      <alignment vertical="center"/>
    </xf>
    <xf numFmtId="0" fontId="140" fillId="2" borderId="0" xfId="0" applyFont="1" applyFill="1" applyBorder="1" applyAlignment="1">
      <alignment horizontal="center"/>
    </xf>
    <xf numFmtId="0" fontId="139" fillId="2" borderId="0" xfId="0" applyFont="1" applyFill="1" applyBorder="1" applyAlignment="1">
      <alignment horizontal="left" vertical="center"/>
    </xf>
    <xf numFmtId="0" fontId="140" fillId="2" borderId="0" xfId="0" applyFont="1" applyFill="1" applyBorder="1" applyAlignment="1">
      <alignment horizontal="center" vertical="center" wrapText="1"/>
    </xf>
    <xf numFmtId="0" fontId="141" fillId="2" borderId="0" xfId="0" applyFont="1" applyFill="1" applyBorder="1" applyAlignment="1">
      <alignment horizontal="center" vertical="center" wrapText="1"/>
    </xf>
    <xf numFmtId="0" fontId="140" fillId="2" borderId="0" xfId="0" applyFont="1" applyFill="1" applyBorder="1" applyAlignment="1">
      <alignment horizontal="center" wrapText="1"/>
    </xf>
    <xf numFmtId="0" fontId="142" fillId="3" borderId="3" xfId="0" applyFont="1" applyFill="1" applyBorder="1" applyAlignment="1">
      <alignment horizontal="center" wrapText="1"/>
    </xf>
    <xf numFmtId="0" fontId="136" fillId="3" borderId="3" xfId="0" applyFont="1" applyFill="1" applyBorder="1" applyAlignment="1">
      <alignment horizontal="center" vertical="center"/>
    </xf>
    <xf numFmtId="0" fontId="136" fillId="3" borderId="3" xfId="0" applyFont="1" applyFill="1" applyBorder="1" applyAlignment="1">
      <alignment horizontal="center" vertical="top" wrapText="1"/>
    </xf>
    <xf numFmtId="0" fontId="98" fillId="2" borderId="3" xfId="0" applyFont="1" applyFill="1" applyBorder="1" applyAlignment="1">
      <alignment horizontal="center" wrapText="1" shrinkToFit="1"/>
    </xf>
    <xf numFmtId="0" fontId="98" fillId="2" borderId="3" xfId="0" applyFont="1" applyFill="1" applyBorder="1" applyAlignment="1">
      <alignment horizontal="center" vertical="center"/>
    </xf>
    <xf numFmtId="0" fontId="98" fillId="2" borderId="3" xfId="0" applyFont="1" applyFill="1" applyBorder="1" applyAlignment="1">
      <alignment horizontal="center" vertical="top" wrapText="1"/>
    </xf>
    <xf numFmtId="0" fontId="98" fillId="2" borderId="3" xfId="24617" applyFont="1" applyFill="1" applyBorder="1" applyAlignment="1">
      <alignment horizontal="center" vertical="center"/>
    </xf>
    <xf numFmtId="49" fontId="98" fillId="2" borderId="3" xfId="24617" applyNumberFormat="1" applyFont="1" applyFill="1" applyBorder="1">
      <alignment vertical="center"/>
    </xf>
    <xf numFmtId="0" fontId="131" fillId="2" borderId="0" xfId="0" applyFont="1" applyFill="1" applyAlignment="1">
      <alignment horizontal="center" vertical="center"/>
    </xf>
    <xf numFmtId="0" fontId="143" fillId="2" borderId="0" xfId="0" applyFont="1" applyFill="1" applyBorder="1" applyAlignment="1">
      <alignment horizontal="center" vertical="center" wrapText="1"/>
    </xf>
    <xf numFmtId="0" fontId="98" fillId="0" borderId="0" xfId="0" applyFont="1">
      <alignment vertical="center"/>
    </xf>
    <xf numFmtId="0" fontId="131" fillId="2" borderId="0" xfId="0" applyFont="1" applyFill="1" applyAlignment="1">
      <alignment horizontal="left" vertical="center"/>
    </xf>
    <xf numFmtId="0" fontId="98" fillId="2" borderId="3" xfId="32081" applyNumberFormat="1" applyFont="1" applyFill="1" applyBorder="1" applyAlignment="1">
      <alignment horizontal="center" vertical="center" wrapText="1"/>
    </xf>
    <xf numFmtId="0" fontId="98" fillId="2" borderId="3" xfId="32081" applyNumberFormat="1" applyFont="1" applyFill="1" applyBorder="1" applyAlignment="1">
      <alignment vertical="center" wrapText="1"/>
    </xf>
    <xf numFmtId="0" fontId="98" fillId="0" borderId="3" xfId="32081" applyNumberFormat="1" applyFont="1" applyFill="1" applyBorder="1" applyAlignment="1">
      <alignment vertical="center" wrapText="1"/>
    </xf>
    <xf numFmtId="0" fontId="98" fillId="0" borderId="3" xfId="32081" applyNumberFormat="1" applyFont="1" applyFill="1" applyBorder="1" applyAlignment="1">
      <alignment horizontal="center" vertical="center" wrapText="1"/>
    </xf>
    <xf numFmtId="0" fontId="98" fillId="0" borderId="3" xfId="0" applyNumberFormat="1" applyFont="1" applyFill="1" applyBorder="1" applyAlignment="1">
      <alignment horizontal="center" vertical="center" wrapText="1"/>
    </xf>
    <xf numFmtId="0" fontId="98" fillId="2" borderId="0" xfId="32081" applyNumberFormat="1" applyFont="1" applyFill="1" applyBorder="1" applyAlignment="1">
      <alignment horizontal="center" vertical="center" wrapText="1"/>
    </xf>
    <xf numFmtId="0" fontId="98" fillId="2" borderId="0" xfId="32081" applyNumberFormat="1" applyFont="1" applyFill="1" applyBorder="1" applyAlignment="1">
      <alignment vertical="center" wrapText="1"/>
    </xf>
    <xf numFmtId="0" fontId="131" fillId="2" borderId="0" xfId="0" applyFont="1" applyFill="1" applyAlignment="1">
      <alignment vertical="center"/>
    </xf>
    <xf numFmtId="49" fontId="136" fillId="3" borderId="3" xfId="0" applyNumberFormat="1" applyFont="1" applyFill="1" applyBorder="1" applyAlignment="1">
      <alignment horizontal="center" vertical="center"/>
    </xf>
    <xf numFmtId="49" fontId="98" fillId="2" borderId="3" xfId="0" applyNumberFormat="1" applyFont="1" applyFill="1" applyBorder="1" applyAlignment="1">
      <alignment horizontal="center" vertical="center"/>
    </xf>
    <xf numFmtId="0" fontId="98" fillId="2" borderId="3" xfId="0" applyFont="1" applyFill="1" applyBorder="1" applyAlignment="1">
      <alignment horizontal="center" vertical="center" wrapText="1" shrinkToFit="1"/>
    </xf>
    <xf numFmtId="0" fontId="98" fillId="2" borderId="3" xfId="0" applyFont="1" applyFill="1" applyBorder="1" applyAlignment="1">
      <alignment horizontal="center" vertical="center" wrapText="1"/>
    </xf>
    <xf numFmtId="49" fontId="131" fillId="2" borderId="0" xfId="0" applyNumberFormat="1" applyFont="1" applyFill="1">
      <alignment vertical="center"/>
    </xf>
    <xf numFmtId="0" fontId="146" fillId="2" borderId="3" xfId="32081" applyNumberFormat="1" applyFont="1" applyFill="1" applyBorder="1" applyAlignment="1">
      <alignment horizontal="center" vertical="center" wrapText="1"/>
    </xf>
    <xf numFmtId="0" fontId="98" fillId="2" borderId="29" xfId="32081" applyNumberFormat="1" applyFont="1" applyFill="1" applyBorder="1" applyAlignment="1">
      <alignment horizontal="center" vertical="center" wrapText="1"/>
    </xf>
    <xf numFmtId="49" fontId="144" fillId="60" borderId="29" xfId="32081" applyNumberFormat="1" applyFont="1" applyFill="1" applyBorder="1" applyAlignment="1">
      <alignment horizontal="center" vertical="center" wrapText="1"/>
    </xf>
    <xf numFmtId="49" fontId="144" fillId="61" borderId="29" xfId="32081" applyNumberFormat="1" applyFont="1" applyFill="1" applyBorder="1" applyAlignment="1">
      <alignment horizontal="center" vertical="center" wrapText="1"/>
    </xf>
    <xf numFmtId="0" fontId="98" fillId="2" borderId="29" xfId="32081" applyFont="1" applyFill="1" applyBorder="1" applyAlignment="1">
      <alignment horizontal="center" vertical="center"/>
    </xf>
    <xf numFmtId="0" fontId="98" fillId="2" borderId="30" xfId="32081" applyNumberFormat="1" applyFont="1" applyFill="1" applyBorder="1" applyAlignment="1">
      <alignment horizontal="center" vertical="center" wrapText="1"/>
    </xf>
    <xf numFmtId="0" fontId="145" fillId="0" borderId="29" xfId="32080" applyNumberFormat="1" applyFont="1" applyFill="1" applyBorder="1" applyAlignment="1" applyProtection="1">
      <alignment vertical="center" wrapText="1"/>
    </xf>
    <xf numFmtId="0" fontId="98" fillId="2" borderId="29" xfId="32081" applyFont="1" applyFill="1" applyBorder="1" applyAlignment="1">
      <alignment horizontal="center" vertical="center" wrapText="1"/>
    </xf>
    <xf numFmtId="0" fontId="98" fillId="2" borderId="29" xfId="32081" applyNumberFormat="1" applyFont="1" applyFill="1" applyBorder="1" applyAlignment="1">
      <alignment vertical="center" wrapText="1"/>
    </xf>
    <xf numFmtId="0" fontId="98" fillId="0" borderId="29" xfId="32081" applyNumberFormat="1" applyFont="1" applyFill="1" applyBorder="1" applyAlignment="1">
      <alignment horizontal="center" vertical="center" wrapText="1"/>
    </xf>
    <xf numFmtId="0" fontId="147" fillId="2" borderId="29" xfId="32081" applyNumberFormat="1" applyFont="1" applyFill="1" applyBorder="1" applyAlignment="1">
      <alignment horizontal="center" vertical="center" wrapText="1"/>
    </xf>
    <xf numFmtId="0" fontId="149" fillId="0" borderId="29" xfId="32080" applyNumberFormat="1" applyFont="1" applyFill="1" applyBorder="1" applyAlignment="1" applyProtection="1">
      <alignment vertical="center" wrapText="1"/>
    </xf>
    <xf numFmtId="0" fontId="145" fillId="0" borderId="0" xfId="32080" applyFont="1" applyFill="1" applyAlignment="1" applyProtection="1">
      <alignment vertical="center"/>
    </xf>
    <xf numFmtId="0" fontId="150" fillId="0" borderId="29" xfId="32080" applyNumberFormat="1" applyFont="1" applyFill="1" applyBorder="1" applyAlignment="1" applyProtection="1">
      <alignment vertical="center" wrapText="1"/>
    </xf>
    <xf numFmtId="0" fontId="151" fillId="0" borderId="29" xfId="32080" applyNumberFormat="1" applyFont="1" applyFill="1" applyBorder="1" applyAlignment="1" applyProtection="1">
      <alignment vertical="center" wrapText="1"/>
    </xf>
    <xf numFmtId="0" fontId="145" fillId="0" borderId="33" xfId="32080" applyNumberFormat="1" applyFont="1" applyFill="1" applyBorder="1" applyAlignment="1" applyProtection="1">
      <alignment vertical="center" wrapText="1"/>
    </xf>
    <xf numFmtId="0" fontId="98" fillId="0" borderId="29" xfId="32081" applyFont="1" applyFill="1" applyBorder="1" applyAlignment="1">
      <alignment horizontal="center" vertical="center"/>
    </xf>
    <xf numFmtId="0" fontId="98" fillId="0" borderId="30" xfId="32081" applyNumberFormat="1" applyFont="1" applyFill="1" applyBorder="1" applyAlignment="1">
      <alignment vertical="center" wrapText="1"/>
    </xf>
    <xf numFmtId="0" fontId="98" fillId="0" borderId="33" xfId="32081" applyNumberFormat="1" applyFont="1" applyFill="1" applyBorder="1" applyAlignment="1">
      <alignment horizontal="center" vertical="center" wrapText="1"/>
    </xf>
    <xf numFmtId="0" fontId="98" fillId="0" borderId="29" xfId="32081" applyFont="1" applyFill="1" applyBorder="1" applyAlignment="1">
      <alignment horizontal="center" vertical="center" wrapText="1"/>
    </xf>
    <xf numFmtId="0" fontId="147" fillId="0" borderId="29" xfId="32081" applyNumberFormat="1" applyFont="1" applyFill="1" applyBorder="1" applyAlignment="1">
      <alignment horizontal="center" vertical="center" wrapText="1"/>
    </xf>
    <xf numFmtId="0" fontId="98" fillId="0" borderId="29" xfId="32081" applyNumberFormat="1" applyFont="1" applyFill="1" applyBorder="1" applyAlignment="1">
      <alignment horizontal="left" vertical="center" wrapText="1"/>
    </xf>
    <xf numFmtId="0" fontId="98" fillId="2" borderId="3" xfId="32083" applyNumberFormat="1" applyFont="1" applyFill="1" applyBorder="1" applyAlignment="1">
      <alignment horizontal="center" vertical="center" wrapText="1"/>
    </xf>
    <xf numFmtId="0" fontId="98" fillId="2" borderId="3" xfId="32082" applyNumberFormat="1" applyFont="1" applyFill="1" applyBorder="1" applyAlignment="1">
      <alignment horizontal="center" vertical="center" wrapText="1"/>
    </xf>
    <xf numFmtId="0" fontId="98" fillId="2" borderId="3" xfId="32082" applyNumberFormat="1" applyFont="1" applyFill="1" applyBorder="1" applyAlignment="1">
      <alignment vertical="center" wrapText="1"/>
    </xf>
    <xf numFmtId="0" fontId="146" fillId="2" borderId="3" xfId="32082" applyNumberFormat="1" applyFont="1" applyFill="1" applyBorder="1" applyAlignment="1">
      <alignment horizontal="center" vertical="center" wrapText="1"/>
    </xf>
    <xf numFmtId="0" fontId="98" fillId="2" borderId="3" xfId="32083" applyNumberFormat="1" applyFont="1" applyFill="1" applyBorder="1" applyAlignment="1">
      <alignment vertical="center" wrapText="1"/>
    </xf>
    <xf numFmtId="0" fontId="146" fillId="2" borderId="3" xfId="32083" applyNumberFormat="1" applyFont="1" applyFill="1" applyBorder="1" applyAlignment="1">
      <alignment horizontal="center" vertical="center" wrapText="1"/>
    </xf>
    <xf numFmtId="0" fontId="98" fillId="2" borderId="29" xfId="32083" applyNumberFormat="1" applyFont="1" applyFill="1" applyBorder="1" applyAlignment="1">
      <alignment horizontal="center" vertical="center" wrapText="1"/>
    </xf>
    <xf numFmtId="0" fontId="98" fillId="2" borderId="3" xfId="32085" applyNumberFormat="1" applyFont="1" applyFill="1" applyBorder="1" applyAlignment="1">
      <alignment horizontal="center" vertical="center" wrapText="1"/>
    </xf>
    <xf numFmtId="0" fontId="98" fillId="2" borderId="3" xfId="32085" applyNumberFormat="1" applyFont="1" applyFill="1" applyBorder="1" applyAlignment="1">
      <alignment vertical="center" wrapText="1"/>
    </xf>
    <xf numFmtId="0" fontId="146" fillId="2" borderId="3" xfId="32085" applyNumberFormat="1" applyFont="1" applyFill="1" applyBorder="1" applyAlignment="1">
      <alignment horizontal="center" vertical="center" wrapText="1"/>
    </xf>
    <xf numFmtId="0" fontId="98" fillId="2" borderId="29" xfId="32085" applyNumberFormat="1" applyFont="1" applyFill="1" applyBorder="1" applyAlignment="1">
      <alignment horizontal="center" vertical="center" wrapText="1"/>
    </xf>
    <xf numFmtId="0" fontId="98" fillId="0" borderId="41" xfId="32085" applyNumberFormat="1" applyFont="1" applyFill="1" applyBorder="1" applyAlignment="1">
      <alignment horizontal="center" vertical="center" wrapText="1"/>
    </xf>
    <xf numFmtId="0" fontId="98" fillId="0" borderId="41" xfId="32085" applyNumberFormat="1" applyFont="1" applyFill="1" applyBorder="1" applyAlignment="1">
      <alignment vertical="center" wrapText="1"/>
    </xf>
    <xf numFmtId="0" fontId="98" fillId="0" borderId="3" xfId="32085" applyNumberFormat="1" applyFont="1" applyFill="1" applyBorder="1" applyAlignment="1">
      <alignment horizontal="center" vertical="center" wrapText="1"/>
    </xf>
    <xf numFmtId="0" fontId="98" fillId="0" borderId="3" xfId="32085" applyNumberFormat="1" applyFont="1" applyFill="1" applyBorder="1" applyAlignment="1">
      <alignment vertical="center" wrapText="1"/>
    </xf>
    <xf numFmtId="0" fontId="146" fillId="0" borderId="3" xfId="32084" applyNumberFormat="1" applyFont="1" applyFill="1" applyBorder="1" applyAlignment="1">
      <alignment horizontal="center" vertical="center" wrapText="1"/>
    </xf>
    <xf numFmtId="0" fontId="98" fillId="0" borderId="3" xfId="32084" applyNumberFormat="1" applyFont="1" applyFill="1" applyBorder="1" applyAlignment="1">
      <alignment horizontal="center" vertical="center" wrapText="1"/>
    </xf>
    <xf numFmtId="0" fontId="98" fillId="0" borderId="3" xfId="32084" applyNumberFormat="1" applyFont="1" applyFill="1" applyBorder="1" applyAlignment="1">
      <alignment vertical="center" wrapText="1"/>
    </xf>
    <xf numFmtId="0" fontId="146" fillId="0" borderId="34" xfId="32084" applyNumberFormat="1" applyFont="1" applyFill="1" applyBorder="1" applyAlignment="1">
      <alignment horizontal="center" vertical="center" wrapText="1"/>
    </xf>
    <xf numFmtId="0" fontId="98" fillId="0" borderId="34" xfId="32084" applyNumberFormat="1" applyFont="1" applyFill="1" applyBorder="1" applyAlignment="1">
      <alignment horizontal="center" vertical="center" wrapText="1"/>
    </xf>
    <xf numFmtId="0" fontId="146" fillId="0" borderId="39" xfId="32084" applyNumberFormat="1" applyFont="1" applyFill="1" applyBorder="1" applyAlignment="1">
      <alignment horizontal="center" vertical="center" wrapText="1"/>
    </xf>
    <xf numFmtId="0" fontId="98" fillId="0" borderId="38" xfId="32084" applyNumberFormat="1" applyFont="1" applyFill="1" applyBorder="1" applyAlignment="1">
      <alignment vertical="center" wrapText="1"/>
    </xf>
    <xf numFmtId="0" fontId="146" fillId="0" borderId="40" xfId="32084" applyNumberFormat="1" applyFont="1" applyFill="1" applyBorder="1" applyAlignment="1">
      <alignment horizontal="center" vertical="center" wrapText="1"/>
    </xf>
    <xf numFmtId="0" fontId="146" fillId="0" borderId="41" xfId="32084" applyNumberFormat="1" applyFont="1" applyFill="1" applyBorder="1" applyAlignment="1">
      <alignment horizontal="center" vertical="center" wrapText="1"/>
    </xf>
    <xf numFmtId="0" fontId="98" fillId="0" borderId="41" xfId="32084" applyNumberFormat="1" applyFont="1" applyFill="1" applyBorder="1" applyAlignment="1">
      <alignment horizontal="center" vertical="center" wrapText="1"/>
    </xf>
    <xf numFmtId="0" fontId="98" fillId="0" borderId="41" xfId="32084" applyNumberFormat="1" applyFont="1" applyFill="1" applyBorder="1" applyAlignment="1">
      <alignment vertical="center" wrapText="1"/>
    </xf>
    <xf numFmtId="0" fontId="98" fillId="0" borderId="42" xfId="32084" applyNumberFormat="1" applyFont="1" applyFill="1" applyBorder="1" applyAlignment="1">
      <alignment vertical="center" wrapText="1"/>
    </xf>
    <xf numFmtId="0" fontId="131" fillId="0" borderId="0" xfId="0" applyFont="1" applyFill="1" applyAlignment="1">
      <alignment horizontal="center" vertical="center"/>
    </xf>
    <xf numFmtId="0" fontId="131" fillId="0" borderId="0" xfId="0" applyFont="1" applyFill="1">
      <alignment vertical="center"/>
    </xf>
    <xf numFmtId="0" fontId="131" fillId="0" borderId="0" xfId="0" applyFont="1" applyFill="1" applyAlignment="1">
      <alignment horizontal="left" vertical="center"/>
    </xf>
    <xf numFmtId="0" fontId="143" fillId="0" borderId="0" xfId="0" applyFont="1" applyFill="1" applyBorder="1" applyAlignment="1">
      <alignment horizontal="center" vertical="center" wrapText="1"/>
    </xf>
    <xf numFmtId="0" fontId="98" fillId="0" borderId="3" xfId="32083" applyNumberFormat="1" applyFont="1" applyFill="1" applyBorder="1" applyAlignment="1">
      <alignment horizontal="center" vertical="center" wrapText="1"/>
    </xf>
    <xf numFmtId="0" fontId="146" fillId="0" borderId="3" xfId="32085" applyNumberFormat="1" applyFont="1" applyFill="1" applyBorder="1" applyAlignment="1">
      <alignment horizontal="center" vertical="center" wrapText="1"/>
    </xf>
    <xf numFmtId="0" fontId="146" fillId="0" borderId="34" xfId="32085" applyNumberFormat="1" applyFont="1" applyFill="1" applyBorder="1" applyAlignment="1">
      <alignment horizontal="center" vertical="center" wrapText="1"/>
    </xf>
    <xf numFmtId="0" fontId="98" fillId="0" borderId="34" xfId="32085" applyNumberFormat="1" applyFont="1" applyFill="1" applyBorder="1" applyAlignment="1">
      <alignment horizontal="center" vertical="center" wrapText="1"/>
    </xf>
    <xf numFmtId="0" fontId="146" fillId="0" borderId="39" xfId="32085" applyNumberFormat="1" applyFont="1" applyFill="1" applyBorder="1" applyAlignment="1">
      <alignment horizontal="center" vertical="center" wrapText="1"/>
    </xf>
    <xf numFmtId="0" fontId="98" fillId="0" borderId="38" xfId="32085" applyNumberFormat="1" applyFont="1" applyFill="1" applyBorder="1" applyAlignment="1">
      <alignment vertical="center" wrapText="1"/>
    </xf>
    <xf numFmtId="0" fontId="146" fillId="0" borderId="43" xfId="32085" applyNumberFormat="1" applyFont="1" applyFill="1" applyBorder="1" applyAlignment="1">
      <alignment horizontal="center" vertical="center" wrapText="1"/>
    </xf>
    <xf numFmtId="0" fontId="146" fillId="0" borderId="40" xfId="32085" applyNumberFormat="1" applyFont="1" applyFill="1" applyBorder="1" applyAlignment="1">
      <alignment horizontal="center" vertical="center" wrapText="1"/>
    </xf>
    <xf numFmtId="0" fontId="146" fillId="0" borderId="41" xfId="32085" applyNumberFormat="1" applyFont="1" applyFill="1" applyBorder="1" applyAlignment="1">
      <alignment horizontal="center" vertical="center" wrapText="1"/>
    </xf>
    <xf numFmtId="0" fontId="98" fillId="0" borderId="42" xfId="32085" applyNumberFormat="1" applyFont="1" applyFill="1" applyBorder="1" applyAlignment="1">
      <alignment vertical="center" wrapText="1"/>
    </xf>
    <xf numFmtId="0" fontId="98" fillId="2" borderId="3" xfId="0" applyFont="1" applyFill="1" applyBorder="1" applyAlignment="1">
      <alignment horizontal="left" vertical="top" wrapText="1"/>
    </xf>
    <xf numFmtId="0" fontId="98" fillId="2" borderId="3" xfId="32083" applyFont="1" applyFill="1" applyBorder="1" applyAlignment="1">
      <alignment horizontal="center" vertical="center" wrapText="1"/>
    </xf>
    <xf numFmtId="0" fontId="98" fillId="0" borderId="29" xfId="32081" applyFont="1" applyFill="1" applyBorder="1" applyAlignment="1">
      <alignment horizontal="left" vertical="center" wrapText="1"/>
    </xf>
    <xf numFmtId="0" fontId="98" fillId="0" borderId="33" xfId="32081" applyNumberFormat="1" applyFont="1" applyFill="1" applyBorder="1" applyAlignment="1">
      <alignment vertical="center" wrapText="1"/>
    </xf>
    <xf numFmtId="0" fontId="146" fillId="0" borderId="3" xfId="32081" applyNumberFormat="1" applyFont="1" applyFill="1" applyBorder="1" applyAlignment="1">
      <alignment horizontal="center" vertical="center" wrapText="1"/>
    </xf>
    <xf numFmtId="0" fontId="146" fillId="0" borderId="3" xfId="32083" applyNumberFormat="1" applyFont="1" applyFill="1" applyBorder="1" applyAlignment="1">
      <alignment horizontal="center" vertical="center" wrapText="1"/>
    </xf>
    <xf numFmtId="0" fontId="146" fillId="0" borderId="34" xfId="32083" applyNumberFormat="1" applyFont="1" applyFill="1" applyBorder="1" applyAlignment="1">
      <alignment horizontal="center" vertical="center" wrapText="1"/>
    </xf>
    <xf numFmtId="0" fontId="98" fillId="0" borderId="34" xfId="32083" applyNumberFormat="1" applyFont="1" applyFill="1" applyBorder="1" applyAlignment="1">
      <alignment horizontal="center" vertical="center" wrapText="1"/>
    </xf>
    <xf numFmtId="0" fontId="146" fillId="0" borderId="39" xfId="32083" applyNumberFormat="1" applyFont="1" applyFill="1" applyBorder="1" applyAlignment="1">
      <alignment horizontal="center" vertical="center" wrapText="1"/>
    </xf>
    <xf numFmtId="0" fontId="98" fillId="0" borderId="3" xfId="32083" applyNumberFormat="1" applyFont="1" applyFill="1" applyBorder="1" applyAlignment="1">
      <alignment vertical="center" wrapText="1"/>
    </xf>
    <xf numFmtId="0" fontId="98" fillId="0" borderId="38" xfId="32083" applyNumberFormat="1" applyFont="1" applyFill="1" applyBorder="1" applyAlignment="1">
      <alignment vertical="center" wrapText="1"/>
    </xf>
    <xf numFmtId="0" fontId="146" fillId="0" borderId="40" xfId="32083" applyNumberFormat="1" applyFont="1" applyFill="1" applyBorder="1" applyAlignment="1">
      <alignment horizontal="center" vertical="center" wrapText="1"/>
    </xf>
    <xf numFmtId="0" fontId="146" fillId="0" borderId="41" xfId="32083" applyNumberFormat="1" applyFont="1" applyFill="1" applyBorder="1" applyAlignment="1">
      <alignment horizontal="center" vertical="center" wrapText="1"/>
    </xf>
    <xf numFmtId="0" fontId="98" fillId="0" borderId="41" xfId="32083" applyNumberFormat="1" applyFont="1" applyFill="1" applyBorder="1" applyAlignment="1">
      <alignment horizontal="center" vertical="center" wrapText="1"/>
    </xf>
    <xf numFmtId="0" fontId="98" fillId="0" borderId="42" xfId="32083" applyNumberFormat="1" applyFont="1" applyFill="1" applyBorder="1" applyAlignment="1">
      <alignment vertical="center" wrapText="1"/>
    </xf>
    <xf numFmtId="0" fontId="98" fillId="2" borderId="3" xfId="0" applyFont="1" applyFill="1" applyBorder="1" applyAlignment="1">
      <alignment vertical="top" wrapText="1"/>
    </xf>
    <xf numFmtId="0" fontId="98" fillId="0" borderId="3" xfId="409" applyNumberFormat="1" applyFont="1" applyFill="1" applyBorder="1" applyAlignment="1">
      <alignment horizontal="center" vertical="center" wrapText="1"/>
    </xf>
    <xf numFmtId="0" fontId="98" fillId="0" borderId="3" xfId="409" applyNumberFormat="1" applyFont="1" applyFill="1" applyBorder="1" applyAlignment="1">
      <alignment vertical="center" wrapText="1"/>
    </xf>
    <xf numFmtId="0" fontId="98" fillId="0" borderId="3" xfId="409" applyNumberFormat="1" applyFont="1" applyFill="1" applyBorder="1" applyAlignment="1">
      <alignment horizontal="left" vertical="center" wrapText="1"/>
    </xf>
    <xf numFmtId="0" fontId="98" fillId="0" borderId="0" xfId="409" applyFont="1" applyFill="1">
      <alignment vertical="center"/>
    </xf>
    <xf numFmtId="0" fontId="98" fillId="0" borderId="0" xfId="409" applyFont="1" applyFill="1" applyAlignment="1">
      <alignment vertical="center" wrapText="1"/>
    </xf>
    <xf numFmtId="0" fontId="98" fillId="0" borderId="3" xfId="409" applyFont="1" applyFill="1" applyBorder="1" applyAlignment="1">
      <alignment vertical="center" wrapText="1"/>
    </xf>
    <xf numFmtId="0" fontId="98" fillId="0" borderId="3" xfId="409" applyFont="1" applyFill="1" applyBorder="1" applyAlignment="1">
      <alignment horizontal="center" vertical="center" wrapText="1"/>
    </xf>
    <xf numFmtId="0" fontId="98" fillId="0" borderId="3" xfId="409" applyFont="1" applyFill="1" applyBorder="1" applyAlignment="1">
      <alignment horizontal="left" vertical="center" wrapText="1"/>
    </xf>
    <xf numFmtId="0" fontId="98" fillId="0" borderId="3" xfId="409" applyFont="1" applyFill="1" applyBorder="1" applyAlignment="1">
      <alignment vertical="top" wrapText="1"/>
    </xf>
    <xf numFmtId="0" fontId="98" fillId="0" borderId="3" xfId="409" applyFont="1" applyFill="1" applyBorder="1" applyAlignment="1">
      <alignment horizontal="center" vertical="top" wrapText="1"/>
    </xf>
    <xf numFmtId="0" fontId="98" fillId="0" borderId="3" xfId="32081" applyNumberFormat="1" applyFont="1" applyFill="1" applyBorder="1" applyAlignment="1">
      <alignment horizontal="left" vertical="center" wrapText="1"/>
    </xf>
    <xf numFmtId="0" fontId="98" fillId="0" borderId="3" xfId="0" applyNumberFormat="1" applyFont="1" applyFill="1" applyBorder="1" applyAlignment="1">
      <alignment horizontal="left" vertical="center" wrapText="1"/>
    </xf>
    <xf numFmtId="0" fontId="98" fillId="0" borderId="3" xfId="32082" applyNumberFormat="1" applyFont="1" applyFill="1" applyBorder="1" applyAlignment="1">
      <alignment horizontal="center" vertical="center" wrapText="1"/>
    </xf>
    <xf numFmtId="0" fontId="98" fillId="0" borderId="3" xfId="0" applyNumberFormat="1" applyFont="1" applyFill="1" applyBorder="1" applyAlignment="1">
      <alignment vertical="center" wrapText="1"/>
    </xf>
    <xf numFmtId="0" fontId="98" fillId="0" borderId="41" xfId="32083" applyNumberFormat="1" applyFont="1" applyFill="1" applyBorder="1" applyAlignment="1">
      <alignment vertical="center" wrapText="1"/>
    </xf>
    <xf numFmtId="0" fontId="98" fillId="0" borderId="29" xfId="32083" applyNumberFormat="1" applyFont="1" applyFill="1" applyBorder="1" applyAlignment="1">
      <alignment horizontal="center" vertical="center" wrapText="1"/>
    </xf>
    <xf numFmtId="0" fontId="98" fillId="2" borderId="3" xfId="0" applyFont="1" applyFill="1" applyBorder="1" applyAlignment="1">
      <alignment vertical="center" wrapText="1"/>
    </xf>
    <xf numFmtId="0" fontId="98" fillId="0" borderId="3" xfId="68" applyFont="1" applyFill="1" applyBorder="1" applyAlignment="1" applyProtection="1">
      <alignment vertical="center" wrapText="1"/>
      <protection locked="0"/>
    </xf>
    <xf numFmtId="0" fontId="0" fillId="0" borderId="0" xfId="0" applyFill="1">
      <alignment vertical="center"/>
    </xf>
    <xf numFmtId="49" fontId="98" fillId="0" borderId="3" xfId="0" applyNumberFormat="1" applyFont="1" applyFill="1" applyBorder="1" applyAlignment="1">
      <alignment horizontal="center" vertical="center"/>
    </xf>
    <xf numFmtId="0" fontId="98" fillId="0" borderId="3" xfId="0" applyFont="1" applyFill="1" applyBorder="1" applyAlignment="1">
      <alignment horizontal="center" vertical="center"/>
    </xf>
    <xf numFmtId="0" fontId="98" fillId="2" borderId="3" xfId="32091" applyNumberFormat="1" applyFont="1" applyFill="1" applyBorder="1" applyAlignment="1">
      <alignment horizontal="center" vertical="center" wrapText="1"/>
    </xf>
    <xf numFmtId="0" fontId="98" fillId="2" borderId="3" xfId="32091" applyNumberFormat="1" applyFont="1" applyFill="1" applyBorder="1" applyAlignment="1">
      <alignment vertical="center" wrapText="1"/>
    </xf>
    <xf numFmtId="0" fontId="146" fillId="2" borderId="3" xfId="32091" applyNumberFormat="1" applyFont="1" applyFill="1" applyBorder="1" applyAlignment="1">
      <alignment horizontal="center" vertical="center" wrapText="1"/>
    </xf>
    <xf numFmtId="0" fontId="131" fillId="0" borderId="44" xfId="0" applyFont="1" applyFill="1" applyBorder="1">
      <alignment vertical="center"/>
    </xf>
    <xf numFmtId="0" fontId="131" fillId="0" borderId="45" xfId="0" applyFont="1" applyFill="1" applyBorder="1" applyAlignment="1">
      <alignment horizontal="center" vertical="center"/>
    </xf>
    <xf numFmtId="0" fontId="131" fillId="0" borderId="46" xfId="0" applyFont="1" applyFill="1" applyBorder="1" applyAlignment="1">
      <alignment horizontal="left" vertical="center"/>
    </xf>
    <xf numFmtId="0" fontId="131" fillId="0" borderId="47" xfId="0" applyFont="1" applyFill="1" applyBorder="1">
      <alignment vertical="center"/>
    </xf>
    <xf numFmtId="0" fontId="131" fillId="0" borderId="48" xfId="0" applyFont="1" applyFill="1" applyBorder="1" applyAlignment="1">
      <alignment horizontal="center" vertical="center"/>
    </xf>
    <xf numFmtId="0" fontId="131" fillId="0" borderId="49" xfId="0" applyFont="1" applyFill="1" applyBorder="1" applyAlignment="1">
      <alignment horizontal="left" vertical="center"/>
    </xf>
    <xf numFmtId="0" fontId="131" fillId="0" borderId="50" xfId="0" applyFont="1" applyFill="1" applyBorder="1">
      <alignment vertical="center"/>
    </xf>
    <xf numFmtId="0" fontId="131" fillId="0" borderId="51" xfId="0" applyFont="1" applyFill="1" applyBorder="1" applyAlignment="1">
      <alignment horizontal="center" vertical="center"/>
    </xf>
    <xf numFmtId="0" fontId="131" fillId="0" borderId="52" xfId="0" applyFont="1" applyFill="1" applyBorder="1" applyAlignment="1">
      <alignment horizontal="left" vertical="center"/>
    </xf>
    <xf numFmtId="0" fontId="98" fillId="0" borderId="55" xfId="32081" applyNumberFormat="1" applyFont="1" applyFill="1" applyBorder="1" applyAlignment="1">
      <alignment horizontal="center" vertical="center" wrapText="1"/>
    </xf>
    <xf numFmtId="0" fontId="98" fillId="0" borderId="55" xfId="32081" applyNumberFormat="1" applyFont="1" applyFill="1" applyBorder="1" applyAlignment="1">
      <alignment vertical="center" wrapText="1"/>
    </xf>
    <xf numFmtId="49" fontId="144" fillId="3" borderId="54" xfId="32081" applyNumberFormat="1" applyFont="1" applyFill="1" applyBorder="1" applyAlignment="1">
      <alignment horizontal="center" vertical="center"/>
    </xf>
    <xf numFmtId="0" fontId="98" fillId="2" borderId="55" xfId="32081" applyNumberFormat="1" applyFont="1" applyFill="1" applyBorder="1" applyAlignment="1">
      <alignment horizontal="center" vertical="center" wrapText="1"/>
    </xf>
    <xf numFmtId="0" fontId="98" fillId="2" borderId="55" xfId="32081" applyNumberFormat="1" applyFont="1" applyFill="1" applyBorder="1" applyAlignment="1">
      <alignment vertical="center" wrapText="1"/>
    </xf>
    <xf numFmtId="0" fontId="98" fillId="2" borderId="55" xfId="32083" applyNumberFormat="1" applyFont="1" applyFill="1" applyBorder="1" applyAlignment="1">
      <alignment horizontal="center" vertical="center" wrapText="1"/>
    </xf>
    <xf numFmtId="0" fontId="98" fillId="2" borderId="55" xfId="32082" applyNumberFormat="1" applyFont="1" applyFill="1" applyBorder="1" applyAlignment="1">
      <alignment horizontal="center" vertical="center" wrapText="1"/>
    </xf>
    <xf numFmtId="0" fontId="98" fillId="2" borderId="55" xfId="32082" applyNumberFormat="1" applyFont="1" applyFill="1" applyBorder="1" applyAlignment="1">
      <alignment vertical="center" wrapText="1"/>
    </xf>
    <xf numFmtId="49" fontId="144" fillId="3" borderId="54" xfId="32082" applyNumberFormat="1" applyFont="1" applyFill="1" applyBorder="1" applyAlignment="1">
      <alignment horizontal="center" vertical="center"/>
    </xf>
    <xf numFmtId="0" fontId="98" fillId="2" borderId="55" xfId="32083" applyNumberFormat="1" applyFont="1" applyFill="1" applyBorder="1" applyAlignment="1">
      <alignment vertical="center" wrapText="1"/>
    </xf>
    <xf numFmtId="49" fontId="144" fillId="3" borderId="54" xfId="32083" applyNumberFormat="1" applyFont="1" applyFill="1" applyBorder="1" applyAlignment="1">
      <alignment horizontal="center" vertical="center"/>
    </xf>
    <xf numFmtId="0" fontId="98" fillId="2" borderId="55" xfId="32084" applyNumberFormat="1" applyFont="1" applyFill="1" applyBorder="1" applyAlignment="1">
      <alignment horizontal="center" vertical="center" wrapText="1"/>
    </xf>
    <xf numFmtId="0" fontId="98" fillId="2" borderId="55" xfId="32084" applyNumberFormat="1" applyFont="1" applyFill="1" applyBorder="1" applyAlignment="1">
      <alignment vertical="center" wrapText="1"/>
    </xf>
    <xf numFmtId="49" fontId="144" fillId="3" borderId="54" xfId="32084" applyNumberFormat="1" applyFont="1" applyFill="1" applyBorder="1" applyAlignment="1">
      <alignment horizontal="center" vertical="center"/>
    </xf>
    <xf numFmtId="0" fontId="98" fillId="0" borderId="55" xfId="32083" applyNumberFormat="1" applyFont="1" applyFill="1" applyBorder="1" applyAlignment="1">
      <alignment horizontal="center" vertical="center" wrapText="1"/>
    </xf>
    <xf numFmtId="0" fontId="98" fillId="0" borderId="55" xfId="32085" applyNumberFormat="1" applyFont="1" applyFill="1" applyBorder="1" applyAlignment="1">
      <alignment horizontal="center" vertical="center" wrapText="1"/>
    </xf>
    <xf numFmtId="0" fontId="98" fillId="0" borderId="55" xfId="32085" applyNumberFormat="1" applyFont="1" applyFill="1" applyBorder="1" applyAlignment="1">
      <alignment vertical="center" wrapText="1"/>
    </xf>
    <xf numFmtId="0" fontId="98" fillId="2" borderId="55" xfId="32085" applyNumberFormat="1" applyFont="1" applyFill="1" applyBorder="1" applyAlignment="1">
      <alignment horizontal="center" vertical="center" wrapText="1"/>
    </xf>
    <xf numFmtId="0" fontId="98" fillId="2" borderId="55" xfId="32085" applyNumberFormat="1" applyFont="1" applyFill="1" applyBorder="1" applyAlignment="1">
      <alignment vertical="center" wrapText="1"/>
    </xf>
    <xf numFmtId="49" fontId="144" fillId="3" borderId="54" xfId="32085" applyNumberFormat="1" applyFont="1" applyFill="1" applyBorder="1" applyAlignment="1">
      <alignment horizontal="center" vertical="center"/>
    </xf>
    <xf numFmtId="0" fontId="98" fillId="2" borderId="55" xfId="32091" applyNumberFormat="1" applyFont="1" applyFill="1" applyBorder="1" applyAlignment="1">
      <alignment horizontal="center" vertical="center" wrapText="1"/>
    </xf>
    <xf numFmtId="0" fontId="98" fillId="2" borderId="55" xfId="32091" applyNumberFormat="1" applyFont="1" applyFill="1" applyBorder="1" applyAlignment="1">
      <alignment vertical="center" wrapText="1"/>
    </xf>
    <xf numFmtId="49" fontId="144" fillId="3" borderId="54" xfId="32091" applyNumberFormat="1" applyFont="1" applyFill="1" applyBorder="1" applyAlignment="1">
      <alignment horizontal="center" vertical="center"/>
    </xf>
    <xf numFmtId="0" fontId="98" fillId="0" borderId="38" xfId="32081" applyNumberFormat="1" applyFont="1" applyFill="1" applyBorder="1" applyAlignment="1">
      <alignment vertical="center" wrapText="1"/>
    </xf>
    <xf numFmtId="0" fontId="146" fillId="0" borderId="3" xfId="32091" applyNumberFormat="1" applyFont="1" applyFill="1" applyBorder="1" applyAlignment="1">
      <alignment horizontal="center" vertical="center" wrapText="1"/>
    </xf>
    <xf numFmtId="0" fontId="98" fillId="0" borderId="3" xfId="32091" applyNumberFormat="1" applyFont="1" applyFill="1" applyBorder="1" applyAlignment="1">
      <alignment horizontal="center" vertical="center" wrapText="1"/>
    </xf>
    <xf numFmtId="0" fontId="146" fillId="0" borderId="39" xfId="32091" applyNumberFormat="1" applyFont="1" applyFill="1" applyBorder="1" applyAlignment="1">
      <alignment horizontal="center" vertical="center" wrapText="1"/>
    </xf>
    <xf numFmtId="0" fontId="98" fillId="0" borderId="3" xfId="32091" applyNumberFormat="1" applyFont="1" applyFill="1" applyBorder="1" applyAlignment="1">
      <alignment vertical="center" wrapText="1"/>
    </xf>
    <xf numFmtId="0" fontId="98" fillId="0" borderId="38" xfId="32091" applyNumberFormat="1" applyFont="1" applyFill="1" applyBorder="1" applyAlignment="1">
      <alignment vertical="center" wrapText="1"/>
    </xf>
    <xf numFmtId="0" fontId="98" fillId="62" borderId="3" xfId="409" applyNumberFormat="1" applyFont="1" applyFill="1" applyBorder="1" applyAlignment="1">
      <alignment horizontal="center" vertical="center" wrapText="1"/>
    </xf>
    <xf numFmtId="0" fontId="98" fillId="62" borderId="3" xfId="409" applyNumberFormat="1" applyFont="1" applyFill="1" applyBorder="1" applyAlignment="1">
      <alignment horizontal="left" vertical="center" wrapText="1"/>
    </xf>
    <xf numFmtId="0" fontId="98" fillId="62" borderId="3" xfId="32081" applyNumberFormat="1" applyFont="1" applyFill="1" applyBorder="1" applyAlignment="1">
      <alignment vertical="center" wrapText="1"/>
    </xf>
    <xf numFmtId="0" fontId="98" fillId="62" borderId="3" xfId="32081" applyNumberFormat="1" applyFont="1" applyFill="1" applyBorder="1" applyAlignment="1">
      <alignment horizontal="center" vertical="center" wrapText="1"/>
    </xf>
    <xf numFmtId="0" fontId="98" fillId="0" borderId="3" xfId="0" applyFont="1" applyFill="1" applyBorder="1" applyAlignment="1">
      <alignment horizontal="center" vertical="center" wrapText="1" shrinkToFit="1"/>
    </xf>
    <xf numFmtId="0" fontId="98" fillId="0" borderId="3" xfId="0" applyFont="1" applyFill="1" applyBorder="1" applyAlignment="1">
      <alignment vertical="center" wrapText="1"/>
    </xf>
    <xf numFmtId="0" fontId="98" fillId="0" borderId="3" xfId="0" applyFont="1" applyFill="1" applyBorder="1" applyAlignment="1">
      <alignment horizontal="center" vertical="center" wrapText="1"/>
    </xf>
    <xf numFmtId="0" fontId="98" fillId="62" borderId="3" xfId="32085" applyNumberFormat="1" applyFont="1" applyFill="1" applyBorder="1" applyAlignment="1">
      <alignment horizontal="center" vertical="center" wrapText="1"/>
    </xf>
    <xf numFmtId="0" fontId="154" fillId="2" borderId="0" xfId="0" applyFont="1" applyFill="1">
      <alignment vertical="center"/>
    </xf>
    <xf numFmtId="0" fontId="98" fillId="62" borderId="3" xfId="0" applyFont="1" applyFill="1" applyBorder="1" applyAlignment="1">
      <alignment horizontal="center" vertical="center" wrapText="1"/>
    </xf>
    <xf numFmtId="0" fontId="98" fillId="62" borderId="3" xfId="0" applyFont="1" applyFill="1" applyBorder="1" applyAlignment="1">
      <alignment vertical="center" wrapText="1"/>
    </xf>
    <xf numFmtId="49" fontId="98" fillId="62" borderId="3" xfId="0" applyNumberFormat="1" applyFont="1" applyFill="1" applyBorder="1" applyAlignment="1">
      <alignment horizontal="center" vertical="center"/>
    </xf>
    <xf numFmtId="0" fontId="98" fillId="62" borderId="3" xfId="0" applyFont="1" applyFill="1" applyBorder="1" applyAlignment="1">
      <alignment horizontal="center" vertical="center" wrapText="1" shrinkToFit="1"/>
    </xf>
    <xf numFmtId="0" fontId="98" fillId="2" borderId="3" xfId="44898" applyFont="1" applyFill="1" applyBorder="1" applyAlignment="1">
      <alignment horizontal="center" vertical="center"/>
    </xf>
    <xf numFmtId="49" fontId="98" fillId="2" borderId="27" xfId="44898" applyNumberFormat="1" applyFont="1" applyFill="1" applyBorder="1" applyAlignment="1">
      <alignment horizontal="left" vertical="center"/>
    </xf>
    <xf numFmtId="49" fontId="98" fillId="2" borderId="3" xfId="44898" applyNumberFormat="1" applyFont="1" applyFill="1" applyBorder="1" applyAlignment="1">
      <alignment vertical="center" wrapText="1"/>
    </xf>
    <xf numFmtId="0" fontId="98" fillId="2" borderId="3" xfId="44898" applyNumberFormat="1" applyFont="1" applyFill="1" applyBorder="1" applyAlignment="1">
      <alignment vertical="center" wrapText="1"/>
    </xf>
    <xf numFmtId="49" fontId="98" fillId="2" borderId="3" xfId="44898" applyNumberFormat="1" applyFont="1" applyFill="1" applyBorder="1">
      <alignment vertical="center"/>
    </xf>
    <xf numFmtId="49" fontId="98" fillId="0" borderId="3" xfId="44898" applyNumberFormat="1" applyFont="1" applyFill="1" applyBorder="1" applyAlignment="1">
      <alignment vertical="center" wrapText="1"/>
    </xf>
    <xf numFmtId="0" fontId="98" fillId="0" borderId="3" xfId="0" applyFont="1" applyFill="1" applyBorder="1" applyAlignment="1">
      <alignment horizontal="center" vertical="center"/>
    </xf>
    <xf numFmtId="0" fontId="144" fillId="3" borderId="53" xfId="44898" applyFont="1" applyFill="1" applyBorder="1" applyAlignment="1">
      <alignment horizontal="center" vertical="center"/>
    </xf>
    <xf numFmtId="49" fontId="144" fillId="3" borderId="53" xfId="44898" applyNumberFormat="1" applyFont="1" applyFill="1" applyBorder="1" applyAlignment="1">
      <alignment horizontal="center" vertical="center"/>
    </xf>
    <xf numFmtId="0" fontId="98" fillId="62" borderId="3" xfId="0" applyFont="1" applyFill="1" applyBorder="1" applyAlignment="1">
      <alignment horizontal="center" vertical="center"/>
    </xf>
    <xf numFmtId="49" fontId="98" fillId="0" borderId="27" xfId="44898" applyNumberFormat="1" applyFont="1" applyFill="1" applyBorder="1" applyAlignment="1">
      <alignment horizontal="left" vertical="center"/>
    </xf>
    <xf numFmtId="0" fontId="146" fillId="62" borderId="3" xfId="32085" applyNumberFormat="1" applyFont="1" applyFill="1" applyBorder="1" applyAlignment="1">
      <alignment horizontal="center" vertical="center" wrapText="1"/>
    </xf>
    <xf numFmtId="0" fontId="98" fillId="0" borderId="3" xfId="44898" applyFont="1" applyFill="1" applyBorder="1" applyAlignment="1">
      <alignment horizontal="center" vertical="center"/>
    </xf>
    <xf numFmtId="0" fontId="146" fillId="62" borderId="3" xfId="32081" applyNumberFormat="1" applyFont="1" applyFill="1" applyBorder="1" applyAlignment="1">
      <alignment horizontal="center" vertical="center" wrapText="1"/>
    </xf>
    <xf numFmtId="0" fontId="98" fillId="62" borderId="3" xfId="0" applyNumberFormat="1" applyFont="1" applyFill="1" applyBorder="1" applyAlignment="1">
      <alignment horizontal="center" vertical="center" wrapText="1"/>
    </xf>
    <xf numFmtId="0" fontId="132" fillId="2" borderId="1" xfId="0" applyFont="1" applyFill="1" applyBorder="1" applyAlignment="1">
      <alignment horizontal="center" vertical="center" wrapText="1"/>
    </xf>
    <xf numFmtId="0" fontId="133" fillId="2" borderId="1" xfId="0" applyFont="1" applyFill="1" applyBorder="1" applyAlignment="1">
      <alignment horizontal="center" vertical="center" wrapText="1"/>
    </xf>
    <xf numFmtId="0" fontId="133" fillId="2" borderId="0" xfId="0" applyFont="1" applyFill="1" applyBorder="1" applyAlignment="1">
      <alignment horizontal="center" vertical="center" wrapText="1"/>
    </xf>
    <xf numFmtId="0" fontId="133" fillId="2" borderId="2" xfId="0" applyFont="1" applyFill="1" applyBorder="1" applyAlignment="1">
      <alignment horizontal="center" vertical="center" wrapText="1"/>
    </xf>
    <xf numFmtId="0" fontId="138" fillId="2" borderId="0" xfId="0" applyFont="1" applyFill="1" applyBorder="1" applyAlignment="1">
      <alignment horizontal="center" vertical="center"/>
    </xf>
    <xf numFmtId="0" fontId="137" fillId="2" borderId="0" xfId="0" applyFont="1" applyFill="1" applyBorder="1" applyAlignment="1">
      <alignment horizontal="center" vertical="center"/>
    </xf>
    <xf numFmtId="0" fontId="141" fillId="4" borderId="0" xfId="0" applyFont="1" applyFill="1" applyBorder="1" applyAlignment="1">
      <alignment horizontal="center" vertical="center" wrapText="1"/>
    </xf>
    <xf numFmtId="0" fontId="98" fillId="59" borderId="26" xfId="44898" applyFont="1" applyFill="1" applyBorder="1" applyAlignment="1">
      <alignment horizontal="center" vertical="center"/>
    </xf>
    <xf numFmtId="0" fontId="98" fillId="59" borderId="28" xfId="44898" applyFont="1" applyFill="1" applyBorder="1" applyAlignment="1">
      <alignment horizontal="center" vertical="center"/>
    </xf>
    <xf numFmtId="0" fontId="98" fillId="59" borderId="27" xfId="44898" applyFont="1" applyFill="1" applyBorder="1" applyAlignment="1">
      <alignment horizontal="center" vertical="center"/>
    </xf>
    <xf numFmtId="49" fontId="144" fillId="3" borderId="30" xfId="32081" applyNumberFormat="1" applyFont="1" applyFill="1" applyBorder="1" applyAlignment="1">
      <alignment horizontal="center" vertical="center"/>
    </xf>
    <xf numFmtId="49" fontId="144" fillId="3" borderId="31" xfId="32081" applyNumberFormat="1" applyFont="1" applyFill="1" applyBorder="1" applyAlignment="1">
      <alignment horizontal="center" vertical="center"/>
    </xf>
    <xf numFmtId="49" fontId="144" fillId="3" borderId="32" xfId="32081" applyNumberFormat="1" applyFont="1" applyFill="1" applyBorder="1" applyAlignment="1">
      <alignment horizontal="center" vertical="center"/>
    </xf>
    <xf numFmtId="49" fontId="144" fillId="60" borderId="29" xfId="32081" applyNumberFormat="1" applyFont="1" applyFill="1" applyBorder="1" applyAlignment="1">
      <alignment horizontal="center" vertical="center"/>
    </xf>
    <xf numFmtId="49" fontId="144" fillId="61" borderId="29" xfId="32081" applyNumberFormat="1" applyFont="1" applyFill="1" applyBorder="1" applyAlignment="1">
      <alignment horizontal="center" vertical="center"/>
    </xf>
    <xf numFmtId="0" fontId="144" fillId="3" borderId="30" xfId="32081" applyFont="1" applyFill="1" applyBorder="1" applyAlignment="1">
      <alignment horizontal="center" vertical="center"/>
    </xf>
    <xf numFmtId="0" fontId="144" fillId="3" borderId="31" xfId="32081" applyFont="1" applyFill="1" applyBorder="1" applyAlignment="1">
      <alignment horizontal="center" vertical="center"/>
    </xf>
    <xf numFmtId="0" fontId="144" fillId="3" borderId="32" xfId="32081" applyFont="1" applyFill="1" applyBorder="1" applyAlignment="1">
      <alignment horizontal="center" vertical="center"/>
    </xf>
    <xf numFmtId="49" fontId="144" fillId="3" borderId="30" xfId="32081" applyNumberFormat="1" applyFont="1" applyFill="1" applyBorder="1" applyAlignment="1">
      <alignment horizontal="center" vertical="center" wrapText="1"/>
    </xf>
    <xf numFmtId="49" fontId="144" fillId="3" borderId="31" xfId="32081" applyNumberFormat="1" applyFont="1" applyFill="1" applyBorder="1" applyAlignment="1">
      <alignment horizontal="center" vertical="center" wrapText="1"/>
    </xf>
    <xf numFmtId="49" fontId="144" fillId="3" borderId="32" xfId="32081" applyNumberFormat="1" applyFont="1" applyFill="1" applyBorder="1" applyAlignment="1">
      <alignment horizontal="center" vertical="center" wrapText="1"/>
    </xf>
    <xf numFmtId="49" fontId="144" fillId="3" borderId="29" xfId="32081" applyNumberFormat="1" applyFont="1" applyFill="1" applyBorder="1" applyAlignment="1">
      <alignment horizontal="center" vertical="center"/>
    </xf>
    <xf numFmtId="0" fontId="98" fillId="0" borderId="35" xfId="0" applyFont="1" applyFill="1" applyBorder="1" applyAlignment="1">
      <alignment vertical="center" wrapText="1"/>
    </xf>
    <xf numFmtId="0" fontId="98" fillId="0" borderId="36" xfId="0" applyFont="1" applyFill="1" applyBorder="1" applyAlignment="1">
      <alignment vertical="center" wrapText="1"/>
    </xf>
    <xf numFmtId="0" fontId="98" fillId="0" borderId="37" xfId="0" applyFont="1" applyFill="1" applyBorder="1" applyAlignment="1">
      <alignment vertical="center" wrapText="1"/>
    </xf>
  </cellXfs>
  <cellStyles count="52366">
    <cellStyle name="          _x000d__x000a_386grabber=KSVGA.3GR" xfId="3"/>
    <cellStyle name="          _x000d__x000a_386grabber=KSVGA.3GR 2" xfId="46"/>
    <cellStyle name="          _x000d__x000a_386grabber=KSVGA.3GR 2 2" xfId="45"/>
    <cellStyle name="          _x000d__x000a_386grabber=KSVGA.3GR 3" xfId="44"/>
    <cellStyle name="          _x000d__x000a_386grabber=KSVGA.3GR 4" xfId="47"/>
    <cellStyle name="          _x000d__x000a_386grabber=KSVGA.3GR 5" xfId="48"/>
    <cellStyle name="          _x000d__x000a_386grabber=KSVGA.3GR 6" xfId="49"/>
    <cellStyle name="          _x000d__x000a_386grabber=KSVGA.3GR 7" xfId="50"/>
    <cellStyle name="          _x000d__x000a_386grabber=KSVGA.3GR 8" xfId="51"/>
    <cellStyle name="          _x000d__x000a_386grabber=KSVGA.3GR 9" xfId="52"/>
    <cellStyle name="_x000a_386grabber=M" xfId="430"/>
    <cellStyle name="??&amp;O?&amp;H?_x0008__x000f__x0007_?_x0007__x0001__x0001_" xfId="90"/>
    <cellStyle name="??&amp;O?&amp;H?_x0008_??_x0007__x0001__x0001_" xfId="91"/>
    <cellStyle name="_2000_BSC_2.요구사항추적매트릭스 BSC 상세(1.0)_050704" xfId="92"/>
    <cellStyle name="_FMW-PMO-DM-Template-061113(Excel문서템플릿_가로)_D0.1" xfId="93"/>
    <cellStyle name="_요구사항추적표" xfId="94"/>
    <cellStyle name="_표준 양식 템플릿(Excel)" xfId="95"/>
    <cellStyle name="¤@?e_TEST-1 " xfId="4"/>
    <cellStyle name="µÚ¿¡ ¿À´Â ÇÏÀÌÆÛ¸µÅ©" xfId="96"/>
    <cellStyle name="W?_BOOKSHIP_½ÇÀûÇöÈ² " xfId="5"/>
    <cellStyle name="0,0_x000d__x000a_NA_x000d__x000a_" xfId="97"/>
    <cellStyle name="0,0_x000d__x000a_NA_x000d__x000a_ 2" xfId="431"/>
    <cellStyle name="0,0_x000d__x000a_NA_x000d__x000a__개정이력" xfId="432"/>
    <cellStyle name="20% - 강조색1 10" xfId="433"/>
    <cellStyle name="20% - 강조색1 11" xfId="434"/>
    <cellStyle name="20% - 강조색1 12" xfId="435"/>
    <cellStyle name="20% - 강조색1 13" xfId="436"/>
    <cellStyle name="20% - 강조색1 14" xfId="437"/>
    <cellStyle name="20% - 강조색1 15" xfId="438"/>
    <cellStyle name="20% - 강조색1 16" xfId="439"/>
    <cellStyle name="20% - 강조색1 17" xfId="440"/>
    <cellStyle name="20% - 강조색1 18" xfId="441"/>
    <cellStyle name="20% - 강조색1 19" xfId="442"/>
    <cellStyle name="20% - 강조색1 2" xfId="98"/>
    <cellStyle name="20% - 강조색1 2 10" xfId="443"/>
    <cellStyle name="20% - 강조색1 2 100" xfId="444"/>
    <cellStyle name="20% - 강조색1 2 101" xfId="445"/>
    <cellStyle name="20% - 강조색1 2 102" xfId="446"/>
    <cellStyle name="20% - 강조색1 2 103" xfId="447"/>
    <cellStyle name="20% - 강조색1 2 104" xfId="448"/>
    <cellStyle name="20% - 강조색1 2 105" xfId="449"/>
    <cellStyle name="20% - 강조색1 2 106" xfId="450"/>
    <cellStyle name="20% - 강조색1 2 107" xfId="451"/>
    <cellStyle name="20% - 강조색1 2 108" xfId="452"/>
    <cellStyle name="20% - 강조색1 2 109" xfId="453"/>
    <cellStyle name="20% - 강조색1 2 11" xfId="454"/>
    <cellStyle name="20% - 강조색1 2 110" xfId="455"/>
    <cellStyle name="20% - 강조색1 2 111" xfId="456"/>
    <cellStyle name="20% - 강조색1 2 112" xfId="457"/>
    <cellStyle name="20% - 강조색1 2 12" xfId="458"/>
    <cellStyle name="20% - 강조색1 2 13" xfId="459"/>
    <cellStyle name="20% - 강조색1 2 14" xfId="460"/>
    <cellStyle name="20% - 강조색1 2 15" xfId="461"/>
    <cellStyle name="20% - 강조색1 2 16" xfId="462"/>
    <cellStyle name="20% - 강조색1 2 17" xfId="463"/>
    <cellStyle name="20% - 강조색1 2 18" xfId="464"/>
    <cellStyle name="20% - 강조색1 2 19" xfId="465"/>
    <cellStyle name="20% - 강조색1 2 2" xfId="99"/>
    <cellStyle name="20% - 강조색1 2 2 10" xfId="466"/>
    <cellStyle name="20% - 강조색1 2 2 11" xfId="467"/>
    <cellStyle name="20% - 강조색1 2 2 12" xfId="468"/>
    <cellStyle name="20% - 강조색1 2 2 13" xfId="469"/>
    <cellStyle name="20% - 강조색1 2 2 14" xfId="470"/>
    <cellStyle name="20% - 강조색1 2 2 15" xfId="471"/>
    <cellStyle name="20% - 강조색1 2 2 2" xfId="472"/>
    <cellStyle name="20% - 강조색1 2 2 2 2" xfId="473"/>
    <cellStyle name="20% - 강조색1 2 2 2 3" xfId="474"/>
    <cellStyle name="20% - 강조색1 2 2 2 4" xfId="475"/>
    <cellStyle name="20% - 강조색1 2 2 2 5" xfId="476"/>
    <cellStyle name="20% - 강조색1 2 2 3" xfId="477"/>
    <cellStyle name="20% - 강조색1 2 2 4" xfId="478"/>
    <cellStyle name="20% - 강조색1 2 2 5" xfId="479"/>
    <cellStyle name="20% - 강조색1 2 2 6" xfId="480"/>
    <cellStyle name="20% - 강조색1 2 2 7" xfId="481"/>
    <cellStyle name="20% - 강조색1 2 2 8" xfId="482"/>
    <cellStyle name="20% - 강조색1 2 2 9" xfId="483"/>
    <cellStyle name="20% - 강조색1 2 20" xfId="484"/>
    <cellStyle name="20% - 강조색1 2 21" xfId="485"/>
    <cellStyle name="20% - 강조색1 2 22" xfId="486"/>
    <cellStyle name="20% - 강조색1 2 23" xfId="487"/>
    <cellStyle name="20% - 강조색1 2 24" xfId="488"/>
    <cellStyle name="20% - 강조색1 2 25" xfId="489"/>
    <cellStyle name="20% - 강조색1 2 26" xfId="490"/>
    <cellStyle name="20% - 강조색1 2 27" xfId="491"/>
    <cellStyle name="20% - 강조색1 2 28" xfId="492"/>
    <cellStyle name="20% - 강조색1 2 29" xfId="493"/>
    <cellStyle name="20% - 강조색1 2 3" xfId="494"/>
    <cellStyle name="20% - 강조색1 2 3 2" xfId="495"/>
    <cellStyle name="20% - 강조색1 2 3 3" xfId="496"/>
    <cellStyle name="20% - 강조색1 2 3 4" xfId="497"/>
    <cellStyle name="20% - 강조색1 2 3 5" xfId="498"/>
    <cellStyle name="20% - 강조색1 2 30" xfId="499"/>
    <cellStyle name="20% - 강조색1 2 31" xfId="500"/>
    <cellStyle name="20% - 강조색1 2 32" xfId="501"/>
    <cellStyle name="20% - 강조색1 2 34" xfId="502"/>
    <cellStyle name="20% - 강조색1 2 35" xfId="503"/>
    <cellStyle name="20% - 강조색1 2 36" xfId="504"/>
    <cellStyle name="20% - 강조색1 2 37" xfId="505"/>
    <cellStyle name="20% - 강조색1 2 38" xfId="506"/>
    <cellStyle name="20% - 강조색1 2 39" xfId="507"/>
    <cellStyle name="20% - 강조색1 2 4" xfId="508"/>
    <cellStyle name="20% - 강조색1 2 40" xfId="509"/>
    <cellStyle name="20% - 강조색1 2 41" xfId="510"/>
    <cellStyle name="20% - 강조색1 2 42" xfId="511"/>
    <cellStyle name="20% - 강조색1 2 43" xfId="512"/>
    <cellStyle name="20% - 강조색1 2 44" xfId="513"/>
    <cellStyle name="20% - 강조색1 2 45" xfId="514"/>
    <cellStyle name="20% - 강조색1 2 46" xfId="515"/>
    <cellStyle name="20% - 강조색1 2 47" xfId="516"/>
    <cellStyle name="20% - 강조색1 2 48" xfId="517"/>
    <cellStyle name="20% - 강조색1 2 49" xfId="518"/>
    <cellStyle name="20% - 강조색1 2 5" xfId="519"/>
    <cellStyle name="20% - 강조색1 2 50" xfId="520"/>
    <cellStyle name="20% - 강조색1 2 51" xfId="521"/>
    <cellStyle name="20% - 강조색1 2 52" xfId="522"/>
    <cellStyle name="20% - 강조색1 2 53" xfId="523"/>
    <cellStyle name="20% - 강조색1 2 54" xfId="524"/>
    <cellStyle name="20% - 강조색1 2 55" xfId="525"/>
    <cellStyle name="20% - 강조색1 2 56" xfId="526"/>
    <cellStyle name="20% - 강조색1 2 57" xfId="527"/>
    <cellStyle name="20% - 강조색1 2 58" xfId="528"/>
    <cellStyle name="20% - 강조색1 2 59" xfId="529"/>
    <cellStyle name="20% - 강조색1 2 6" xfId="530"/>
    <cellStyle name="20% - 강조색1 2 60" xfId="531"/>
    <cellStyle name="20% - 강조색1 2 61" xfId="532"/>
    <cellStyle name="20% - 강조색1 2 62" xfId="533"/>
    <cellStyle name="20% - 강조색1 2 63" xfId="534"/>
    <cellStyle name="20% - 강조색1 2 64" xfId="535"/>
    <cellStyle name="20% - 강조색1 2 65" xfId="536"/>
    <cellStyle name="20% - 강조색1 2 66" xfId="537"/>
    <cellStyle name="20% - 강조색1 2 67" xfId="538"/>
    <cellStyle name="20% - 강조색1 2 68" xfId="539"/>
    <cellStyle name="20% - 강조색1 2 69" xfId="540"/>
    <cellStyle name="20% - 강조색1 2 7" xfId="541"/>
    <cellStyle name="20% - 강조색1 2 70" xfId="542"/>
    <cellStyle name="20% - 강조색1 2 71" xfId="543"/>
    <cellStyle name="20% - 강조색1 2 72" xfId="544"/>
    <cellStyle name="20% - 강조색1 2 73" xfId="545"/>
    <cellStyle name="20% - 강조색1 2 74" xfId="546"/>
    <cellStyle name="20% - 강조색1 2 75" xfId="547"/>
    <cellStyle name="20% - 강조색1 2 76" xfId="548"/>
    <cellStyle name="20% - 강조색1 2 77" xfId="549"/>
    <cellStyle name="20% - 강조색1 2 78" xfId="550"/>
    <cellStyle name="20% - 강조색1 2 79" xfId="551"/>
    <cellStyle name="20% - 강조색1 2 8" xfId="552"/>
    <cellStyle name="20% - 강조색1 2 80" xfId="553"/>
    <cellStyle name="20% - 강조색1 2 81" xfId="554"/>
    <cellStyle name="20% - 강조색1 2 82" xfId="555"/>
    <cellStyle name="20% - 강조색1 2 83" xfId="556"/>
    <cellStyle name="20% - 강조색1 2 84" xfId="557"/>
    <cellStyle name="20% - 강조색1 2 85" xfId="558"/>
    <cellStyle name="20% - 강조색1 2 86" xfId="559"/>
    <cellStyle name="20% - 강조색1 2 87" xfId="560"/>
    <cellStyle name="20% - 강조색1 2 88" xfId="561"/>
    <cellStyle name="20% - 강조색1 2 89" xfId="562"/>
    <cellStyle name="20% - 강조색1 2 9" xfId="563"/>
    <cellStyle name="20% - 강조색1 2 90" xfId="564"/>
    <cellStyle name="20% - 강조색1 2 91" xfId="565"/>
    <cellStyle name="20% - 강조색1 2 92" xfId="566"/>
    <cellStyle name="20% - 강조색1 2 94" xfId="567"/>
    <cellStyle name="20% - 강조색1 2 95" xfId="568"/>
    <cellStyle name="20% - 강조색1 2 96" xfId="569"/>
    <cellStyle name="20% - 강조색1 2 97" xfId="570"/>
    <cellStyle name="20% - 강조색1 2 98" xfId="571"/>
    <cellStyle name="20% - 강조색1 2 99" xfId="572"/>
    <cellStyle name="20% - 강조색1 20" xfId="573"/>
    <cellStyle name="20% - 강조색1 21" xfId="574"/>
    <cellStyle name="20% - 강조색1 22" xfId="575"/>
    <cellStyle name="20% - 강조색1 23" xfId="576"/>
    <cellStyle name="20% - 강조색1 24" xfId="577"/>
    <cellStyle name="20% - 강조색1 25" xfId="578"/>
    <cellStyle name="20% - 강조색1 26" xfId="579"/>
    <cellStyle name="20% - 강조색1 27" xfId="580"/>
    <cellStyle name="20% - 강조색1 28" xfId="581"/>
    <cellStyle name="20% - 강조색1 29" xfId="582"/>
    <cellStyle name="20% - 강조색1 3" xfId="100"/>
    <cellStyle name="20% - 강조색1 30" xfId="583"/>
    <cellStyle name="20% - 강조색1 31" xfId="584"/>
    <cellStyle name="20% - 강조색1 32" xfId="585"/>
    <cellStyle name="20% - 강조색1 33" xfId="586"/>
    <cellStyle name="20% - 강조색1 34" xfId="587"/>
    <cellStyle name="20% - 강조색1 35" xfId="588"/>
    <cellStyle name="20% - 강조색1 36" xfId="589"/>
    <cellStyle name="20% - 강조색1 37" xfId="590"/>
    <cellStyle name="20% - 강조색1 38" xfId="591"/>
    <cellStyle name="20% - 강조색1 39" xfId="592"/>
    <cellStyle name="20% - 강조색1 4" xfId="11725" hidden="1"/>
    <cellStyle name="20% - 강조색1 4" xfId="11771" hidden="1"/>
    <cellStyle name="20% - 강조색1 4" xfId="11817" hidden="1"/>
    <cellStyle name="20% - 강조색1 4" xfId="11863" hidden="1"/>
    <cellStyle name="20% - 강조색1 4" xfId="11909" hidden="1"/>
    <cellStyle name="20% - 강조색1 4" xfId="11955" hidden="1"/>
    <cellStyle name="20% - 강조색1 4" xfId="12001" hidden="1"/>
    <cellStyle name="20% - 강조색1 4" xfId="12047" hidden="1"/>
    <cellStyle name="20% - 강조색1 4" xfId="12093" hidden="1"/>
    <cellStyle name="20% - 강조색1 4" xfId="12139" hidden="1"/>
    <cellStyle name="20% - 강조색1 4" xfId="12185" hidden="1"/>
    <cellStyle name="20% - 강조색1 4" xfId="12231" hidden="1"/>
    <cellStyle name="20% - 강조색1 4" xfId="12321" hidden="1"/>
    <cellStyle name="20% - 강조색1 4" xfId="12362" hidden="1"/>
    <cellStyle name="20% - 강조색1 4" xfId="12404" hidden="1"/>
    <cellStyle name="20% - 강조색1 4" xfId="12446" hidden="1"/>
    <cellStyle name="20% - 강조색1 4" xfId="12488" hidden="1"/>
    <cellStyle name="20% - 강조색1 4" xfId="12530" hidden="1"/>
    <cellStyle name="20% - 강조색1 4" xfId="12572" hidden="1"/>
    <cellStyle name="20% - 강조색1 4" xfId="12614" hidden="1"/>
    <cellStyle name="20% - 강조색1 4" xfId="12656" hidden="1"/>
    <cellStyle name="20% - 강조색1 4" xfId="12698" hidden="1"/>
    <cellStyle name="20% - 강조색1 4" xfId="12740" hidden="1"/>
    <cellStyle name="20% - 강조색1 4" xfId="12782" hidden="1"/>
    <cellStyle name="20% - 강조색1 4" xfId="12276" hidden="1"/>
    <cellStyle name="20% - 강조색1 4" xfId="12964" hidden="1"/>
    <cellStyle name="20% - 강조색1 4" xfId="13004" hidden="1"/>
    <cellStyle name="20% - 강조색1 4" xfId="13044" hidden="1"/>
    <cellStyle name="20% - 강조색1 4" xfId="13084" hidden="1"/>
    <cellStyle name="20% - 강조색1 4" xfId="13124" hidden="1"/>
    <cellStyle name="20% - 강조색1 4" xfId="13164" hidden="1"/>
    <cellStyle name="20% - 강조색1 4" xfId="13204" hidden="1"/>
    <cellStyle name="20% - 강조색1 4" xfId="13244" hidden="1"/>
    <cellStyle name="20% - 강조색1 4" xfId="13284" hidden="1"/>
    <cellStyle name="20% - 강조색1 4" xfId="13324" hidden="1"/>
    <cellStyle name="20% - 강조색1 4" xfId="13364" hidden="1"/>
    <cellStyle name="20% - 강조색1 4" xfId="13404" hidden="1"/>
    <cellStyle name="20% - 강조색1 4" xfId="12870" hidden="1"/>
    <cellStyle name="20% - 강조색1 4" xfId="12831" hidden="1"/>
    <cellStyle name="20% - 강조색1 4" xfId="13446" hidden="1"/>
    <cellStyle name="20% - 강조색1 4" xfId="13488" hidden="1"/>
    <cellStyle name="20% - 강조색1 4" xfId="13530" hidden="1"/>
    <cellStyle name="20% - 강조색1 4" xfId="13572" hidden="1"/>
    <cellStyle name="20% - 강조색1 4" xfId="13614" hidden="1"/>
    <cellStyle name="20% - 강조색1 4" xfId="13656" hidden="1"/>
    <cellStyle name="20% - 강조색1 4" xfId="13698" hidden="1"/>
    <cellStyle name="20% - 강조색1 4" xfId="13740" hidden="1"/>
    <cellStyle name="20% - 강조색1 4" xfId="13782" hidden="1"/>
    <cellStyle name="20% - 강조색1 4" xfId="13824" hidden="1"/>
    <cellStyle name="20% - 강조색1 4" xfId="12924" hidden="1"/>
    <cellStyle name="20% - 강조색1 4" xfId="13852" hidden="1"/>
    <cellStyle name="20% - 강조색1 4" xfId="13892" hidden="1"/>
    <cellStyle name="20% - 강조색1 4" xfId="13932" hidden="1"/>
    <cellStyle name="20% - 강조색1 4" xfId="13972" hidden="1"/>
    <cellStyle name="20% - 강조색1 4" xfId="14012" hidden="1"/>
    <cellStyle name="20% - 강조색1 4" xfId="14052" hidden="1"/>
    <cellStyle name="20% - 강조색1 4" xfId="14092" hidden="1"/>
    <cellStyle name="20% - 강조색1 4" xfId="14132" hidden="1"/>
    <cellStyle name="20% - 강조색1 4" xfId="14172" hidden="1"/>
    <cellStyle name="20% - 강조색1 4" xfId="14212" hidden="1"/>
    <cellStyle name="20% - 강조색1 4" xfId="14252" hidden="1"/>
    <cellStyle name="20% - 강조색1 4" xfId="14292" hidden="1"/>
    <cellStyle name="20% - 강조색1 4" xfId="14398" hidden="1"/>
    <cellStyle name="20% - 강조색1 4" xfId="14438" hidden="1"/>
    <cellStyle name="20% - 강조색1 4" xfId="14478" hidden="1"/>
    <cellStyle name="20% - 강조색1 4" xfId="14518" hidden="1"/>
    <cellStyle name="20% - 강조색1 4" xfId="14558" hidden="1"/>
    <cellStyle name="20% - 강조색1 4" xfId="14598" hidden="1"/>
    <cellStyle name="20% - 강조색1 4" xfId="14638" hidden="1"/>
    <cellStyle name="20% - 강조색1 4" xfId="14678" hidden="1"/>
    <cellStyle name="20% - 강조색1 4" xfId="14718" hidden="1"/>
    <cellStyle name="20% - 강조색1 4" xfId="14758" hidden="1"/>
    <cellStyle name="20% - 강조색1 4" xfId="14798" hidden="1"/>
    <cellStyle name="20% - 강조색1 4" xfId="14838" hidden="1"/>
    <cellStyle name="20% - 강조색1 4" xfId="14922" hidden="1"/>
    <cellStyle name="20% - 강조색1 4" xfId="14963" hidden="1"/>
    <cellStyle name="20% - 강조색1 4" xfId="15005" hidden="1"/>
    <cellStyle name="20% - 강조색1 4" xfId="15047" hidden="1"/>
    <cellStyle name="20% - 강조색1 4" xfId="15089" hidden="1"/>
    <cellStyle name="20% - 강조색1 4" xfId="15131" hidden="1"/>
    <cellStyle name="20% - 강조색1 4" xfId="15173" hidden="1"/>
    <cellStyle name="20% - 강조색1 4" xfId="15215" hidden="1"/>
    <cellStyle name="20% - 강조색1 4" xfId="15257" hidden="1"/>
    <cellStyle name="20% - 강조색1 4" xfId="15299" hidden="1"/>
    <cellStyle name="20% - 강조색1 4" xfId="15341" hidden="1"/>
    <cellStyle name="20% - 강조색1 4" xfId="15383" hidden="1"/>
    <cellStyle name="20% - 강조색1 4" xfId="14879" hidden="1"/>
    <cellStyle name="20% - 강조색1 4" xfId="15562" hidden="1"/>
    <cellStyle name="20% - 강조색1 4" xfId="15602" hidden="1"/>
    <cellStyle name="20% - 강조색1 4" xfId="15642" hidden="1"/>
    <cellStyle name="20% - 강조색1 4" xfId="15682" hidden="1"/>
    <cellStyle name="20% - 강조색1 4" xfId="15722" hidden="1"/>
    <cellStyle name="20% - 강조색1 4" xfId="15762" hidden="1"/>
    <cellStyle name="20% - 강조색1 4" xfId="15802" hidden="1"/>
    <cellStyle name="20% - 강조색1 4" xfId="15842" hidden="1"/>
    <cellStyle name="20% - 강조색1 4" xfId="15882" hidden="1"/>
    <cellStyle name="20% - 강조색1 4" xfId="15922" hidden="1"/>
    <cellStyle name="20% - 강조색1 4" xfId="15962" hidden="1"/>
    <cellStyle name="20% - 강조색1 4" xfId="16002" hidden="1"/>
    <cellStyle name="20% - 강조색1 4" xfId="15470" hidden="1"/>
    <cellStyle name="20% - 강조색1 4" xfId="15431" hidden="1"/>
    <cellStyle name="20% - 강조색1 4" xfId="16044" hidden="1"/>
    <cellStyle name="20% - 강조색1 4" xfId="16086" hidden="1"/>
    <cellStyle name="20% - 강조색1 4" xfId="16128" hidden="1"/>
    <cellStyle name="20% - 강조색1 4" xfId="16170" hidden="1"/>
    <cellStyle name="20% - 강조색1 4" xfId="16212" hidden="1"/>
    <cellStyle name="20% - 강조색1 4" xfId="16254" hidden="1"/>
    <cellStyle name="20% - 강조색1 4" xfId="16296" hidden="1"/>
    <cellStyle name="20% - 강조색1 4" xfId="16338" hidden="1"/>
    <cellStyle name="20% - 강조색1 4" xfId="16380" hidden="1"/>
    <cellStyle name="20% - 강조색1 4" xfId="16422" hidden="1"/>
    <cellStyle name="20% - 강조색1 4" xfId="15523" hidden="1"/>
    <cellStyle name="20% - 강조색1 4" xfId="16450" hidden="1"/>
    <cellStyle name="20% - 강조색1 4" xfId="16490" hidden="1"/>
    <cellStyle name="20% - 강조색1 4" xfId="16530" hidden="1"/>
    <cellStyle name="20% - 강조색1 4" xfId="16570" hidden="1"/>
    <cellStyle name="20% - 강조색1 4" xfId="16610" hidden="1"/>
    <cellStyle name="20% - 강조색1 4" xfId="16650" hidden="1"/>
    <cellStyle name="20% - 강조색1 4" xfId="16690" hidden="1"/>
    <cellStyle name="20% - 강조색1 4" xfId="16730" hidden="1"/>
    <cellStyle name="20% - 강조색1 4" xfId="16770" hidden="1"/>
    <cellStyle name="20% - 강조색1 4" xfId="16810" hidden="1"/>
    <cellStyle name="20% - 강조색1 4" xfId="16850" hidden="1"/>
    <cellStyle name="20% - 강조색1 4" xfId="16890" hidden="1"/>
    <cellStyle name="20% - 강조색1 4" xfId="14325" hidden="1"/>
    <cellStyle name="20% - 강조색1 4" xfId="16941" hidden="1"/>
    <cellStyle name="20% - 강조색1 4" xfId="16982" hidden="1"/>
    <cellStyle name="20% - 강조색1 4" xfId="17022" hidden="1"/>
    <cellStyle name="20% - 강조색1 4" xfId="17062" hidden="1"/>
    <cellStyle name="20% - 강조색1 4" xfId="17102" hidden="1"/>
    <cellStyle name="20% - 강조색1 4" xfId="17142" hidden="1"/>
    <cellStyle name="20% - 강조색1 4" xfId="17182" hidden="1"/>
    <cellStyle name="20% - 강조색1 4" xfId="17222" hidden="1"/>
    <cellStyle name="20% - 강조색1 4" xfId="17262" hidden="1"/>
    <cellStyle name="20% - 강조색1 4" xfId="17302" hidden="1"/>
    <cellStyle name="20% - 강조색1 4" xfId="17342" hidden="1"/>
    <cellStyle name="20% - 강조색1 4" xfId="17426" hidden="1"/>
    <cellStyle name="20% - 강조색1 4" xfId="17467" hidden="1"/>
    <cellStyle name="20% - 강조색1 4" xfId="17509" hidden="1"/>
    <cellStyle name="20% - 강조색1 4" xfId="17551" hidden="1"/>
    <cellStyle name="20% - 강조색1 4" xfId="17593" hidden="1"/>
    <cellStyle name="20% - 강조색1 4" xfId="17635" hidden="1"/>
    <cellStyle name="20% - 강조색1 4" xfId="17677" hidden="1"/>
    <cellStyle name="20% - 강조색1 4" xfId="17719" hidden="1"/>
    <cellStyle name="20% - 강조색1 4" xfId="17761" hidden="1"/>
    <cellStyle name="20% - 강조색1 4" xfId="17803" hidden="1"/>
    <cellStyle name="20% - 강조색1 4" xfId="17845" hidden="1"/>
    <cellStyle name="20% - 강조색1 4" xfId="17887" hidden="1"/>
    <cellStyle name="20% - 강조색1 4" xfId="17383" hidden="1"/>
    <cellStyle name="20% - 강조색1 4" xfId="18066" hidden="1"/>
    <cellStyle name="20% - 강조색1 4" xfId="18106" hidden="1"/>
    <cellStyle name="20% - 강조색1 4" xfId="18146" hidden="1"/>
    <cellStyle name="20% - 강조색1 4" xfId="18186" hidden="1"/>
    <cellStyle name="20% - 강조색1 4" xfId="18226" hidden="1"/>
    <cellStyle name="20% - 강조색1 4" xfId="18266" hidden="1"/>
    <cellStyle name="20% - 강조색1 4" xfId="18306" hidden="1"/>
    <cellStyle name="20% - 강조색1 4" xfId="18346" hidden="1"/>
    <cellStyle name="20% - 강조색1 4" xfId="18386" hidden="1"/>
    <cellStyle name="20% - 강조색1 4" xfId="18426" hidden="1"/>
    <cellStyle name="20% - 강조색1 4" xfId="18466" hidden="1"/>
    <cellStyle name="20% - 강조색1 4" xfId="18506" hidden="1"/>
    <cellStyle name="20% - 강조색1 4" xfId="17974" hidden="1"/>
    <cellStyle name="20% - 강조색1 4" xfId="17935" hidden="1"/>
    <cellStyle name="20% - 강조색1 4" xfId="18548" hidden="1"/>
    <cellStyle name="20% - 강조색1 4" xfId="18590" hidden="1"/>
    <cellStyle name="20% - 강조색1 4" xfId="18632" hidden="1"/>
    <cellStyle name="20% - 강조색1 4" xfId="18674" hidden="1"/>
    <cellStyle name="20% - 강조색1 4" xfId="18716" hidden="1"/>
    <cellStyle name="20% - 강조색1 4" xfId="18758" hidden="1"/>
    <cellStyle name="20% - 강조색1 4" xfId="18800" hidden="1"/>
    <cellStyle name="20% - 강조색1 4" xfId="18842" hidden="1"/>
    <cellStyle name="20% - 강조색1 4" xfId="18884" hidden="1"/>
    <cellStyle name="20% - 강조색1 4" xfId="18926" hidden="1"/>
    <cellStyle name="20% - 강조색1 4" xfId="18027" hidden="1"/>
    <cellStyle name="20% - 강조색1 4" xfId="18954" hidden="1"/>
    <cellStyle name="20% - 강조색1 4" xfId="18994" hidden="1"/>
    <cellStyle name="20% - 강조색1 4" xfId="19034" hidden="1"/>
    <cellStyle name="20% - 강조색1 4" xfId="19074" hidden="1"/>
    <cellStyle name="20% - 강조색1 4" xfId="19114" hidden="1"/>
    <cellStyle name="20% - 강조색1 4" xfId="19154" hidden="1"/>
    <cellStyle name="20% - 강조색1 4" xfId="19194" hidden="1"/>
    <cellStyle name="20% - 강조색1 4" xfId="19234" hidden="1"/>
    <cellStyle name="20% - 강조색1 4" xfId="19274" hidden="1"/>
    <cellStyle name="20% - 강조색1 4" xfId="19314" hidden="1"/>
    <cellStyle name="20% - 강조색1 4" xfId="19354" hidden="1"/>
    <cellStyle name="20% - 강조색1 4" xfId="19394" hidden="1"/>
    <cellStyle name="20% - 강조색1 4" xfId="14365" hidden="1"/>
    <cellStyle name="20% - 강조색1 4" xfId="19444" hidden="1"/>
    <cellStyle name="20% - 강조색1 4" xfId="19484" hidden="1"/>
    <cellStyle name="20% - 강조색1 4" xfId="19524" hidden="1"/>
    <cellStyle name="20% - 강조색1 4" xfId="19564" hidden="1"/>
    <cellStyle name="20% - 강조색1 4" xfId="19604" hidden="1"/>
    <cellStyle name="20% - 강조색1 4" xfId="19644" hidden="1"/>
    <cellStyle name="20% - 강조색1 4" xfId="19684" hidden="1"/>
    <cellStyle name="20% - 강조색1 4" xfId="19724" hidden="1"/>
    <cellStyle name="20% - 강조색1 4" xfId="19764" hidden="1"/>
    <cellStyle name="20% - 강조색1 4" xfId="19804" hidden="1"/>
    <cellStyle name="20% - 강조색1 4" xfId="19844" hidden="1"/>
    <cellStyle name="20% - 강조색1 4" xfId="19928" hidden="1"/>
    <cellStyle name="20% - 강조색1 4" xfId="19969" hidden="1"/>
    <cellStyle name="20% - 강조색1 4" xfId="20011" hidden="1"/>
    <cellStyle name="20% - 강조색1 4" xfId="20053" hidden="1"/>
    <cellStyle name="20% - 강조색1 4" xfId="20095" hidden="1"/>
    <cellStyle name="20% - 강조색1 4" xfId="20137" hidden="1"/>
    <cellStyle name="20% - 강조색1 4" xfId="20179" hidden="1"/>
    <cellStyle name="20% - 강조색1 4" xfId="20221" hidden="1"/>
    <cellStyle name="20% - 강조색1 4" xfId="20263" hidden="1"/>
    <cellStyle name="20% - 강조색1 4" xfId="20305" hidden="1"/>
    <cellStyle name="20% - 강조색1 4" xfId="20347" hidden="1"/>
    <cellStyle name="20% - 강조색1 4" xfId="20389" hidden="1"/>
    <cellStyle name="20% - 강조색1 4" xfId="19885" hidden="1"/>
    <cellStyle name="20% - 강조색1 4" xfId="20568" hidden="1"/>
    <cellStyle name="20% - 강조색1 4" xfId="20608" hidden="1"/>
    <cellStyle name="20% - 강조색1 4" xfId="20648" hidden="1"/>
    <cellStyle name="20% - 강조색1 4" xfId="20688" hidden="1"/>
    <cellStyle name="20% - 강조색1 4" xfId="20728" hidden="1"/>
    <cellStyle name="20% - 강조색1 4" xfId="20768" hidden="1"/>
    <cellStyle name="20% - 강조색1 4" xfId="20808" hidden="1"/>
    <cellStyle name="20% - 강조색1 4" xfId="20848" hidden="1"/>
    <cellStyle name="20% - 강조색1 4" xfId="20888" hidden="1"/>
    <cellStyle name="20% - 강조색1 4" xfId="20928" hidden="1"/>
    <cellStyle name="20% - 강조색1 4" xfId="20968" hidden="1"/>
    <cellStyle name="20% - 강조색1 4" xfId="21008" hidden="1"/>
    <cellStyle name="20% - 강조색1 4" xfId="20476" hidden="1"/>
    <cellStyle name="20% - 강조색1 4" xfId="20437" hidden="1"/>
    <cellStyle name="20% - 강조색1 4" xfId="21050" hidden="1"/>
    <cellStyle name="20% - 강조색1 4" xfId="21092" hidden="1"/>
    <cellStyle name="20% - 강조색1 4" xfId="21134" hidden="1"/>
    <cellStyle name="20% - 강조색1 4" xfId="21176" hidden="1"/>
    <cellStyle name="20% - 강조색1 4" xfId="21218" hidden="1"/>
    <cellStyle name="20% - 강조색1 4" xfId="21260" hidden="1"/>
    <cellStyle name="20% - 강조색1 4" xfId="21302" hidden="1"/>
    <cellStyle name="20% - 강조색1 4" xfId="21344" hidden="1"/>
    <cellStyle name="20% - 강조색1 4" xfId="21386" hidden="1"/>
    <cellStyle name="20% - 강조색1 4" xfId="21428" hidden="1"/>
    <cellStyle name="20% - 강조색1 4" xfId="20529" hidden="1"/>
    <cellStyle name="20% - 강조색1 4" xfId="21456" hidden="1"/>
    <cellStyle name="20% - 강조색1 4" xfId="21496" hidden="1"/>
    <cellStyle name="20% - 강조색1 4" xfId="21536" hidden="1"/>
    <cellStyle name="20% - 강조색1 4" xfId="21576" hidden="1"/>
    <cellStyle name="20% - 강조색1 4" xfId="21616" hidden="1"/>
    <cellStyle name="20% - 강조색1 4" xfId="21656" hidden="1"/>
    <cellStyle name="20% - 강조색1 4" xfId="21696" hidden="1"/>
    <cellStyle name="20% - 강조색1 4" xfId="21736" hidden="1"/>
    <cellStyle name="20% - 강조색1 4" xfId="21776" hidden="1"/>
    <cellStyle name="20% - 강조색1 4" xfId="21816" hidden="1"/>
    <cellStyle name="20% - 강조색1 4" xfId="21856" hidden="1"/>
    <cellStyle name="20% - 강조색1 4" xfId="21896" hidden="1"/>
    <cellStyle name="20% - 강조색1 4" xfId="21964" hidden="1"/>
    <cellStyle name="20% - 강조색1 4" xfId="22004" hidden="1"/>
    <cellStyle name="20% - 강조색1 4" xfId="22044" hidden="1"/>
    <cellStyle name="20% - 강조색1 4" xfId="22084" hidden="1"/>
    <cellStyle name="20% - 강조색1 4" xfId="22124" hidden="1"/>
    <cellStyle name="20% - 강조색1 4" xfId="22164" hidden="1"/>
    <cellStyle name="20% - 강조색1 4" xfId="22204" hidden="1"/>
    <cellStyle name="20% - 강조색1 4" xfId="22244" hidden="1"/>
    <cellStyle name="20% - 강조색1 4" xfId="22284" hidden="1"/>
    <cellStyle name="20% - 강조색1 4" xfId="22324" hidden="1"/>
    <cellStyle name="20% - 강조색1 4" xfId="22364" hidden="1"/>
    <cellStyle name="20% - 강조색1 4" xfId="22404" hidden="1"/>
    <cellStyle name="20% - 강조색1 4" xfId="22488" hidden="1"/>
    <cellStyle name="20% - 강조색1 4" xfId="22529" hidden="1"/>
    <cellStyle name="20% - 강조색1 4" xfId="22571" hidden="1"/>
    <cellStyle name="20% - 강조색1 4" xfId="22613" hidden="1"/>
    <cellStyle name="20% - 강조색1 4" xfId="22655" hidden="1"/>
    <cellStyle name="20% - 강조색1 4" xfId="22697" hidden="1"/>
    <cellStyle name="20% - 강조색1 4" xfId="22739" hidden="1"/>
    <cellStyle name="20% - 강조색1 4" xfId="22781" hidden="1"/>
    <cellStyle name="20% - 강조색1 4" xfId="22823" hidden="1"/>
    <cellStyle name="20% - 강조색1 4" xfId="22865" hidden="1"/>
    <cellStyle name="20% - 강조색1 4" xfId="22907" hidden="1"/>
    <cellStyle name="20% - 강조색1 4" xfId="22949" hidden="1"/>
    <cellStyle name="20% - 강조색1 4" xfId="22445" hidden="1"/>
    <cellStyle name="20% - 강조색1 4" xfId="23128" hidden="1"/>
    <cellStyle name="20% - 강조색1 4" xfId="23168" hidden="1"/>
    <cellStyle name="20% - 강조색1 4" xfId="23208" hidden="1"/>
    <cellStyle name="20% - 강조색1 4" xfId="23248" hidden="1"/>
    <cellStyle name="20% - 강조색1 4" xfId="23288" hidden="1"/>
    <cellStyle name="20% - 강조색1 4" xfId="23328" hidden="1"/>
    <cellStyle name="20% - 강조색1 4" xfId="23368" hidden="1"/>
    <cellStyle name="20% - 강조색1 4" xfId="23408" hidden="1"/>
    <cellStyle name="20% - 강조색1 4" xfId="23448" hidden="1"/>
    <cellStyle name="20% - 강조색1 4" xfId="23488" hidden="1"/>
    <cellStyle name="20% - 강조색1 4" xfId="23528" hidden="1"/>
    <cellStyle name="20% - 강조색1 4" xfId="23568" hidden="1"/>
    <cellStyle name="20% - 강조색1 4" xfId="23036" hidden="1"/>
    <cellStyle name="20% - 강조색1 4" xfId="22997" hidden="1"/>
    <cellStyle name="20% - 강조색1 4" xfId="23610" hidden="1"/>
    <cellStyle name="20% - 강조색1 4" xfId="23652" hidden="1"/>
    <cellStyle name="20% - 강조색1 4" xfId="23694" hidden="1"/>
    <cellStyle name="20% - 강조색1 4" xfId="23736" hidden="1"/>
    <cellStyle name="20% - 강조색1 4" xfId="23778" hidden="1"/>
    <cellStyle name="20% - 강조색1 4" xfId="23820" hidden="1"/>
    <cellStyle name="20% - 강조색1 4" xfId="23862" hidden="1"/>
    <cellStyle name="20% - 강조색1 4" xfId="23904" hidden="1"/>
    <cellStyle name="20% - 강조색1 4" xfId="23946" hidden="1"/>
    <cellStyle name="20% - 강조색1 4" xfId="23988" hidden="1"/>
    <cellStyle name="20% - 강조색1 4" xfId="23089" hidden="1"/>
    <cellStyle name="20% - 강조색1 4" xfId="24016" hidden="1"/>
    <cellStyle name="20% - 강조색1 4" xfId="24056" hidden="1"/>
    <cellStyle name="20% - 강조색1 4" xfId="24096" hidden="1"/>
    <cellStyle name="20% - 강조색1 4" xfId="24136" hidden="1"/>
    <cellStyle name="20% - 강조색1 4" xfId="24176" hidden="1"/>
    <cellStyle name="20% - 강조색1 4" xfId="24216" hidden="1"/>
    <cellStyle name="20% - 강조색1 4" xfId="24256" hidden="1"/>
    <cellStyle name="20% - 강조색1 4" xfId="24296" hidden="1"/>
    <cellStyle name="20% - 강조색1 4" xfId="24336" hidden="1"/>
    <cellStyle name="20% - 강조색1 4" xfId="24376" hidden="1"/>
    <cellStyle name="20% - 강조색1 4" xfId="24416" hidden="1"/>
    <cellStyle name="20% - 강조색1 4" xfId="24456" hidden="1"/>
    <cellStyle name="20% - 강조색1 4" xfId="24554" hidden="1"/>
    <cellStyle name="20% - 강조색1 4" xfId="24594" hidden="1"/>
    <cellStyle name="20% - 강조색1 4" xfId="24636" hidden="1"/>
    <cellStyle name="20% - 강조색1 4" xfId="24677" hidden="1"/>
    <cellStyle name="20% - 강조색1 4" xfId="24717" hidden="1"/>
    <cellStyle name="20% - 강조색1 4" xfId="24757" hidden="1"/>
    <cellStyle name="20% - 강조색1 4" xfId="24797" hidden="1"/>
    <cellStyle name="20% - 강조색1 4" xfId="24837" hidden="1"/>
    <cellStyle name="20% - 강조색1 4" xfId="24877" hidden="1"/>
    <cellStyle name="20% - 강조색1 4" xfId="24917" hidden="1"/>
    <cellStyle name="20% - 강조색1 4" xfId="24957" hidden="1"/>
    <cellStyle name="20% - 강조색1 4" xfId="24997" hidden="1"/>
    <cellStyle name="20% - 강조색1 4" xfId="25081" hidden="1"/>
    <cellStyle name="20% - 강조색1 4" xfId="25122" hidden="1"/>
    <cellStyle name="20% - 강조색1 4" xfId="25164" hidden="1"/>
    <cellStyle name="20% - 강조색1 4" xfId="25206" hidden="1"/>
    <cellStyle name="20% - 강조색1 4" xfId="25248" hidden="1"/>
    <cellStyle name="20% - 강조색1 4" xfId="25290" hidden="1"/>
    <cellStyle name="20% - 강조색1 4" xfId="25332" hidden="1"/>
    <cellStyle name="20% - 강조색1 4" xfId="25374" hidden="1"/>
    <cellStyle name="20% - 강조색1 4" xfId="25416" hidden="1"/>
    <cellStyle name="20% - 강조색1 4" xfId="25458" hidden="1"/>
    <cellStyle name="20% - 강조색1 4" xfId="25500" hidden="1"/>
    <cellStyle name="20% - 강조색1 4" xfId="25542" hidden="1"/>
    <cellStyle name="20% - 강조색1 4" xfId="25038" hidden="1"/>
    <cellStyle name="20% - 강조색1 4" xfId="25721" hidden="1"/>
    <cellStyle name="20% - 강조색1 4" xfId="25761" hidden="1"/>
    <cellStyle name="20% - 강조색1 4" xfId="25801" hidden="1"/>
    <cellStyle name="20% - 강조색1 4" xfId="25841" hidden="1"/>
    <cellStyle name="20% - 강조색1 4" xfId="25881" hidden="1"/>
    <cellStyle name="20% - 강조색1 4" xfId="25921" hidden="1"/>
    <cellStyle name="20% - 강조색1 4" xfId="25961" hidden="1"/>
    <cellStyle name="20% - 강조색1 4" xfId="26001" hidden="1"/>
    <cellStyle name="20% - 강조색1 4" xfId="26041" hidden="1"/>
    <cellStyle name="20% - 강조색1 4" xfId="26081" hidden="1"/>
    <cellStyle name="20% - 강조색1 4" xfId="26121" hidden="1"/>
    <cellStyle name="20% - 강조색1 4" xfId="26161" hidden="1"/>
    <cellStyle name="20% - 강조색1 4" xfId="25629" hidden="1"/>
    <cellStyle name="20% - 강조색1 4" xfId="25590" hidden="1"/>
    <cellStyle name="20% - 강조색1 4" xfId="26203" hidden="1"/>
    <cellStyle name="20% - 강조색1 4" xfId="26245" hidden="1"/>
    <cellStyle name="20% - 강조색1 4" xfId="26287" hidden="1"/>
    <cellStyle name="20% - 강조색1 4" xfId="26329" hidden="1"/>
    <cellStyle name="20% - 강조색1 4" xfId="26371" hidden="1"/>
    <cellStyle name="20% - 강조색1 4" xfId="26413" hidden="1"/>
    <cellStyle name="20% - 강조색1 4" xfId="26455" hidden="1"/>
    <cellStyle name="20% - 강조색1 4" xfId="26497" hidden="1"/>
    <cellStyle name="20% - 강조색1 4" xfId="26539" hidden="1"/>
    <cellStyle name="20% - 강조색1 4" xfId="26581" hidden="1"/>
    <cellStyle name="20% - 강조색1 4" xfId="25682" hidden="1"/>
    <cellStyle name="20% - 강조색1 4" xfId="26609" hidden="1"/>
    <cellStyle name="20% - 강조색1 4" xfId="26649" hidden="1"/>
    <cellStyle name="20% - 강조색1 4" xfId="26689" hidden="1"/>
    <cellStyle name="20% - 강조색1 4" xfId="26729" hidden="1"/>
    <cellStyle name="20% - 강조색1 4" xfId="26769" hidden="1"/>
    <cellStyle name="20% - 강조색1 4" xfId="26809" hidden="1"/>
    <cellStyle name="20% - 강조색1 4" xfId="26849" hidden="1"/>
    <cellStyle name="20% - 강조색1 4" xfId="26889" hidden="1"/>
    <cellStyle name="20% - 강조색1 4" xfId="26929" hidden="1"/>
    <cellStyle name="20% - 강조색1 4" xfId="26969" hidden="1"/>
    <cellStyle name="20% - 강조색1 4" xfId="27009" hidden="1"/>
    <cellStyle name="20% - 강조색1 4" xfId="27049" hidden="1"/>
    <cellStyle name="20% - 강조색1 4" xfId="24487" hidden="1"/>
    <cellStyle name="20% - 강조색1 4" xfId="27100" hidden="1"/>
    <cellStyle name="20% - 강조색1 4" xfId="27140" hidden="1"/>
    <cellStyle name="20% - 강조색1 4" xfId="27180" hidden="1"/>
    <cellStyle name="20% - 강조색1 4" xfId="27220" hidden="1"/>
    <cellStyle name="20% - 강조색1 4" xfId="27260" hidden="1"/>
    <cellStyle name="20% - 강조색1 4" xfId="27300" hidden="1"/>
    <cellStyle name="20% - 강조색1 4" xfId="27340" hidden="1"/>
    <cellStyle name="20% - 강조색1 4" xfId="27380" hidden="1"/>
    <cellStyle name="20% - 강조색1 4" xfId="27420" hidden="1"/>
    <cellStyle name="20% - 강조색1 4" xfId="27460" hidden="1"/>
    <cellStyle name="20% - 강조색1 4" xfId="27500" hidden="1"/>
    <cellStyle name="20% - 강조색1 4" xfId="27584" hidden="1"/>
    <cellStyle name="20% - 강조색1 4" xfId="27625" hidden="1"/>
    <cellStyle name="20% - 강조색1 4" xfId="27667" hidden="1"/>
    <cellStyle name="20% - 강조색1 4" xfId="27709" hidden="1"/>
    <cellStyle name="20% - 강조색1 4" xfId="27751" hidden="1"/>
    <cellStyle name="20% - 강조색1 4" xfId="27793" hidden="1"/>
    <cellStyle name="20% - 강조색1 4" xfId="27835" hidden="1"/>
    <cellStyle name="20% - 강조색1 4" xfId="27877" hidden="1"/>
    <cellStyle name="20% - 강조색1 4" xfId="27919" hidden="1"/>
    <cellStyle name="20% - 강조색1 4" xfId="27961" hidden="1"/>
    <cellStyle name="20% - 강조색1 4" xfId="28003" hidden="1"/>
    <cellStyle name="20% - 강조색1 4" xfId="28045" hidden="1"/>
    <cellStyle name="20% - 강조색1 4" xfId="27541" hidden="1"/>
    <cellStyle name="20% - 강조색1 4" xfId="28224" hidden="1"/>
    <cellStyle name="20% - 강조색1 4" xfId="28264" hidden="1"/>
    <cellStyle name="20% - 강조색1 4" xfId="28304" hidden="1"/>
    <cellStyle name="20% - 강조색1 4" xfId="28344" hidden="1"/>
    <cellStyle name="20% - 강조색1 4" xfId="28384" hidden="1"/>
    <cellStyle name="20% - 강조색1 4" xfId="28424" hidden="1"/>
    <cellStyle name="20% - 강조색1 4" xfId="28464" hidden="1"/>
    <cellStyle name="20% - 강조색1 4" xfId="28504" hidden="1"/>
    <cellStyle name="20% - 강조색1 4" xfId="28544" hidden="1"/>
    <cellStyle name="20% - 강조색1 4" xfId="28584" hidden="1"/>
    <cellStyle name="20% - 강조색1 4" xfId="28624" hidden="1"/>
    <cellStyle name="20% - 강조색1 4" xfId="28664" hidden="1"/>
    <cellStyle name="20% - 강조색1 4" xfId="28132" hidden="1"/>
    <cellStyle name="20% - 강조색1 4" xfId="28093" hidden="1"/>
    <cellStyle name="20% - 강조색1 4" xfId="28706" hidden="1"/>
    <cellStyle name="20% - 강조색1 4" xfId="28748" hidden="1"/>
    <cellStyle name="20% - 강조색1 4" xfId="28790" hidden="1"/>
    <cellStyle name="20% - 강조색1 4" xfId="28832" hidden="1"/>
    <cellStyle name="20% - 강조색1 4" xfId="28874" hidden="1"/>
    <cellStyle name="20% - 강조색1 4" xfId="28916" hidden="1"/>
    <cellStyle name="20% - 강조색1 4" xfId="28958" hidden="1"/>
    <cellStyle name="20% - 강조색1 4" xfId="29000" hidden="1"/>
    <cellStyle name="20% - 강조색1 4" xfId="29042" hidden="1"/>
    <cellStyle name="20% - 강조색1 4" xfId="29084" hidden="1"/>
    <cellStyle name="20% - 강조색1 4" xfId="28185" hidden="1"/>
    <cellStyle name="20% - 강조색1 4" xfId="29112" hidden="1"/>
    <cellStyle name="20% - 강조색1 4" xfId="29152" hidden="1"/>
    <cellStyle name="20% - 강조색1 4" xfId="29192" hidden="1"/>
    <cellStyle name="20% - 강조색1 4" xfId="29232" hidden="1"/>
    <cellStyle name="20% - 강조색1 4" xfId="29272" hidden="1"/>
    <cellStyle name="20% - 강조색1 4" xfId="29312" hidden="1"/>
    <cellStyle name="20% - 강조색1 4" xfId="29352" hidden="1"/>
    <cellStyle name="20% - 강조색1 4" xfId="29392" hidden="1"/>
    <cellStyle name="20% - 강조색1 4" xfId="29432" hidden="1"/>
    <cellStyle name="20% - 강조색1 4" xfId="29472" hidden="1"/>
    <cellStyle name="20% - 강조색1 4" xfId="29512" hidden="1"/>
    <cellStyle name="20% - 강조색1 4" xfId="29552" hidden="1"/>
    <cellStyle name="20% - 강조색1 4" xfId="24523" hidden="1"/>
    <cellStyle name="20% - 강조색1 4" xfId="29602" hidden="1"/>
    <cellStyle name="20% - 강조색1 4" xfId="29642" hidden="1"/>
    <cellStyle name="20% - 강조색1 4" xfId="29682" hidden="1"/>
    <cellStyle name="20% - 강조색1 4" xfId="29722" hidden="1"/>
    <cellStyle name="20% - 강조색1 4" xfId="29762" hidden="1"/>
    <cellStyle name="20% - 강조색1 4" xfId="29802" hidden="1"/>
    <cellStyle name="20% - 강조색1 4" xfId="29842" hidden="1"/>
    <cellStyle name="20% - 강조색1 4" xfId="29882" hidden="1"/>
    <cellStyle name="20% - 강조색1 4" xfId="29922" hidden="1"/>
    <cellStyle name="20% - 강조색1 4" xfId="29962" hidden="1"/>
    <cellStyle name="20% - 강조색1 4" xfId="30002" hidden="1"/>
    <cellStyle name="20% - 강조색1 4" xfId="30086" hidden="1"/>
    <cellStyle name="20% - 강조색1 4" xfId="30127" hidden="1"/>
    <cellStyle name="20% - 강조색1 4" xfId="30169" hidden="1"/>
    <cellStyle name="20% - 강조색1 4" xfId="30211" hidden="1"/>
    <cellStyle name="20% - 강조색1 4" xfId="30253" hidden="1"/>
    <cellStyle name="20% - 강조색1 4" xfId="30295" hidden="1"/>
    <cellStyle name="20% - 강조색1 4" xfId="30337" hidden="1"/>
    <cellStyle name="20% - 강조색1 4" xfId="30379" hidden="1"/>
    <cellStyle name="20% - 강조색1 4" xfId="30421" hidden="1"/>
    <cellStyle name="20% - 강조색1 4" xfId="30463" hidden="1"/>
    <cellStyle name="20% - 강조색1 4" xfId="30505" hidden="1"/>
    <cellStyle name="20% - 강조색1 4" xfId="30547" hidden="1"/>
    <cellStyle name="20% - 강조색1 4" xfId="30043" hidden="1"/>
    <cellStyle name="20% - 강조색1 4" xfId="30726" hidden="1"/>
    <cellStyle name="20% - 강조색1 4" xfId="30766" hidden="1"/>
    <cellStyle name="20% - 강조색1 4" xfId="30806" hidden="1"/>
    <cellStyle name="20% - 강조색1 4" xfId="30846" hidden="1"/>
    <cellStyle name="20% - 강조색1 4" xfId="30886" hidden="1"/>
    <cellStyle name="20% - 강조색1 4" xfId="30926" hidden="1"/>
    <cellStyle name="20% - 강조색1 4" xfId="30966" hidden="1"/>
    <cellStyle name="20% - 강조색1 4" xfId="31006" hidden="1"/>
    <cellStyle name="20% - 강조색1 4" xfId="31046" hidden="1"/>
    <cellStyle name="20% - 강조색1 4" xfId="31086" hidden="1"/>
    <cellStyle name="20% - 강조색1 4" xfId="31126" hidden="1"/>
    <cellStyle name="20% - 강조색1 4" xfId="31166" hidden="1"/>
    <cellStyle name="20% - 강조색1 4" xfId="30634" hidden="1"/>
    <cellStyle name="20% - 강조색1 4" xfId="30595" hidden="1"/>
    <cellStyle name="20% - 강조색1 4" xfId="31208" hidden="1"/>
    <cellStyle name="20% - 강조색1 4" xfId="31250" hidden="1"/>
    <cellStyle name="20% - 강조색1 4" xfId="31292" hidden="1"/>
    <cellStyle name="20% - 강조색1 4" xfId="31334" hidden="1"/>
    <cellStyle name="20% - 강조색1 4" xfId="31376" hidden="1"/>
    <cellStyle name="20% - 강조색1 4" xfId="31418" hidden="1"/>
    <cellStyle name="20% - 강조색1 4" xfId="31460" hidden="1"/>
    <cellStyle name="20% - 강조색1 4" xfId="31502" hidden="1"/>
    <cellStyle name="20% - 강조색1 4" xfId="31544" hidden="1"/>
    <cellStyle name="20% - 강조색1 4" xfId="31586" hidden="1"/>
    <cellStyle name="20% - 강조색1 4" xfId="30687" hidden="1"/>
    <cellStyle name="20% - 강조색1 4" xfId="31614" hidden="1"/>
    <cellStyle name="20% - 강조색1 4" xfId="31654" hidden="1"/>
    <cellStyle name="20% - 강조색1 4" xfId="31694" hidden="1"/>
    <cellStyle name="20% - 강조색1 4" xfId="31734" hidden="1"/>
    <cellStyle name="20% - 강조색1 4" xfId="31774" hidden="1"/>
    <cellStyle name="20% - 강조색1 4" xfId="31814" hidden="1"/>
    <cellStyle name="20% - 강조색1 4" xfId="31854" hidden="1"/>
    <cellStyle name="20% - 강조색1 4" xfId="31894" hidden="1"/>
    <cellStyle name="20% - 강조색1 4" xfId="31934" hidden="1"/>
    <cellStyle name="20% - 강조색1 4" xfId="31974" hidden="1"/>
    <cellStyle name="20% - 강조색1 4" xfId="32014" hidden="1"/>
    <cellStyle name="20% - 강조색1 4" xfId="32054" hidden="1"/>
    <cellStyle name="20% - 강조색1 4" xfId="32116" hidden="1"/>
    <cellStyle name="20% - 강조색1 4" xfId="32156" hidden="1"/>
    <cellStyle name="20% - 강조색1 4" xfId="32196" hidden="1"/>
    <cellStyle name="20% - 강조색1 4" xfId="32236" hidden="1"/>
    <cellStyle name="20% - 강조색1 4" xfId="32276" hidden="1"/>
    <cellStyle name="20% - 강조색1 4" xfId="32316" hidden="1"/>
    <cellStyle name="20% - 강조색1 4" xfId="32356" hidden="1"/>
    <cellStyle name="20% - 강조색1 4" xfId="32396" hidden="1"/>
    <cellStyle name="20% - 강조색1 4" xfId="32436" hidden="1"/>
    <cellStyle name="20% - 강조색1 4" xfId="32476" hidden="1"/>
    <cellStyle name="20% - 강조색1 4" xfId="32516" hidden="1"/>
    <cellStyle name="20% - 강조색1 4" xfId="32556" hidden="1"/>
    <cellStyle name="20% - 강조색1 4" xfId="32641" hidden="1"/>
    <cellStyle name="20% - 강조색1 4" xfId="32682" hidden="1"/>
    <cellStyle name="20% - 강조색1 4" xfId="32724" hidden="1"/>
    <cellStyle name="20% - 강조색1 4" xfId="32766" hidden="1"/>
    <cellStyle name="20% - 강조색1 4" xfId="32808" hidden="1"/>
    <cellStyle name="20% - 강조색1 4" xfId="32850" hidden="1"/>
    <cellStyle name="20% - 강조색1 4" xfId="32892" hidden="1"/>
    <cellStyle name="20% - 강조색1 4" xfId="32934" hidden="1"/>
    <cellStyle name="20% - 강조색1 4" xfId="32976" hidden="1"/>
    <cellStyle name="20% - 강조색1 4" xfId="33018" hidden="1"/>
    <cellStyle name="20% - 강조색1 4" xfId="33060" hidden="1"/>
    <cellStyle name="20% - 강조색1 4" xfId="33102" hidden="1"/>
    <cellStyle name="20% - 강조색1 4" xfId="32598" hidden="1"/>
    <cellStyle name="20% - 강조색1 4" xfId="33281" hidden="1"/>
    <cellStyle name="20% - 강조색1 4" xfId="33321" hidden="1"/>
    <cellStyle name="20% - 강조색1 4" xfId="33361" hidden="1"/>
    <cellStyle name="20% - 강조색1 4" xfId="33401" hidden="1"/>
    <cellStyle name="20% - 강조색1 4" xfId="33441" hidden="1"/>
    <cellStyle name="20% - 강조색1 4" xfId="33481" hidden="1"/>
    <cellStyle name="20% - 강조색1 4" xfId="33521" hidden="1"/>
    <cellStyle name="20% - 강조색1 4" xfId="33561" hidden="1"/>
    <cellStyle name="20% - 강조색1 4" xfId="33601" hidden="1"/>
    <cellStyle name="20% - 강조색1 4" xfId="33641" hidden="1"/>
    <cellStyle name="20% - 강조색1 4" xfId="33681" hidden="1"/>
    <cellStyle name="20% - 강조색1 4" xfId="33721" hidden="1"/>
    <cellStyle name="20% - 강조색1 4" xfId="33189" hidden="1"/>
    <cellStyle name="20% - 강조색1 4" xfId="33150" hidden="1"/>
    <cellStyle name="20% - 강조색1 4" xfId="33763" hidden="1"/>
    <cellStyle name="20% - 강조색1 4" xfId="33805" hidden="1"/>
    <cellStyle name="20% - 강조색1 4" xfId="33847" hidden="1"/>
    <cellStyle name="20% - 강조색1 4" xfId="33889" hidden="1"/>
    <cellStyle name="20% - 강조색1 4" xfId="33931" hidden="1"/>
    <cellStyle name="20% - 강조색1 4" xfId="33973" hidden="1"/>
    <cellStyle name="20% - 강조색1 4" xfId="34015" hidden="1"/>
    <cellStyle name="20% - 강조색1 4" xfId="34057" hidden="1"/>
    <cellStyle name="20% - 강조색1 4" xfId="34099" hidden="1"/>
    <cellStyle name="20% - 강조색1 4" xfId="34141" hidden="1"/>
    <cellStyle name="20% - 강조색1 4" xfId="33242" hidden="1"/>
    <cellStyle name="20% - 강조색1 4" xfId="34169" hidden="1"/>
    <cellStyle name="20% - 강조색1 4" xfId="34209" hidden="1"/>
    <cellStyle name="20% - 강조색1 4" xfId="34249" hidden="1"/>
    <cellStyle name="20% - 강조색1 4" xfId="34289" hidden="1"/>
    <cellStyle name="20% - 강조색1 4" xfId="34329" hidden="1"/>
    <cellStyle name="20% - 강조색1 4" xfId="34369" hidden="1"/>
    <cellStyle name="20% - 강조색1 4" xfId="34409" hidden="1"/>
    <cellStyle name="20% - 강조색1 4" xfId="34449" hidden="1"/>
    <cellStyle name="20% - 강조색1 4" xfId="34489" hidden="1"/>
    <cellStyle name="20% - 강조색1 4" xfId="34529" hidden="1"/>
    <cellStyle name="20% - 강조색1 4" xfId="34569" hidden="1"/>
    <cellStyle name="20% - 강조색1 4" xfId="34609" hidden="1"/>
    <cellStyle name="20% - 강조색1 4" xfId="34706" hidden="1"/>
    <cellStyle name="20% - 강조색1 4" xfId="34746" hidden="1"/>
    <cellStyle name="20% - 강조색1 4" xfId="34786" hidden="1"/>
    <cellStyle name="20% - 강조색1 4" xfId="34826" hidden="1"/>
    <cellStyle name="20% - 강조색1 4" xfId="34866" hidden="1"/>
    <cellStyle name="20% - 강조색1 4" xfId="34906" hidden="1"/>
    <cellStyle name="20% - 강조색1 4" xfId="34946" hidden="1"/>
    <cellStyle name="20% - 강조색1 4" xfId="34986" hidden="1"/>
    <cellStyle name="20% - 강조색1 4" xfId="35026" hidden="1"/>
    <cellStyle name="20% - 강조색1 4" xfId="35066" hidden="1"/>
    <cellStyle name="20% - 강조색1 4" xfId="35106" hidden="1"/>
    <cellStyle name="20% - 강조색1 4" xfId="35146" hidden="1"/>
    <cellStyle name="20% - 강조색1 4" xfId="35230" hidden="1"/>
    <cellStyle name="20% - 강조색1 4" xfId="35271" hidden="1"/>
    <cellStyle name="20% - 강조색1 4" xfId="35313" hidden="1"/>
    <cellStyle name="20% - 강조색1 4" xfId="35355" hidden="1"/>
    <cellStyle name="20% - 강조색1 4" xfId="35397" hidden="1"/>
    <cellStyle name="20% - 강조색1 4" xfId="35439" hidden="1"/>
    <cellStyle name="20% - 강조색1 4" xfId="35481" hidden="1"/>
    <cellStyle name="20% - 강조색1 4" xfId="35523" hidden="1"/>
    <cellStyle name="20% - 강조색1 4" xfId="35565" hidden="1"/>
    <cellStyle name="20% - 강조색1 4" xfId="35607" hidden="1"/>
    <cellStyle name="20% - 강조색1 4" xfId="35649" hidden="1"/>
    <cellStyle name="20% - 강조색1 4" xfId="35691" hidden="1"/>
    <cellStyle name="20% - 강조색1 4" xfId="35187" hidden="1"/>
    <cellStyle name="20% - 강조색1 4" xfId="35870" hidden="1"/>
    <cellStyle name="20% - 강조색1 4" xfId="35910" hidden="1"/>
    <cellStyle name="20% - 강조색1 4" xfId="35950" hidden="1"/>
    <cellStyle name="20% - 강조색1 4" xfId="35990" hidden="1"/>
    <cellStyle name="20% - 강조색1 4" xfId="36030" hidden="1"/>
    <cellStyle name="20% - 강조색1 4" xfId="36070" hidden="1"/>
    <cellStyle name="20% - 강조색1 4" xfId="36110" hidden="1"/>
    <cellStyle name="20% - 강조색1 4" xfId="36150" hidden="1"/>
    <cellStyle name="20% - 강조색1 4" xfId="36190" hidden="1"/>
    <cellStyle name="20% - 강조색1 4" xfId="36230" hidden="1"/>
    <cellStyle name="20% - 강조색1 4" xfId="36270" hidden="1"/>
    <cellStyle name="20% - 강조색1 4" xfId="36310" hidden="1"/>
    <cellStyle name="20% - 강조색1 4" xfId="35778" hidden="1"/>
    <cellStyle name="20% - 강조색1 4" xfId="35739" hidden="1"/>
    <cellStyle name="20% - 강조색1 4" xfId="36352" hidden="1"/>
    <cellStyle name="20% - 강조색1 4" xfId="36394" hidden="1"/>
    <cellStyle name="20% - 강조색1 4" xfId="36436" hidden="1"/>
    <cellStyle name="20% - 강조색1 4" xfId="36478" hidden="1"/>
    <cellStyle name="20% - 강조색1 4" xfId="36520" hidden="1"/>
    <cellStyle name="20% - 강조색1 4" xfId="36562" hidden="1"/>
    <cellStyle name="20% - 강조색1 4" xfId="36604" hidden="1"/>
    <cellStyle name="20% - 강조색1 4" xfId="36646" hidden="1"/>
    <cellStyle name="20% - 강조색1 4" xfId="36688" hidden="1"/>
    <cellStyle name="20% - 강조색1 4" xfId="36730" hidden="1"/>
    <cellStyle name="20% - 강조색1 4" xfId="35831" hidden="1"/>
    <cellStyle name="20% - 강조색1 4" xfId="36758" hidden="1"/>
    <cellStyle name="20% - 강조색1 4" xfId="36798" hidden="1"/>
    <cellStyle name="20% - 강조색1 4" xfId="36838" hidden="1"/>
    <cellStyle name="20% - 강조색1 4" xfId="36878" hidden="1"/>
    <cellStyle name="20% - 강조색1 4" xfId="36918" hidden="1"/>
    <cellStyle name="20% - 강조색1 4" xfId="36958" hidden="1"/>
    <cellStyle name="20% - 강조색1 4" xfId="36998" hidden="1"/>
    <cellStyle name="20% - 강조색1 4" xfId="37038" hidden="1"/>
    <cellStyle name="20% - 강조색1 4" xfId="37078" hidden="1"/>
    <cellStyle name="20% - 강조색1 4" xfId="37118" hidden="1"/>
    <cellStyle name="20% - 강조색1 4" xfId="37158" hidden="1"/>
    <cellStyle name="20% - 강조색1 4" xfId="37198" hidden="1"/>
    <cellStyle name="20% - 강조색1 4" xfId="34639" hidden="1"/>
    <cellStyle name="20% - 강조색1 4" xfId="37249" hidden="1"/>
    <cellStyle name="20% - 강조색1 4" xfId="37290" hidden="1"/>
    <cellStyle name="20% - 강조색1 4" xfId="37330" hidden="1"/>
    <cellStyle name="20% - 강조색1 4" xfId="37370" hidden="1"/>
    <cellStyle name="20% - 강조색1 4" xfId="37410" hidden="1"/>
    <cellStyle name="20% - 강조색1 4" xfId="37450" hidden="1"/>
    <cellStyle name="20% - 강조색1 4" xfId="37490" hidden="1"/>
    <cellStyle name="20% - 강조색1 4" xfId="37530" hidden="1"/>
    <cellStyle name="20% - 강조색1 4" xfId="37570" hidden="1"/>
    <cellStyle name="20% - 강조색1 4" xfId="37610" hidden="1"/>
    <cellStyle name="20% - 강조색1 4" xfId="37650" hidden="1"/>
    <cellStyle name="20% - 강조색1 4" xfId="37734" hidden="1"/>
    <cellStyle name="20% - 강조색1 4" xfId="37775" hidden="1"/>
    <cellStyle name="20% - 강조색1 4" xfId="37817" hidden="1"/>
    <cellStyle name="20% - 강조색1 4" xfId="37859" hidden="1"/>
    <cellStyle name="20% - 강조색1 4" xfId="37901" hidden="1"/>
    <cellStyle name="20% - 강조색1 4" xfId="37943" hidden="1"/>
    <cellStyle name="20% - 강조색1 4" xfId="37985" hidden="1"/>
    <cellStyle name="20% - 강조색1 4" xfId="38027" hidden="1"/>
    <cellStyle name="20% - 강조색1 4" xfId="38069" hidden="1"/>
    <cellStyle name="20% - 강조색1 4" xfId="38111" hidden="1"/>
    <cellStyle name="20% - 강조색1 4" xfId="38153" hidden="1"/>
    <cellStyle name="20% - 강조색1 4" xfId="38195" hidden="1"/>
    <cellStyle name="20% - 강조색1 4" xfId="37691" hidden="1"/>
    <cellStyle name="20% - 강조색1 4" xfId="38374" hidden="1"/>
    <cellStyle name="20% - 강조색1 4" xfId="38414" hidden="1"/>
    <cellStyle name="20% - 강조색1 4" xfId="38454" hidden="1"/>
    <cellStyle name="20% - 강조색1 4" xfId="38494" hidden="1"/>
    <cellStyle name="20% - 강조색1 4" xfId="38534" hidden="1"/>
    <cellStyle name="20% - 강조색1 4" xfId="38574" hidden="1"/>
    <cellStyle name="20% - 강조색1 4" xfId="38614" hidden="1"/>
    <cellStyle name="20% - 강조색1 4" xfId="38654" hidden="1"/>
    <cellStyle name="20% - 강조색1 4" xfId="38694" hidden="1"/>
    <cellStyle name="20% - 강조색1 4" xfId="38734" hidden="1"/>
    <cellStyle name="20% - 강조색1 4" xfId="38774" hidden="1"/>
    <cellStyle name="20% - 강조색1 4" xfId="38814" hidden="1"/>
    <cellStyle name="20% - 강조색1 4" xfId="38282" hidden="1"/>
    <cellStyle name="20% - 강조색1 4" xfId="38243" hidden="1"/>
    <cellStyle name="20% - 강조색1 4" xfId="38856" hidden="1"/>
    <cellStyle name="20% - 강조색1 4" xfId="38898" hidden="1"/>
    <cellStyle name="20% - 강조색1 4" xfId="38940" hidden="1"/>
    <cellStyle name="20% - 강조색1 4" xfId="38982" hidden="1"/>
    <cellStyle name="20% - 강조색1 4" xfId="39024" hidden="1"/>
    <cellStyle name="20% - 강조색1 4" xfId="39066" hidden="1"/>
    <cellStyle name="20% - 강조색1 4" xfId="39108" hidden="1"/>
    <cellStyle name="20% - 강조색1 4" xfId="39150" hidden="1"/>
    <cellStyle name="20% - 강조색1 4" xfId="39192" hidden="1"/>
    <cellStyle name="20% - 강조색1 4" xfId="39234" hidden="1"/>
    <cellStyle name="20% - 강조색1 4" xfId="38335" hidden="1"/>
    <cellStyle name="20% - 강조색1 4" xfId="39262" hidden="1"/>
    <cellStyle name="20% - 강조색1 4" xfId="39302" hidden="1"/>
    <cellStyle name="20% - 강조색1 4" xfId="39342" hidden="1"/>
    <cellStyle name="20% - 강조색1 4" xfId="39382" hidden="1"/>
    <cellStyle name="20% - 강조색1 4" xfId="39422" hidden="1"/>
    <cellStyle name="20% - 강조색1 4" xfId="39462" hidden="1"/>
    <cellStyle name="20% - 강조색1 4" xfId="39502" hidden="1"/>
    <cellStyle name="20% - 강조색1 4" xfId="39542" hidden="1"/>
    <cellStyle name="20% - 강조색1 4" xfId="39582" hidden="1"/>
    <cellStyle name="20% - 강조색1 4" xfId="39622" hidden="1"/>
    <cellStyle name="20% - 강조색1 4" xfId="39662" hidden="1"/>
    <cellStyle name="20% - 강조색1 4" xfId="39702" hidden="1"/>
    <cellStyle name="20% - 강조색1 4" xfId="34675" hidden="1"/>
    <cellStyle name="20% - 강조색1 4" xfId="39752" hidden="1"/>
    <cellStyle name="20% - 강조색1 4" xfId="39792" hidden="1"/>
    <cellStyle name="20% - 강조색1 4" xfId="39832" hidden="1"/>
    <cellStyle name="20% - 강조색1 4" xfId="39872" hidden="1"/>
    <cellStyle name="20% - 강조색1 4" xfId="39912" hidden="1"/>
    <cellStyle name="20% - 강조색1 4" xfId="39952" hidden="1"/>
    <cellStyle name="20% - 강조색1 4" xfId="39992" hidden="1"/>
    <cellStyle name="20% - 강조색1 4" xfId="40032" hidden="1"/>
    <cellStyle name="20% - 강조색1 4" xfId="40072" hidden="1"/>
    <cellStyle name="20% - 강조색1 4" xfId="40112" hidden="1"/>
    <cellStyle name="20% - 강조색1 4" xfId="40152" hidden="1"/>
    <cellStyle name="20% - 강조색1 4" xfId="40236" hidden="1"/>
    <cellStyle name="20% - 강조색1 4" xfId="40277" hidden="1"/>
    <cellStyle name="20% - 강조색1 4" xfId="40319" hidden="1"/>
    <cellStyle name="20% - 강조색1 4" xfId="40361" hidden="1"/>
    <cellStyle name="20% - 강조색1 4" xfId="40403" hidden="1"/>
    <cellStyle name="20% - 강조색1 4" xfId="40445" hidden="1"/>
    <cellStyle name="20% - 강조색1 4" xfId="40487" hidden="1"/>
    <cellStyle name="20% - 강조색1 4" xfId="40529" hidden="1"/>
    <cellStyle name="20% - 강조색1 4" xfId="40571" hidden="1"/>
    <cellStyle name="20% - 강조색1 4" xfId="40613" hidden="1"/>
    <cellStyle name="20% - 강조색1 4" xfId="40655" hidden="1"/>
    <cellStyle name="20% - 강조색1 4" xfId="40697" hidden="1"/>
    <cellStyle name="20% - 강조색1 4" xfId="40193" hidden="1"/>
    <cellStyle name="20% - 강조색1 4" xfId="40876" hidden="1"/>
    <cellStyle name="20% - 강조색1 4" xfId="40916" hidden="1"/>
    <cellStyle name="20% - 강조색1 4" xfId="40956" hidden="1"/>
    <cellStyle name="20% - 강조색1 4" xfId="40996" hidden="1"/>
    <cellStyle name="20% - 강조색1 4" xfId="41036" hidden="1"/>
    <cellStyle name="20% - 강조색1 4" xfId="41076" hidden="1"/>
    <cellStyle name="20% - 강조색1 4" xfId="41116" hidden="1"/>
    <cellStyle name="20% - 강조색1 4" xfId="41156" hidden="1"/>
    <cellStyle name="20% - 강조색1 4" xfId="41196" hidden="1"/>
    <cellStyle name="20% - 강조색1 4" xfId="41236" hidden="1"/>
    <cellStyle name="20% - 강조색1 4" xfId="41276" hidden="1"/>
    <cellStyle name="20% - 강조색1 4" xfId="41316" hidden="1"/>
    <cellStyle name="20% - 강조색1 4" xfId="40784" hidden="1"/>
    <cellStyle name="20% - 강조색1 4" xfId="40745" hidden="1"/>
    <cellStyle name="20% - 강조색1 4" xfId="41358" hidden="1"/>
    <cellStyle name="20% - 강조색1 4" xfId="41400" hidden="1"/>
    <cellStyle name="20% - 강조색1 4" xfId="41442" hidden="1"/>
    <cellStyle name="20% - 강조색1 4" xfId="41484" hidden="1"/>
    <cellStyle name="20% - 강조색1 4" xfId="41526" hidden="1"/>
    <cellStyle name="20% - 강조색1 4" xfId="41568" hidden="1"/>
    <cellStyle name="20% - 강조색1 4" xfId="41610" hidden="1"/>
    <cellStyle name="20% - 강조색1 4" xfId="41652" hidden="1"/>
    <cellStyle name="20% - 강조색1 4" xfId="41694" hidden="1"/>
    <cellStyle name="20% - 강조색1 4" xfId="41736" hidden="1"/>
    <cellStyle name="20% - 강조색1 4" xfId="40837" hidden="1"/>
    <cellStyle name="20% - 강조색1 4" xfId="41764" hidden="1"/>
    <cellStyle name="20% - 강조색1 4" xfId="41804" hidden="1"/>
    <cellStyle name="20% - 강조색1 4" xfId="41844" hidden="1"/>
    <cellStyle name="20% - 강조색1 4" xfId="41884" hidden="1"/>
    <cellStyle name="20% - 강조색1 4" xfId="41924" hidden="1"/>
    <cellStyle name="20% - 강조색1 4" xfId="41964" hidden="1"/>
    <cellStyle name="20% - 강조색1 4" xfId="42004" hidden="1"/>
    <cellStyle name="20% - 강조색1 4" xfId="42044" hidden="1"/>
    <cellStyle name="20% - 강조색1 4" xfId="42084" hidden="1"/>
    <cellStyle name="20% - 강조색1 4" xfId="42124" hidden="1"/>
    <cellStyle name="20% - 강조색1 4" xfId="42164" hidden="1"/>
    <cellStyle name="20% - 강조색1 4" xfId="42204" hidden="1"/>
    <cellStyle name="20% - 강조색1 4" xfId="42247" hidden="1"/>
    <cellStyle name="20% - 강조색1 4" xfId="42287" hidden="1"/>
    <cellStyle name="20% - 강조색1 4" xfId="42327" hidden="1"/>
    <cellStyle name="20% - 강조색1 4" xfId="42367" hidden="1"/>
    <cellStyle name="20% - 강조색1 4" xfId="42407" hidden="1"/>
    <cellStyle name="20% - 강조색1 4" xfId="42447" hidden="1"/>
    <cellStyle name="20% - 강조색1 4" xfId="42487" hidden="1"/>
    <cellStyle name="20% - 강조색1 4" xfId="42527" hidden="1"/>
    <cellStyle name="20% - 강조색1 4" xfId="42567" hidden="1"/>
    <cellStyle name="20% - 강조색1 4" xfId="42607" hidden="1"/>
    <cellStyle name="20% - 강조색1 4" xfId="42647" hidden="1"/>
    <cellStyle name="20% - 강조색1 4" xfId="42687" hidden="1"/>
    <cellStyle name="20% - 강조색1 4" xfId="42771" hidden="1"/>
    <cellStyle name="20% - 강조색1 4" xfId="42812" hidden="1"/>
    <cellStyle name="20% - 강조색1 4" xfId="42854" hidden="1"/>
    <cellStyle name="20% - 강조색1 4" xfId="42896" hidden="1"/>
    <cellStyle name="20% - 강조색1 4" xfId="42938" hidden="1"/>
    <cellStyle name="20% - 강조색1 4" xfId="42980" hidden="1"/>
    <cellStyle name="20% - 강조색1 4" xfId="43022" hidden="1"/>
    <cellStyle name="20% - 강조색1 4" xfId="43064" hidden="1"/>
    <cellStyle name="20% - 강조색1 4" xfId="43106" hidden="1"/>
    <cellStyle name="20% - 강조색1 4" xfId="43148" hidden="1"/>
    <cellStyle name="20% - 강조색1 4" xfId="43190" hidden="1"/>
    <cellStyle name="20% - 강조색1 4" xfId="43232" hidden="1"/>
    <cellStyle name="20% - 강조색1 4" xfId="42728" hidden="1"/>
    <cellStyle name="20% - 강조색1 4" xfId="43411" hidden="1"/>
    <cellStyle name="20% - 강조색1 4" xfId="43451" hidden="1"/>
    <cellStyle name="20% - 강조색1 4" xfId="43491" hidden="1"/>
    <cellStyle name="20% - 강조색1 4" xfId="43531" hidden="1"/>
    <cellStyle name="20% - 강조색1 4" xfId="43571" hidden="1"/>
    <cellStyle name="20% - 강조색1 4" xfId="43611" hidden="1"/>
    <cellStyle name="20% - 강조색1 4" xfId="43651" hidden="1"/>
    <cellStyle name="20% - 강조색1 4" xfId="43691" hidden="1"/>
    <cellStyle name="20% - 강조색1 4" xfId="43731" hidden="1"/>
    <cellStyle name="20% - 강조색1 4" xfId="43771" hidden="1"/>
    <cellStyle name="20% - 강조색1 4" xfId="43811" hidden="1"/>
    <cellStyle name="20% - 강조색1 4" xfId="43851" hidden="1"/>
    <cellStyle name="20% - 강조색1 4" xfId="43319" hidden="1"/>
    <cellStyle name="20% - 강조색1 4" xfId="43280" hidden="1"/>
    <cellStyle name="20% - 강조색1 4" xfId="43893" hidden="1"/>
    <cellStyle name="20% - 강조색1 4" xfId="43935" hidden="1"/>
    <cellStyle name="20% - 강조색1 4" xfId="43977" hidden="1"/>
    <cellStyle name="20% - 강조색1 4" xfId="44019" hidden="1"/>
    <cellStyle name="20% - 강조색1 4" xfId="44061" hidden="1"/>
    <cellStyle name="20% - 강조색1 4" xfId="44103" hidden="1"/>
    <cellStyle name="20% - 강조색1 4" xfId="44145" hidden="1"/>
    <cellStyle name="20% - 강조색1 4" xfId="44187" hidden="1"/>
    <cellStyle name="20% - 강조색1 4" xfId="44229" hidden="1"/>
    <cellStyle name="20% - 강조색1 4" xfId="44271" hidden="1"/>
    <cellStyle name="20% - 강조색1 4" xfId="43372" hidden="1"/>
    <cellStyle name="20% - 강조색1 4" xfId="44299" hidden="1"/>
    <cellStyle name="20% - 강조색1 4" xfId="44339" hidden="1"/>
    <cellStyle name="20% - 강조색1 4" xfId="44379" hidden="1"/>
    <cellStyle name="20% - 강조색1 4" xfId="44419" hidden="1"/>
    <cellStyle name="20% - 강조색1 4" xfId="44459" hidden="1"/>
    <cellStyle name="20% - 강조색1 4" xfId="44499" hidden="1"/>
    <cellStyle name="20% - 강조색1 4" xfId="44539" hidden="1"/>
    <cellStyle name="20% - 강조색1 4" xfId="44579" hidden="1"/>
    <cellStyle name="20% - 강조색1 4" xfId="44619" hidden="1"/>
    <cellStyle name="20% - 강조색1 4" xfId="44659" hidden="1"/>
    <cellStyle name="20% - 강조색1 4" xfId="44699" hidden="1"/>
    <cellStyle name="20% - 강조색1 4" xfId="44739" hidden="1"/>
    <cellStyle name="20% - 강조색1 4" xfId="44835" hidden="1"/>
    <cellStyle name="20% - 강조색1 4" xfId="44875" hidden="1"/>
    <cellStyle name="20% - 강조색1 4" xfId="44917" hidden="1"/>
    <cellStyle name="20% - 강조색1 4" xfId="44958" hidden="1"/>
    <cellStyle name="20% - 강조색1 4" xfId="44998" hidden="1"/>
    <cellStyle name="20% - 강조색1 4" xfId="45038" hidden="1"/>
    <cellStyle name="20% - 강조색1 4" xfId="45078" hidden="1"/>
    <cellStyle name="20% - 강조색1 4" xfId="45118" hidden="1"/>
    <cellStyle name="20% - 강조색1 4" xfId="45158" hidden="1"/>
    <cellStyle name="20% - 강조색1 4" xfId="45198" hidden="1"/>
    <cellStyle name="20% - 강조색1 4" xfId="45238" hidden="1"/>
    <cellStyle name="20% - 강조색1 4" xfId="45278" hidden="1"/>
    <cellStyle name="20% - 강조색1 4" xfId="45362" hidden="1"/>
    <cellStyle name="20% - 강조색1 4" xfId="45403" hidden="1"/>
    <cellStyle name="20% - 강조색1 4" xfId="45445" hidden="1"/>
    <cellStyle name="20% - 강조색1 4" xfId="45487" hidden="1"/>
    <cellStyle name="20% - 강조색1 4" xfId="45529" hidden="1"/>
    <cellStyle name="20% - 강조색1 4" xfId="45571" hidden="1"/>
    <cellStyle name="20% - 강조색1 4" xfId="45613" hidden="1"/>
    <cellStyle name="20% - 강조색1 4" xfId="45655" hidden="1"/>
    <cellStyle name="20% - 강조색1 4" xfId="45697" hidden="1"/>
    <cellStyle name="20% - 강조색1 4" xfId="45739" hidden="1"/>
    <cellStyle name="20% - 강조색1 4" xfId="45781" hidden="1"/>
    <cellStyle name="20% - 강조색1 4" xfId="45823" hidden="1"/>
    <cellStyle name="20% - 강조색1 4" xfId="45319" hidden="1"/>
    <cellStyle name="20% - 강조색1 4" xfId="46002" hidden="1"/>
    <cellStyle name="20% - 강조색1 4" xfId="46042" hidden="1"/>
    <cellStyle name="20% - 강조색1 4" xfId="46082" hidden="1"/>
    <cellStyle name="20% - 강조색1 4" xfId="46122" hidden="1"/>
    <cellStyle name="20% - 강조색1 4" xfId="46162" hidden="1"/>
    <cellStyle name="20% - 강조색1 4" xfId="46202" hidden="1"/>
    <cellStyle name="20% - 강조색1 4" xfId="46242" hidden="1"/>
    <cellStyle name="20% - 강조색1 4" xfId="46282" hidden="1"/>
    <cellStyle name="20% - 강조색1 4" xfId="46322" hidden="1"/>
    <cellStyle name="20% - 강조색1 4" xfId="46362" hidden="1"/>
    <cellStyle name="20% - 강조색1 4" xfId="46402" hidden="1"/>
    <cellStyle name="20% - 강조색1 4" xfId="46442" hidden="1"/>
    <cellStyle name="20% - 강조색1 4" xfId="45910" hidden="1"/>
    <cellStyle name="20% - 강조색1 4" xfId="45871" hidden="1"/>
    <cellStyle name="20% - 강조색1 4" xfId="46484" hidden="1"/>
    <cellStyle name="20% - 강조색1 4" xfId="46526" hidden="1"/>
    <cellStyle name="20% - 강조색1 4" xfId="46568" hidden="1"/>
    <cellStyle name="20% - 강조색1 4" xfId="46610" hidden="1"/>
    <cellStyle name="20% - 강조색1 4" xfId="46652" hidden="1"/>
    <cellStyle name="20% - 강조색1 4" xfId="46694" hidden="1"/>
    <cellStyle name="20% - 강조색1 4" xfId="46736" hidden="1"/>
    <cellStyle name="20% - 강조색1 4" xfId="46778" hidden="1"/>
    <cellStyle name="20% - 강조색1 4" xfId="46820" hidden="1"/>
    <cellStyle name="20% - 강조색1 4" xfId="46862" hidden="1"/>
    <cellStyle name="20% - 강조색1 4" xfId="45963" hidden="1"/>
    <cellStyle name="20% - 강조색1 4" xfId="46890" hidden="1"/>
    <cellStyle name="20% - 강조색1 4" xfId="46930" hidden="1"/>
    <cellStyle name="20% - 강조색1 4" xfId="46970" hidden="1"/>
    <cellStyle name="20% - 강조색1 4" xfId="47010" hidden="1"/>
    <cellStyle name="20% - 강조색1 4" xfId="47050" hidden="1"/>
    <cellStyle name="20% - 강조색1 4" xfId="47090" hidden="1"/>
    <cellStyle name="20% - 강조색1 4" xfId="47130" hidden="1"/>
    <cellStyle name="20% - 강조색1 4" xfId="47170" hidden="1"/>
    <cellStyle name="20% - 강조색1 4" xfId="47210" hidden="1"/>
    <cellStyle name="20% - 강조색1 4" xfId="47250" hidden="1"/>
    <cellStyle name="20% - 강조색1 4" xfId="47290" hidden="1"/>
    <cellStyle name="20% - 강조색1 4" xfId="47330" hidden="1"/>
    <cellStyle name="20% - 강조색1 4" xfId="44769" hidden="1"/>
    <cellStyle name="20% - 강조색1 4" xfId="47381" hidden="1"/>
    <cellStyle name="20% - 강조색1 4" xfId="47421" hidden="1"/>
    <cellStyle name="20% - 강조색1 4" xfId="47461" hidden="1"/>
    <cellStyle name="20% - 강조색1 4" xfId="47501" hidden="1"/>
    <cellStyle name="20% - 강조색1 4" xfId="47541" hidden="1"/>
    <cellStyle name="20% - 강조색1 4" xfId="47581" hidden="1"/>
    <cellStyle name="20% - 강조색1 4" xfId="47621" hidden="1"/>
    <cellStyle name="20% - 강조색1 4" xfId="47661" hidden="1"/>
    <cellStyle name="20% - 강조색1 4" xfId="47701" hidden="1"/>
    <cellStyle name="20% - 강조색1 4" xfId="47741" hidden="1"/>
    <cellStyle name="20% - 강조색1 4" xfId="47781" hidden="1"/>
    <cellStyle name="20% - 강조색1 4" xfId="47865" hidden="1"/>
    <cellStyle name="20% - 강조색1 4" xfId="47906" hidden="1"/>
    <cellStyle name="20% - 강조색1 4" xfId="47948" hidden="1"/>
    <cellStyle name="20% - 강조색1 4" xfId="47990" hidden="1"/>
    <cellStyle name="20% - 강조색1 4" xfId="48032" hidden="1"/>
    <cellStyle name="20% - 강조색1 4" xfId="48074" hidden="1"/>
    <cellStyle name="20% - 강조색1 4" xfId="48116" hidden="1"/>
    <cellStyle name="20% - 강조색1 4" xfId="48158" hidden="1"/>
    <cellStyle name="20% - 강조색1 4" xfId="48200" hidden="1"/>
    <cellStyle name="20% - 강조색1 4" xfId="48242" hidden="1"/>
    <cellStyle name="20% - 강조색1 4" xfId="48284" hidden="1"/>
    <cellStyle name="20% - 강조색1 4" xfId="48326" hidden="1"/>
    <cellStyle name="20% - 강조색1 4" xfId="47822" hidden="1"/>
    <cellStyle name="20% - 강조색1 4" xfId="48505" hidden="1"/>
    <cellStyle name="20% - 강조색1 4" xfId="48545" hidden="1"/>
    <cellStyle name="20% - 강조색1 4" xfId="48585" hidden="1"/>
    <cellStyle name="20% - 강조색1 4" xfId="48625" hidden="1"/>
    <cellStyle name="20% - 강조색1 4" xfId="48665" hidden="1"/>
    <cellStyle name="20% - 강조색1 4" xfId="48705" hidden="1"/>
    <cellStyle name="20% - 강조색1 4" xfId="48745" hidden="1"/>
    <cellStyle name="20% - 강조색1 4" xfId="48785" hidden="1"/>
    <cellStyle name="20% - 강조색1 4" xfId="48825" hidden="1"/>
    <cellStyle name="20% - 강조색1 4" xfId="48865" hidden="1"/>
    <cellStyle name="20% - 강조색1 4" xfId="48905" hidden="1"/>
    <cellStyle name="20% - 강조색1 4" xfId="48945" hidden="1"/>
    <cellStyle name="20% - 강조색1 4" xfId="48413" hidden="1"/>
    <cellStyle name="20% - 강조색1 4" xfId="48374" hidden="1"/>
    <cellStyle name="20% - 강조색1 4" xfId="48987" hidden="1"/>
    <cellStyle name="20% - 강조색1 4" xfId="49029" hidden="1"/>
    <cellStyle name="20% - 강조색1 4" xfId="49071" hidden="1"/>
    <cellStyle name="20% - 강조색1 4" xfId="49113" hidden="1"/>
    <cellStyle name="20% - 강조색1 4" xfId="49155" hidden="1"/>
    <cellStyle name="20% - 강조색1 4" xfId="49197" hidden="1"/>
    <cellStyle name="20% - 강조색1 4" xfId="49239" hidden="1"/>
    <cellStyle name="20% - 강조색1 4" xfId="49281" hidden="1"/>
    <cellStyle name="20% - 강조색1 4" xfId="49323" hidden="1"/>
    <cellStyle name="20% - 강조색1 4" xfId="49365" hidden="1"/>
    <cellStyle name="20% - 강조색1 4" xfId="48466" hidden="1"/>
    <cellStyle name="20% - 강조색1 4" xfId="49393" hidden="1"/>
    <cellStyle name="20% - 강조색1 4" xfId="49433" hidden="1"/>
    <cellStyle name="20% - 강조색1 4" xfId="49473" hidden="1"/>
    <cellStyle name="20% - 강조색1 4" xfId="49513" hidden="1"/>
    <cellStyle name="20% - 강조색1 4" xfId="49553" hidden="1"/>
    <cellStyle name="20% - 강조색1 4" xfId="49593" hidden="1"/>
    <cellStyle name="20% - 강조색1 4" xfId="49633" hidden="1"/>
    <cellStyle name="20% - 강조색1 4" xfId="49673" hidden="1"/>
    <cellStyle name="20% - 강조색1 4" xfId="49713" hidden="1"/>
    <cellStyle name="20% - 강조색1 4" xfId="49753" hidden="1"/>
    <cellStyle name="20% - 강조색1 4" xfId="49793" hidden="1"/>
    <cellStyle name="20% - 강조색1 4" xfId="49833" hidden="1"/>
    <cellStyle name="20% - 강조색1 4" xfId="44804" hidden="1"/>
    <cellStyle name="20% - 강조색1 4" xfId="49883" hidden="1"/>
    <cellStyle name="20% - 강조색1 4" xfId="49923" hidden="1"/>
    <cellStyle name="20% - 강조색1 4" xfId="49963" hidden="1"/>
    <cellStyle name="20% - 강조색1 4" xfId="50003" hidden="1"/>
    <cellStyle name="20% - 강조색1 4" xfId="50043" hidden="1"/>
    <cellStyle name="20% - 강조색1 4" xfId="50083" hidden="1"/>
    <cellStyle name="20% - 강조색1 4" xfId="50123" hidden="1"/>
    <cellStyle name="20% - 강조색1 4" xfId="50163" hidden="1"/>
    <cellStyle name="20% - 강조색1 4" xfId="50203" hidden="1"/>
    <cellStyle name="20% - 강조색1 4" xfId="50243" hidden="1"/>
    <cellStyle name="20% - 강조색1 4" xfId="50283" hidden="1"/>
    <cellStyle name="20% - 강조색1 4" xfId="50367" hidden="1"/>
    <cellStyle name="20% - 강조색1 4" xfId="50408" hidden="1"/>
    <cellStyle name="20% - 강조색1 4" xfId="50450" hidden="1"/>
    <cellStyle name="20% - 강조색1 4" xfId="50492" hidden="1"/>
    <cellStyle name="20% - 강조색1 4" xfId="50534" hidden="1"/>
    <cellStyle name="20% - 강조색1 4" xfId="50576" hidden="1"/>
    <cellStyle name="20% - 강조색1 4" xfId="50618" hidden="1"/>
    <cellStyle name="20% - 강조색1 4" xfId="50660" hidden="1"/>
    <cellStyle name="20% - 강조색1 4" xfId="50702" hidden="1"/>
    <cellStyle name="20% - 강조색1 4" xfId="50744" hidden="1"/>
    <cellStyle name="20% - 강조색1 4" xfId="50786" hidden="1"/>
    <cellStyle name="20% - 강조색1 4" xfId="50828" hidden="1"/>
    <cellStyle name="20% - 강조색1 4" xfId="50324" hidden="1"/>
    <cellStyle name="20% - 강조색1 4" xfId="51007" hidden="1"/>
    <cellStyle name="20% - 강조색1 4" xfId="51047" hidden="1"/>
    <cellStyle name="20% - 강조색1 4" xfId="51087" hidden="1"/>
    <cellStyle name="20% - 강조색1 4" xfId="51127" hidden="1"/>
    <cellStyle name="20% - 강조색1 4" xfId="51167" hidden="1"/>
    <cellStyle name="20% - 강조색1 4" xfId="51207" hidden="1"/>
    <cellStyle name="20% - 강조색1 4" xfId="51247" hidden="1"/>
    <cellStyle name="20% - 강조색1 4" xfId="51287" hidden="1"/>
    <cellStyle name="20% - 강조색1 4" xfId="51327" hidden="1"/>
    <cellStyle name="20% - 강조색1 4" xfId="51367" hidden="1"/>
    <cellStyle name="20% - 강조색1 4" xfId="51407" hidden="1"/>
    <cellStyle name="20% - 강조색1 4" xfId="51447" hidden="1"/>
    <cellStyle name="20% - 강조색1 4" xfId="50915" hidden="1"/>
    <cellStyle name="20% - 강조색1 4" xfId="50876" hidden="1"/>
    <cellStyle name="20% - 강조색1 4" xfId="51489" hidden="1"/>
    <cellStyle name="20% - 강조색1 4" xfId="51531" hidden="1"/>
    <cellStyle name="20% - 강조색1 4" xfId="51573" hidden="1"/>
    <cellStyle name="20% - 강조색1 4" xfId="51615" hidden="1"/>
    <cellStyle name="20% - 강조색1 4" xfId="51657" hidden="1"/>
    <cellStyle name="20% - 강조색1 4" xfId="51699" hidden="1"/>
    <cellStyle name="20% - 강조색1 4" xfId="51741" hidden="1"/>
    <cellStyle name="20% - 강조색1 4" xfId="51783" hidden="1"/>
    <cellStyle name="20% - 강조색1 4" xfId="51825" hidden="1"/>
    <cellStyle name="20% - 강조색1 4" xfId="51867" hidden="1"/>
    <cellStyle name="20% - 강조색1 4" xfId="50968" hidden="1"/>
    <cellStyle name="20% - 강조색1 4" xfId="51895" hidden="1"/>
    <cellStyle name="20% - 강조색1 4" xfId="51935" hidden="1"/>
    <cellStyle name="20% - 강조색1 4" xfId="51975" hidden="1"/>
    <cellStyle name="20% - 강조색1 4" xfId="52015" hidden="1"/>
    <cellStyle name="20% - 강조색1 4" xfId="52055" hidden="1"/>
    <cellStyle name="20% - 강조색1 4" xfId="52095" hidden="1"/>
    <cellStyle name="20% - 강조색1 4" xfId="52135" hidden="1"/>
    <cellStyle name="20% - 강조색1 4" xfId="52175" hidden="1"/>
    <cellStyle name="20% - 강조색1 4" xfId="52215" hidden="1"/>
    <cellStyle name="20% - 강조색1 4" xfId="52255" hidden="1"/>
    <cellStyle name="20% - 강조색1 4" xfId="52295" hidden="1"/>
    <cellStyle name="20% - 강조색1 4" xfId="52335" hidden="1"/>
    <cellStyle name="20% - 강조색1 4 2" xfId="593"/>
    <cellStyle name="20% - 강조색1 4 3" xfId="594"/>
    <cellStyle name="20% - 강조색1 4 4" xfId="595"/>
    <cellStyle name="20% - 강조색1 4 5" xfId="596"/>
    <cellStyle name="20% - 강조색1 40" xfId="597"/>
    <cellStyle name="20% - 강조색1 41" xfId="598"/>
    <cellStyle name="20% - 강조색1 42" xfId="599"/>
    <cellStyle name="20% - 강조색1 43" xfId="600"/>
    <cellStyle name="20% - 강조색1 44" xfId="601"/>
    <cellStyle name="20% - 강조색1 45" xfId="602"/>
    <cellStyle name="20% - 강조색1 46" xfId="603"/>
    <cellStyle name="20% - 강조색1 47" xfId="604"/>
    <cellStyle name="20% - 강조색1 48" xfId="605"/>
    <cellStyle name="20% - 강조색1 49" xfId="606"/>
    <cellStyle name="20% - 강조색1 5" xfId="607"/>
    <cellStyle name="20% - 강조색1 50" xfId="608"/>
    <cellStyle name="20% - 강조색1 51" xfId="609"/>
    <cellStyle name="20% - 강조색1 52" xfId="610"/>
    <cellStyle name="20% - 강조색1 6" xfId="611"/>
    <cellStyle name="20% - 강조색1 7" xfId="612"/>
    <cellStyle name="20% - 강조색1 8" xfId="613"/>
    <cellStyle name="20% - 강조색1 9" xfId="614"/>
    <cellStyle name="20% - 강조색2 10" xfId="615"/>
    <cellStyle name="20% - 강조색2 11" xfId="616"/>
    <cellStyle name="20% - 강조색2 12" xfId="617"/>
    <cellStyle name="20% - 강조색2 13" xfId="618"/>
    <cellStyle name="20% - 강조색2 14" xfId="619"/>
    <cellStyle name="20% - 강조색2 15" xfId="620"/>
    <cellStyle name="20% - 강조색2 16" xfId="621"/>
    <cellStyle name="20% - 강조색2 17" xfId="622"/>
    <cellStyle name="20% - 강조색2 18" xfId="623"/>
    <cellStyle name="20% - 강조색2 19" xfId="624"/>
    <cellStyle name="20% - 강조색2 2" xfId="101"/>
    <cellStyle name="20% - 강조색2 2 10" xfId="625"/>
    <cellStyle name="20% - 강조색2 2 100" xfId="626"/>
    <cellStyle name="20% - 강조색2 2 101" xfId="627"/>
    <cellStyle name="20% - 강조색2 2 102" xfId="628"/>
    <cellStyle name="20% - 강조색2 2 103" xfId="629"/>
    <cellStyle name="20% - 강조색2 2 104" xfId="630"/>
    <cellStyle name="20% - 강조색2 2 105" xfId="631"/>
    <cellStyle name="20% - 강조색2 2 106" xfId="632"/>
    <cellStyle name="20% - 강조색2 2 107" xfId="633"/>
    <cellStyle name="20% - 강조색2 2 108" xfId="634"/>
    <cellStyle name="20% - 강조색2 2 109" xfId="635"/>
    <cellStyle name="20% - 강조색2 2 11" xfId="636"/>
    <cellStyle name="20% - 강조색2 2 110" xfId="637"/>
    <cellStyle name="20% - 강조색2 2 111" xfId="638"/>
    <cellStyle name="20% - 강조색2 2 112" xfId="639"/>
    <cellStyle name="20% - 강조색2 2 12" xfId="640"/>
    <cellStyle name="20% - 강조색2 2 13" xfId="641"/>
    <cellStyle name="20% - 강조색2 2 14" xfId="642"/>
    <cellStyle name="20% - 강조색2 2 15" xfId="643"/>
    <cellStyle name="20% - 강조색2 2 16" xfId="644"/>
    <cellStyle name="20% - 강조색2 2 17" xfId="645"/>
    <cellStyle name="20% - 강조색2 2 18" xfId="646"/>
    <cellStyle name="20% - 강조색2 2 19" xfId="647"/>
    <cellStyle name="20% - 강조색2 2 2" xfId="102"/>
    <cellStyle name="20% - 강조색2 2 2 10" xfId="648"/>
    <cellStyle name="20% - 강조색2 2 2 11" xfId="649"/>
    <cellStyle name="20% - 강조색2 2 2 12" xfId="650"/>
    <cellStyle name="20% - 강조색2 2 2 13" xfId="651"/>
    <cellStyle name="20% - 강조색2 2 2 14" xfId="652"/>
    <cellStyle name="20% - 강조색2 2 2 15" xfId="653"/>
    <cellStyle name="20% - 강조색2 2 2 2" xfId="654"/>
    <cellStyle name="20% - 강조색2 2 2 2 2" xfId="655"/>
    <cellStyle name="20% - 강조색2 2 2 2 3" xfId="656"/>
    <cellStyle name="20% - 강조색2 2 2 2 4" xfId="657"/>
    <cellStyle name="20% - 강조색2 2 2 2 5" xfId="658"/>
    <cellStyle name="20% - 강조색2 2 2 3" xfId="659"/>
    <cellStyle name="20% - 강조색2 2 2 4" xfId="660"/>
    <cellStyle name="20% - 강조색2 2 2 5" xfId="661"/>
    <cellStyle name="20% - 강조색2 2 2 6" xfId="662"/>
    <cellStyle name="20% - 강조색2 2 2 7" xfId="663"/>
    <cellStyle name="20% - 강조색2 2 2 8" xfId="664"/>
    <cellStyle name="20% - 강조색2 2 2 9" xfId="665"/>
    <cellStyle name="20% - 강조색2 2 20" xfId="666"/>
    <cellStyle name="20% - 강조색2 2 21" xfId="667"/>
    <cellStyle name="20% - 강조색2 2 22" xfId="668"/>
    <cellStyle name="20% - 강조색2 2 23" xfId="669"/>
    <cellStyle name="20% - 강조색2 2 24" xfId="670"/>
    <cellStyle name="20% - 강조색2 2 25" xfId="671"/>
    <cellStyle name="20% - 강조색2 2 26" xfId="672"/>
    <cellStyle name="20% - 강조색2 2 27" xfId="673"/>
    <cellStyle name="20% - 강조색2 2 28" xfId="674"/>
    <cellStyle name="20% - 강조색2 2 29" xfId="675"/>
    <cellStyle name="20% - 강조색2 2 3" xfId="676"/>
    <cellStyle name="20% - 강조색2 2 3 2" xfId="677"/>
    <cellStyle name="20% - 강조색2 2 3 3" xfId="678"/>
    <cellStyle name="20% - 강조색2 2 3 4" xfId="679"/>
    <cellStyle name="20% - 강조색2 2 3 5" xfId="680"/>
    <cellStyle name="20% - 강조색2 2 30" xfId="681"/>
    <cellStyle name="20% - 강조색2 2 31" xfId="682"/>
    <cellStyle name="20% - 강조색2 2 32" xfId="683"/>
    <cellStyle name="20% - 강조색2 2 33" xfId="684"/>
    <cellStyle name="20% - 강조색2 2 34" xfId="685"/>
    <cellStyle name="20% - 강조색2 2 35" xfId="686"/>
    <cellStyle name="20% - 강조색2 2 36" xfId="687"/>
    <cellStyle name="20% - 강조색2 2 37" xfId="688"/>
    <cellStyle name="20% - 강조색2 2 38" xfId="689"/>
    <cellStyle name="20% - 강조색2 2 39" xfId="690"/>
    <cellStyle name="20% - 강조색2 2 4" xfId="691"/>
    <cellStyle name="20% - 강조색2 2 40" xfId="692"/>
    <cellStyle name="20% - 강조색2 2 41" xfId="693"/>
    <cellStyle name="20% - 강조색2 2 42" xfId="694"/>
    <cellStyle name="20% - 강조색2 2 43" xfId="695"/>
    <cellStyle name="20% - 강조색2 2 44" xfId="696"/>
    <cellStyle name="20% - 강조색2 2 45" xfId="697"/>
    <cellStyle name="20% - 강조색2 2 46" xfId="698"/>
    <cellStyle name="20% - 강조색2 2 47" xfId="699"/>
    <cellStyle name="20% - 강조색2 2 48" xfId="700"/>
    <cellStyle name="20% - 강조색2 2 49" xfId="701"/>
    <cellStyle name="20% - 강조색2 2 5" xfId="702"/>
    <cellStyle name="20% - 강조색2 2 50" xfId="703"/>
    <cellStyle name="20% - 강조색2 2 51" xfId="704"/>
    <cellStyle name="20% - 강조색2 2 52" xfId="705"/>
    <cellStyle name="20% - 강조색2 2 53" xfId="706"/>
    <cellStyle name="20% - 강조색2 2 54" xfId="707"/>
    <cellStyle name="20% - 강조색2 2 55" xfId="708"/>
    <cellStyle name="20% - 강조색2 2 56" xfId="709"/>
    <cellStyle name="20% - 강조색2 2 57" xfId="710"/>
    <cellStyle name="20% - 강조색2 2 58" xfId="711"/>
    <cellStyle name="20% - 강조색2 2 59" xfId="712"/>
    <cellStyle name="20% - 강조색2 2 6" xfId="713"/>
    <cellStyle name="20% - 강조색2 2 60" xfId="714"/>
    <cellStyle name="20% - 강조색2 2 61" xfId="715"/>
    <cellStyle name="20% - 강조색2 2 62" xfId="716"/>
    <cellStyle name="20% - 강조색2 2 63" xfId="717"/>
    <cellStyle name="20% - 강조색2 2 64" xfId="718"/>
    <cellStyle name="20% - 강조색2 2 65" xfId="719"/>
    <cellStyle name="20% - 강조색2 2 66" xfId="720"/>
    <cellStyle name="20% - 강조색2 2 67" xfId="721"/>
    <cellStyle name="20% - 강조색2 2 68" xfId="722"/>
    <cellStyle name="20% - 강조색2 2 69" xfId="723"/>
    <cellStyle name="20% - 강조색2 2 7" xfId="724"/>
    <cellStyle name="20% - 강조색2 2 70" xfId="725"/>
    <cellStyle name="20% - 강조색2 2 71" xfId="726"/>
    <cellStyle name="20% - 강조색2 2 72" xfId="727"/>
    <cellStyle name="20% - 강조색2 2 73" xfId="728"/>
    <cellStyle name="20% - 강조색2 2 74" xfId="729"/>
    <cellStyle name="20% - 강조색2 2 75" xfId="730"/>
    <cellStyle name="20% - 강조색2 2 76" xfId="731"/>
    <cellStyle name="20% - 강조색2 2 77" xfId="732"/>
    <cellStyle name="20% - 강조색2 2 78" xfId="733"/>
    <cellStyle name="20% - 강조색2 2 79" xfId="734"/>
    <cellStyle name="20% - 강조색2 2 8" xfId="735"/>
    <cellStyle name="20% - 강조색2 2 80" xfId="736"/>
    <cellStyle name="20% - 강조색2 2 81" xfId="737"/>
    <cellStyle name="20% - 강조색2 2 82" xfId="738"/>
    <cellStyle name="20% - 강조색2 2 83" xfId="739"/>
    <cellStyle name="20% - 강조색2 2 84" xfId="740"/>
    <cellStyle name="20% - 강조색2 2 85" xfId="741"/>
    <cellStyle name="20% - 강조색2 2 86" xfId="742"/>
    <cellStyle name="20% - 강조색2 2 87" xfId="743"/>
    <cellStyle name="20% - 강조색2 2 88" xfId="744"/>
    <cellStyle name="20% - 강조색2 2 89" xfId="745"/>
    <cellStyle name="20% - 강조색2 2 9" xfId="746"/>
    <cellStyle name="20% - 강조색2 2 90" xfId="747"/>
    <cellStyle name="20% - 강조색2 2 91" xfId="748"/>
    <cellStyle name="20% - 강조색2 2 92" xfId="749"/>
    <cellStyle name="20% - 강조색2 2 93" xfId="750"/>
    <cellStyle name="20% - 강조색2 2 94" xfId="751"/>
    <cellStyle name="20% - 강조색2 2 95" xfId="752"/>
    <cellStyle name="20% - 강조색2 2 96" xfId="753"/>
    <cellStyle name="20% - 강조색2 2 97" xfId="754"/>
    <cellStyle name="20% - 강조색2 2 98" xfId="755"/>
    <cellStyle name="20% - 강조색2 2 99" xfId="756"/>
    <cellStyle name="20% - 강조색2 20" xfId="757"/>
    <cellStyle name="20% - 강조색2 21" xfId="758"/>
    <cellStyle name="20% - 강조색2 22" xfId="759"/>
    <cellStyle name="20% - 강조색2 23" xfId="760"/>
    <cellStyle name="20% - 강조색2 24" xfId="761"/>
    <cellStyle name="20% - 강조색2 25" xfId="762"/>
    <cellStyle name="20% - 강조색2 26" xfId="763"/>
    <cellStyle name="20% - 강조색2 27" xfId="764"/>
    <cellStyle name="20% - 강조색2 28" xfId="765"/>
    <cellStyle name="20% - 강조색2 29" xfId="766"/>
    <cellStyle name="20% - 강조색2 3" xfId="103"/>
    <cellStyle name="20% - 강조색2 30" xfId="767"/>
    <cellStyle name="20% - 강조색2 31" xfId="768"/>
    <cellStyle name="20% - 강조색2 32" xfId="769"/>
    <cellStyle name="20% - 강조색2 33" xfId="770"/>
    <cellStyle name="20% - 강조색2 34" xfId="771"/>
    <cellStyle name="20% - 강조색2 35" xfId="772"/>
    <cellStyle name="20% - 강조색2 36" xfId="773"/>
    <cellStyle name="20% - 강조색2 37" xfId="774"/>
    <cellStyle name="20% - 강조색2 38" xfId="775"/>
    <cellStyle name="20% - 강조색2 39" xfId="776"/>
    <cellStyle name="20% - 강조색2 4" xfId="11729" hidden="1"/>
    <cellStyle name="20% - 강조색2 4" xfId="11775" hidden="1"/>
    <cellStyle name="20% - 강조색2 4" xfId="11821" hidden="1"/>
    <cellStyle name="20% - 강조색2 4" xfId="11867" hidden="1"/>
    <cellStyle name="20% - 강조색2 4" xfId="11913" hidden="1"/>
    <cellStyle name="20% - 강조색2 4" xfId="11959" hidden="1"/>
    <cellStyle name="20% - 강조색2 4" xfId="12005" hidden="1"/>
    <cellStyle name="20% - 강조색2 4" xfId="12051" hidden="1"/>
    <cellStyle name="20% - 강조색2 4" xfId="12097" hidden="1"/>
    <cellStyle name="20% - 강조색2 4" xfId="12143" hidden="1"/>
    <cellStyle name="20% - 강조색2 4" xfId="12189" hidden="1"/>
    <cellStyle name="20% - 강조색2 4" xfId="12235" hidden="1"/>
    <cellStyle name="20% - 강조색2 4" xfId="12325" hidden="1"/>
    <cellStyle name="20% - 강조색2 4" xfId="12366" hidden="1"/>
    <cellStyle name="20% - 강조색2 4" xfId="12408" hidden="1"/>
    <cellStyle name="20% - 강조색2 4" xfId="12450" hidden="1"/>
    <cellStyle name="20% - 강조색2 4" xfId="12492" hidden="1"/>
    <cellStyle name="20% - 강조색2 4" xfId="12534" hidden="1"/>
    <cellStyle name="20% - 강조색2 4" xfId="12576" hidden="1"/>
    <cellStyle name="20% - 강조색2 4" xfId="12618" hidden="1"/>
    <cellStyle name="20% - 강조색2 4" xfId="12660" hidden="1"/>
    <cellStyle name="20% - 강조색2 4" xfId="12702" hidden="1"/>
    <cellStyle name="20% - 강조색2 4" xfId="12744" hidden="1"/>
    <cellStyle name="20% - 강조색2 4" xfId="12786" hidden="1"/>
    <cellStyle name="20% - 강조색2 4" xfId="12280" hidden="1"/>
    <cellStyle name="20% - 강조색2 4" xfId="12968" hidden="1"/>
    <cellStyle name="20% - 강조색2 4" xfId="13008" hidden="1"/>
    <cellStyle name="20% - 강조색2 4" xfId="13048" hidden="1"/>
    <cellStyle name="20% - 강조색2 4" xfId="13088" hidden="1"/>
    <cellStyle name="20% - 강조색2 4" xfId="13128" hidden="1"/>
    <cellStyle name="20% - 강조색2 4" xfId="13168" hidden="1"/>
    <cellStyle name="20% - 강조색2 4" xfId="13208" hidden="1"/>
    <cellStyle name="20% - 강조색2 4" xfId="13248" hidden="1"/>
    <cellStyle name="20% - 강조색2 4" xfId="13288" hidden="1"/>
    <cellStyle name="20% - 강조색2 4" xfId="13328" hidden="1"/>
    <cellStyle name="20% - 강조색2 4" xfId="13368" hidden="1"/>
    <cellStyle name="20% - 강조색2 4" xfId="13408" hidden="1"/>
    <cellStyle name="20% - 강조색2 4" xfId="12866" hidden="1"/>
    <cellStyle name="20% - 강조색2 4" xfId="12827" hidden="1"/>
    <cellStyle name="20% - 강조색2 4" xfId="13450" hidden="1"/>
    <cellStyle name="20% - 강조색2 4" xfId="13492" hidden="1"/>
    <cellStyle name="20% - 강조색2 4" xfId="13534" hidden="1"/>
    <cellStyle name="20% - 강조색2 4" xfId="13576" hidden="1"/>
    <cellStyle name="20% - 강조색2 4" xfId="13618" hidden="1"/>
    <cellStyle name="20% - 강조색2 4" xfId="13660" hidden="1"/>
    <cellStyle name="20% - 강조색2 4" xfId="13702" hidden="1"/>
    <cellStyle name="20% - 강조색2 4" xfId="13744" hidden="1"/>
    <cellStyle name="20% - 강조색2 4" xfId="13786" hidden="1"/>
    <cellStyle name="20% - 강조색2 4" xfId="13828" hidden="1"/>
    <cellStyle name="20% - 강조색2 4" xfId="12920" hidden="1"/>
    <cellStyle name="20% - 강조색2 4" xfId="13856" hidden="1"/>
    <cellStyle name="20% - 강조색2 4" xfId="13896" hidden="1"/>
    <cellStyle name="20% - 강조색2 4" xfId="13936" hidden="1"/>
    <cellStyle name="20% - 강조색2 4" xfId="13976" hidden="1"/>
    <cellStyle name="20% - 강조색2 4" xfId="14016" hidden="1"/>
    <cellStyle name="20% - 강조색2 4" xfId="14056" hidden="1"/>
    <cellStyle name="20% - 강조색2 4" xfId="14096" hidden="1"/>
    <cellStyle name="20% - 강조색2 4" xfId="14136" hidden="1"/>
    <cellStyle name="20% - 강조색2 4" xfId="14176" hidden="1"/>
    <cellStyle name="20% - 강조색2 4" xfId="14216" hidden="1"/>
    <cellStyle name="20% - 강조색2 4" xfId="14256" hidden="1"/>
    <cellStyle name="20% - 강조색2 4" xfId="14296" hidden="1"/>
    <cellStyle name="20% - 강조색2 4" xfId="14402" hidden="1"/>
    <cellStyle name="20% - 강조색2 4" xfId="14442" hidden="1"/>
    <cellStyle name="20% - 강조색2 4" xfId="14482" hidden="1"/>
    <cellStyle name="20% - 강조색2 4" xfId="14522" hidden="1"/>
    <cellStyle name="20% - 강조색2 4" xfId="14562" hidden="1"/>
    <cellStyle name="20% - 강조색2 4" xfId="14602" hidden="1"/>
    <cellStyle name="20% - 강조색2 4" xfId="14642" hidden="1"/>
    <cellStyle name="20% - 강조색2 4" xfId="14682" hidden="1"/>
    <cellStyle name="20% - 강조색2 4" xfId="14722" hidden="1"/>
    <cellStyle name="20% - 강조색2 4" xfId="14762" hidden="1"/>
    <cellStyle name="20% - 강조색2 4" xfId="14802" hidden="1"/>
    <cellStyle name="20% - 강조색2 4" xfId="14842" hidden="1"/>
    <cellStyle name="20% - 강조색2 4" xfId="14926" hidden="1"/>
    <cellStyle name="20% - 강조색2 4" xfId="14967" hidden="1"/>
    <cellStyle name="20% - 강조색2 4" xfId="15009" hidden="1"/>
    <cellStyle name="20% - 강조색2 4" xfId="15051" hidden="1"/>
    <cellStyle name="20% - 강조색2 4" xfId="15093" hidden="1"/>
    <cellStyle name="20% - 강조색2 4" xfId="15135" hidden="1"/>
    <cellStyle name="20% - 강조색2 4" xfId="15177" hidden="1"/>
    <cellStyle name="20% - 강조색2 4" xfId="15219" hidden="1"/>
    <cellStyle name="20% - 강조색2 4" xfId="15261" hidden="1"/>
    <cellStyle name="20% - 강조색2 4" xfId="15303" hidden="1"/>
    <cellStyle name="20% - 강조색2 4" xfId="15345" hidden="1"/>
    <cellStyle name="20% - 강조색2 4" xfId="15387" hidden="1"/>
    <cellStyle name="20% - 강조색2 4" xfId="14883" hidden="1"/>
    <cellStyle name="20% - 강조색2 4" xfId="15566" hidden="1"/>
    <cellStyle name="20% - 강조색2 4" xfId="15606" hidden="1"/>
    <cellStyle name="20% - 강조색2 4" xfId="15646" hidden="1"/>
    <cellStyle name="20% - 강조색2 4" xfId="15686" hidden="1"/>
    <cellStyle name="20% - 강조색2 4" xfId="15726" hidden="1"/>
    <cellStyle name="20% - 강조색2 4" xfId="15766" hidden="1"/>
    <cellStyle name="20% - 강조색2 4" xfId="15806" hidden="1"/>
    <cellStyle name="20% - 강조색2 4" xfId="15846" hidden="1"/>
    <cellStyle name="20% - 강조색2 4" xfId="15886" hidden="1"/>
    <cellStyle name="20% - 강조색2 4" xfId="15926" hidden="1"/>
    <cellStyle name="20% - 강조색2 4" xfId="15966" hidden="1"/>
    <cellStyle name="20% - 강조색2 4" xfId="16006" hidden="1"/>
    <cellStyle name="20% - 강조색2 4" xfId="15466" hidden="1"/>
    <cellStyle name="20% - 강조색2 4" xfId="15427" hidden="1"/>
    <cellStyle name="20% - 강조색2 4" xfId="16048" hidden="1"/>
    <cellStyle name="20% - 강조색2 4" xfId="16090" hidden="1"/>
    <cellStyle name="20% - 강조색2 4" xfId="16132" hidden="1"/>
    <cellStyle name="20% - 강조색2 4" xfId="16174" hidden="1"/>
    <cellStyle name="20% - 강조색2 4" xfId="16216" hidden="1"/>
    <cellStyle name="20% - 강조색2 4" xfId="16258" hidden="1"/>
    <cellStyle name="20% - 강조색2 4" xfId="16300" hidden="1"/>
    <cellStyle name="20% - 강조색2 4" xfId="16342" hidden="1"/>
    <cellStyle name="20% - 강조색2 4" xfId="16384" hidden="1"/>
    <cellStyle name="20% - 강조색2 4" xfId="16426" hidden="1"/>
    <cellStyle name="20% - 강조색2 4" xfId="15519" hidden="1"/>
    <cellStyle name="20% - 강조색2 4" xfId="16454" hidden="1"/>
    <cellStyle name="20% - 강조색2 4" xfId="16494" hidden="1"/>
    <cellStyle name="20% - 강조색2 4" xfId="16534" hidden="1"/>
    <cellStyle name="20% - 강조색2 4" xfId="16574" hidden="1"/>
    <cellStyle name="20% - 강조색2 4" xfId="16614" hidden="1"/>
    <cellStyle name="20% - 강조색2 4" xfId="16654" hidden="1"/>
    <cellStyle name="20% - 강조색2 4" xfId="16694" hidden="1"/>
    <cellStyle name="20% - 강조색2 4" xfId="16734" hidden="1"/>
    <cellStyle name="20% - 강조색2 4" xfId="16774" hidden="1"/>
    <cellStyle name="20% - 강조색2 4" xfId="16814" hidden="1"/>
    <cellStyle name="20% - 강조색2 4" xfId="16854" hidden="1"/>
    <cellStyle name="20% - 강조색2 4" xfId="16894" hidden="1"/>
    <cellStyle name="20% - 강조색2 4" xfId="14323" hidden="1"/>
    <cellStyle name="20% - 강조색2 4" xfId="16945" hidden="1"/>
    <cellStyle name="20% - 강조색2 4" xfId="16986" hidden="1"/>
    <cellStyle name="20% - 강조색2 4" xfId="17026" hidden="1"/>
    <cellStyle name="20% - 강조색2 4" xfId="17066" hidden="1"/>
    <cellStyle name="20% - 강조색2 4" xfId="17106" hidden="1"/>
    <cellStyle name="20% - 강조색2 4" xfId="17146" hidden="1"/>
    <cellStyle name="20% - 강조색2 4" xfId="17186" hidden="1"/>
    <cellStyle name="20% - 강조색2 4" xfId="17226" hidden="1"/>
    <cellStyle name="20% - 강조색2 4" xfId="17266" hidden="1"/>
    <cellStyle name="20% - 강조색2 4" xfId="17306" hidden="1"/>
    <cellStyle name="20% - 강조색2 4" xfId="17346" hidden="1"/>
    <cellStyle name="20% - 강조색2 4" xfId="17430" hidden="1"/>
    <cellStyle name="20% - 강조색2 4" xfId="17471" hidden="1"/>
    <cellStyle name="20% - 강조색2 4" xfId="17513" hidden="1"/>
    <cellStyle name="20% - 강조색2 4" xfId="17555" hidden="1"/>
    <cellStyle name="20% - 강조색2 4" xfId="17597" hidden="1"/>
    <cellStyle name="20% - 강조색2 4" xfId="17639" hidden="1"/>
    <cellStyle name="20% - 강조색2 4" xfId="17681" hidden="1"/>
    <cellStyle name="20% - 강조색2 4" xfId="17723" hidden="1"/>
    <cellStyle name="20% - 강조색2 4" xfId="17765" hidden="1"/>
    <cellStyle name="20% - 강조색2 4" xfId="17807" hidden="1"/>
    <cellStyle name="20% - 강조색2 4" xfId="17849" hidden="1"/>
    <cellStyle name="20% - 강조색2 4" xfId="17891" hidden="1"/>
    <cellStyle name="20% - 강조색2 4" xfId="17387" hidden="1"/>
    <cellStyle name="20% - 강조색2 4" xfId="18070" hidden="1"/>
    <cellStyle name="20% - 강조색2 4" xfId="18110" hidden="1"/>
    <cellStyle name="20% - 강조색2 4" xfId="18150" hidden="1"/>
    <cellStyle name="20% - 강조색2 4" xfId="18190" hidden="1"/>
    <cellStyle name="20% - 강조색2 4" xfId="18230" hidden="1"/>
    <cellStyle name="20% - 강조색2 4" xfId="18270" hidden="1"/>
    <cellStyle name="20% - 강조색2 4" xfId="18310" hidden="1"/>
    <cellStyle name="20% - 강조색2 4" xfId="18350" hidden="1"/>
    <cellStyle name="20% - 강조색2 4" xfId="18390" hidden="1"/>
    <cellStyle name="20% - 강조색2 4" xfId="18430" hidden="1"/>
    <cellStyle name="20% - 강조색2 4" xfId="18470" hidden="1"/>
    <cellStyle name="20% - 강조색2 4" xfId="18510" hidden="1"/>
    <cellStyle name="20% - 강조색2 4" xfId="17970" hidden="1"/>
    <cellStyle name="20% - 강조색2 4" xfId="17931" hidden="1"/>
    <cellStyle name="20% - 강조색2 4" xfId="18552" hidden="1"/>
    <cellStyle name="20% - 강조색2 4" xfId="18594" hidden="1"/>
    <cellStyle name="20% - 강조색2 4" xfId="18636" hidden="1"/>
    <cellStyle name="20% - 강조색2 4" xfId="18678" hidden="1"/>
    <cellStyle name="20% - 강조색2 4" xfId="18720" hidden="1"/>
    <cellStyle name="20% - 강조색2 4" xfId="18762" hidden="1"/>
    <cellStyle name="20% - 강조색2 4" xfId="18804" hidden="1"/>
    <cellStyle name="20% - 강조색2 4" xfId="18846" hidden="1"/>
    <cellStyle name="20% - 강조색2 4" xfId="18888" hidden="1"/>
    <cellStyle name="20% - 강조색2 4" xfId="18930" hidden="1"/>
    <cellStyle name="20% - 강조색2 4" xfId="18023" hidden="1"/>
    <cellStyle name="20% - 강조색2 4" xfId="18958" hidden="1"/>
    <cellStyle name="20% - 강조색2 4" xfId="18998" hidden="1"/>
    <cellStyle name="20% - 강조색2 4" xfId="19038" hidden="1"/>
    <cellStyle name="20% - 강조색2 4" xfId="19078" hidden="1"/>
    <cellStyle name="20% - 강조색2 4" xfId="19118" hidden="1"/>
    <cellStyle name="20% - 강조색2 4" xfId="19158" hidden="1"/>
    <cellStyle name="20% - 강조색2 4" xfId="19198" hidden="1"/>
    <cellStyle name="20% - 강조색2 4" xfId="19238" hidden="1"/>
    <cellStyle name="20% - 강조색2 4" xfId="19278" hidden="1"/>
    <cellStyle name="20% - 강조색2 4" xfId="19318" hidden="1"/>
    <cellStyle name="20% - 강조색2 4" xfId="19358" hidden="1"/>
    <cellStyle name="20% - 강조색2 4" xfId="19398" hidden="1"/>
    <cellStyle name="20% - 강조색2 4" xfId="14379" hidden="1"/>
    <cellStyle name="20% - 강조색2 4" xfId="19448" hidden="1"/>
    <cellStyle name="20% - 강조색2 4" xfId="19488" hidden="1"/>
    <cellStyle name="20% - 강조색2 4" xfId="19528" hidden="1"/>
    <cellStyle name="20% - 강조색2 4" xfId="19568" hidden="1"/>
    <cellStyle name="20% - 강조색2 4" xfId="19608" hidden="1"/>
    <cellStyle name="20% - 강조색2 4" xfId="19648" hidden="1"/>
    <cellStyle name="20% - 강조색2 4" xfId="19688" hidden="1"/>
    <cellStyle name="20% - 강조색2 4" xfId="19728" hidden="1"/>
    <cellStyle name="20% - 강조색2 4" xfId="19768" hidden="1"/>
    <cellStyle name="20% - 강조색2 4" xfId="19808" hidden="1"/>
    <cellStyle name="20% - 강조색2 4" xfId="19848" hidden="1"/>
    <cellStyle name="20% - 강조색2 4" xfId="19932" hidden="1"/>
    <cellStyle name="20% - 강조색2 4" xfId="19973" hidden="1"/>
    <cellStyle name="20% - 강조색2 4" xfId="20015" hidden="1"/>
    <cellStyle name="20% - 강조색2 4" xfId="20057" hidden="1"/>
    <cellStyle name="20% - 강조색2 4" xfId="20099" hidden="1"/>
    <cellStyle name="20% - 강조색2 4" xfId="20141" hidden="1"/>
    <cellStyle name="20% - 강조색2 4" xfId="20183" hidden="1"/>
    <cellStyle name="20% - 강조색2 4" xfId="20225" hidden="1"/>
    <cellStyle name="20% - 강조색2 4" xfId="20267" hidden="1"/>
    <cellStyle name="20% - 강조색2 4" xfId="20309" hidden="1"/>
    <cellStyle name="20% - 강조색2 4" xfId="20351" hidden="1"/>
    <cellStyle name="20% - 강조색2 4" xfId="20393" hidden="1"/>
    <cellStyle name="20% - 강조색2 4" xfId="19889" hidden="1"/>
    <cellStyle name="20% - 강조색2 4" xfId="20572" hidden="1"/>
    <cellStyle name="20% - 강조색2 4" xfId="20612" hidden="1"/>
    <cellStyle name="20% - 강조색2 4" xfId="20652" hidden="1"/>
    <cellStyle name="20% - 강조색2 4" xfId="20692" hidden="1"/>
    <cellStyle name="20% - 강조색2 4" xfId="20732" hidden="1"/>
    <cellStyle name="20% - 강조색2 4" xfId="20772" hidden="1"/>
    <cellStyle name="20% - 강조색2 4" xfId="20812" hidden="1"/>
    <cellStyle name="20% - 강조색2 4" xfId="20852" hidden="1"/>
    <cellStyle name="20% - 강조색2 4" xfId="20892" hidden="1"/>
    <cellStyle name="20% - 강조색2 4" xfId="20932" hidden="1"/>
    <cellStyle name="20% - 강조색2 4" xfId="20972" hidden="1"/>
    <cellStyle name="20% - 강조색2 4" xfId="21012" hidden="1"/>
    <cellStyle name="20% - 강조색2 4" xfId="20472" hidden="1"/>
    <cellStyle name="20% - 강조색2 4" xfId="20433" hidden="1"/>
    <cellStyle name="20% - 강조색2 4" xfId="21054" hidden="1"/>
    <cellStyle name="20% - 강조색2 4" xfId="21096" hidden="1"/>
    <cellStyle name="20% - 강조색2 4" xfId="21138" hidden="1"/>
    <cellStyle name="20% - 강조색2 4" xfId="21180" hidden="1"/>
    <cellStyle name="20% - 강조색2 4" xfId="21222" hidden="1"/>
    <cellStyle name="20% - 강조색2 4" xfId="21264" hidden="1"/>
    <cellStyle name="20% - 강조색2 4" xfId="21306" hidden="1"/>
    <cellStyle name="20% - 강조색2 4" xfId="21348" hidden="1"/>
    <cellStyle name="20% - 강조색2 4" xfId="21390" hidden="1"/>
    <cellStyle name="20% - 강조색2 4" xfId="21432" hidden="1"/>
    <cellStyle name="20% - 강조색2 4" xfId="20525" hidden="1"/>
    <cellStyle name="20% - 강조색2 4" xfId="21460" hidden="1"/>
    <cellStyle name="20% - 강조색2 4" xfId="21500" hidden="1"/>
    <cellStyle name="20% - 강조색2 4" xfId="21540" hidden="1"/>
    <cellStyle name="20% - 강조색2 4" xfId="21580" hidden="1"/>
    <cellStyle name="20% - 강조색2 4" xfId="21620" hidden="1"/>
    <cellStyle name="20% - 강조색2 4" xfId="21660" hidden="1"/>
    <cellStyle name="20% - 강조색2 4" xfId="21700" hidden="1"/>
    <cellStyle name="20% - 강조색2 4" xfId="21740" hidden="1"/>
    <cellStyle name="20% - 강조색2 4" xfId="21780" hidden="1"/>
    <cellStyle name="20% - 강조색2 4" xfId="21820" hidden="1"/>
    <cellStyle name="20% - 강조색2 4" xfId="21860" hidden="1"/>
    <cellStyle name="20% - 강조색2 4" xfId="21900" hidden="1"/>
    <cellStyle name="20% - 강조색2 4" xfId="21968" hidden="1"/>
    <cellStyle name="20% - 강조색2 4" xfId="22008" hidden="1"/>
    <cellStyle name="20% - 강조색2 4" xfId="22048" hidden="1"/>
    <cellStyle name="20% - 강조색2 4" xfId="22088" hidden="1"/>
    <cellStyle name="20% - 강조색2 4" xfId="22128" hidden="1"/>
    <cellStyle name="20% - 강조색2 4" xfId="22168" hidden="1"/>
    <cellStyle name="20% - 강조색2 4" xfId="22208" hidden="1"/>
    <cellStyle name="20% - 강조색2 4" xfId="22248" hidden="1"/>
    <cellStyle name="20% - 강조색2 4" xfId="22288" hidden="1"/>
    <cellStyle name="20% - 강조색2 4" xfId="22328" hidden="1"/>
    <cellStyle name="20% - 강조색2 4" xfId="22368" hidden="1"/>
    <cellStyle name="20% - 강조색2 4" xfId="22408" hidden="1"/>
    <cellStyle name="20% - 강조색2 4" xfId="22492" hidden="1"/>
    <cellStyle name="20% - 강조색2 4" xfId="22533" hidden="1"/>
    <cellStyle name="20% - 강조색2 4" xfId="22575" hidden="1"/>
    <cellStyle name="20% - 강조색2 4" xfId="22617" hidden="1"/>
    <cellStyle name="20% - 강조색2 4" xfId="22659" hidden="1"/>
    <cellStyle name="20% - 강조색2 4" xfId="22701" hidden="1"/>
    <cellStyle name="20% - 강조색2 4" xfId="22743" hidden="1"/>
    <cellStyle name="20% - 강조색2 4" xfId="22785" hidden="1"/>
    <cellStyle name="20% - 강조색2 4" xfId="22827" hidden="1"/>
    <cellStyle name="20% - 강조색2 4" xfId="22869" hidden="1"/>
    <cellStyle name="20% - 강조색2 4" xfId="22911" hidden="1"/>
    <cellStyle name="20% - 강조색2 4" xfId="22953" hidden="1"/>
    <cellStyle name="20% - 강조색2 4" xfId="22449" hidden="1"/>
    <cellStyle name="20% - 강조색2 4" xfId="23132" hidden="1"/>
    <cellStyle name="20% - 강조색2 4" xfId="23172" hidden="1"/>
    <cellStyle name="20% - 강조색2 4" xfId="23212" hidden="1"/>
    <cellStyle name="20% - 강조색2 4" xfId="23252" hidden="1"/>
    <cellStyle name="20% - 강조색2 4" xfId="23292" hidden="1"/>
    <cellStyle name="20% - 강조색2 4" xfId="23332" hidden="1"/>
    <cellStyle name="20% - 강조색2 4" xfId="23372" hidden="1"/>
    <cellStyle name="20% - 강조색2 4" xfId="23412" hidden="1"/>
    <cellStyle name="20% - 강조색2 4" xfId="23452" hidden="1"/>
    <cellStyle name="20% - 강조색2 4" xfId="23492" hidden="1"/>
    <cellStyle name="20% - 강조색2 4" xfId="23532" hidden="1"/>
    <cellStyle name="20% - 강조색2 4" xfId="23572" hidden="1"/>
    <cellStyle name="20% - 강조색2 4" xfId="23032" hidden="1"/>
    <cellStyle name="20% - 강조색2 4" xfId="22993" hidden="1"/>
    <cellStyle name="20% - 강조색2 4" xfId="23614" hidden="1"/>
    <cellStyle name="20% - 강조색2 4" xfId="23656" hidden="1"/>
    <cellStyle name="20% - 강조색2 4" xfId="23698" hidden="1"/>
    <cellStyle name="20% - 강조색2 4" xfId="23740" hidden="1"/>
    <cellStyle name="20% - 강조색2 4" xfId="23782" hidden="1"/>
    <cellStyle name="20% - 강조색2 4" xfId="23824" hidden="1"/>
    <cellStyle name="20% - 강조색2 4" xfId="23866" hidden="1"/>
    <cellStyle name="20% - 강조색2 4" xfId="23908" hidden="1"/>
    <cellStyle name="20% - 강조색2 4" xfId="23950" hidden="1"/>
    <cellStyle name="20% - 강조색2 4" xfId="23992" hidden="1"/>
    <cellStyle name="20% - 강조색2 4" xfId="23085" hidden="1"/>
    <cellStyle name="20% - 강조색2 4" xfId="24020" hidden="1"/>
    <cellStyle name="20% - 강조색2 4" xfId="24060" hidden="1"/>
    <cellStyle name="20% - 강조색2 4" xfId="24100" hidden="1"/>
    <cellStyle name="20% - 강조색2 4" xfId="24140" hidden="1"/>
    <cellStyle name="20% - 강조색2 4" xfId="24180" hidden="1"/>
    <cellStyle name="20% - 강조색2 4" xfId="24220" hidden="1"/>
    <cellStyle name="20% - 강조색2 4" xfId="24260" hidden="1"/>
    <cellStyle name="20% - 강조색2 4" xfId="24300" hidden="1"/>
    <cellStyle name="20% - 강조색2 4" xfId="24340" hidden="1"/>
    <cellStyle name="20% - 강조색2 4" xfId="24380" hidden="1"/>
    <cellStyle name="20% - 강조색2 4" xfId="24420" hidden="1"/>
    <cellStyle name="20% - 강조색2 4" xfId="24460" hidden="1"/>
    <cellStyle name="20% - 강조색2 4" xfId="24558" hidden="1"/>
    <cellStyle name="20% - 강조색2 4" xfId="24598" hidden="1"/>
    <cellStyle name="20% - 강조색2 4" xfId="24640" hidden="1"/>
    <cellStyle name="20% - 강조색2 4" xfId="24681" hidden="1"/>
    <cellStyle name="20% - 강조색2 4" xfId="24721" hidden="1"/>
    <cellStyle name="20% - 강조색2 4" xfId="24761" hidden="1"/>
    <cellStyle name="20% - 강조색2 4" xfId="24801" hidden="1"/>
    <cellStyle name="20% - 강조색2 4" xfId="24841" hidden="1"/>
    <cellStyle name="20% - 강조색2 4" xfId="24881" hidden="1"/>
    <cellStyle name="20% - 강조색2 4" xfId="24921" hidden="1"/>
    <cellStyle name="20% - 강조색2 4" xfId="24961" hidden="1"/>
    <cellStyle name="20% - 강조색2 4" xfId="25001" hidden="1"/>
    <cellStyle name="20% - 강조색2 4" xfId="25085" hidden="1"/>
    <cellStyle name="20% - 강조색2 4" xfId="25126" hidden="1"/>
    <cellStyle name="20% - 강조색2 4" xfId="25168" hidden="1"/>
    <cellStyle name="20% - 강조색2 4" xfId="25210" hidden="1"/>
    <cellStyle name="20% - 강조색2 4" xfId="25252" hidden="1"/>
    <cellStyle name="20% - 강조색2 4" xfId="25294" hidden="1"/>
    <cellStyle name="20% - 강조색2 4" xfId="25336" hidden="1"/>
    <cellStyle name="20% - 강조색2 4" xfId="25378" hidden="1"/>
    <cellStyle name="20% - 강조색2 4" xfId="25420" hidden="1"/>
    <cellStyle name="20% - 강조색2 4" xfId="25462" hidden="1"/>
    <cellStyle name="20% - 강조색2 4" xfId="25504" hidden="1"/>
    <cellStyle name="20% - 강조색2 4" xfId="25546" hidden="1"/>
    <cellStyle name="20% - 강조색2 4" xfId="25042" hidden="1"/>
    <cellStyle name="20% - 강조색2 4" xfId="25725" hidden="1"/>
    <cellStyle name="20% - 강조색2 4" xfId="25765" hidden="1"/>
    <cellStyle name="20% - 강조색2 4" xfId="25805" hidden="1"/>
    <cellStyle name="20% - 강조색2 4" xfId="25845" hidden="1"/>
    <cellStyle name="20% - 강조색2 4" xfId="25885" hidden="1"/>
    <cellStyle name="20% - 강조색2 4" xfId="25925" hidden="1"/>
    <cellStyle name="20% - 강조색2 4" xfId="25965" hidden="1"/>
    <cellStyle name="20% - 강조색2 4" xfId="26005" hidden="1"/>
    <cellStyle name="20% - 강조색2 4" xfId="26045" hidden="1"/>
    <cellStyle name="20% - 강조색2 4" xfId="26085" hidden="1"/>
    <cellStyle name="20% - 강조색2 4" xfId="26125" hidden="1"/>
    <cellStyle name="20% - 강조색2 4" xfId="26165" hidden="1"/>
    <cellStyle name="20% - 강조색2 4" xfId="25625" hidden="1"/>
    <cellStyle name="20% - 강조색2 4" xfId="25586" hidden="1"/>
    <cellStyle name="20% - 강조색2 4" xfId="26207" hidden="1"/>
    <cellStyle name="20% - 강조색2 4" xfId="26249" hidden="1"/>
    <cellStyle name="20% - 강조색2 4" xfId="26291" hidden="1"/>
    <cellStyle name="20% - 강조색2 4" xfId="26333" hidden="1"/>
    <cellStyle name="20% - 강조색2 4" xfId="26375" hidden="1"/>
    <cellStyle name="20% - 강조색2 4" xfId="26417" hidden="1"/>
    <cellStyle name="20% - 강조색2 4" xfId="26459" hidden="1"/>
    <cellStyle name="20% - 강조색2 4" xfId="26501" hidden="1"/>
    <cellStyle name="20% - 강조색2 4" xfId="26543" hidden="1"/>
    <cellStyle name="20% - 강조색2 4" xfId="26585" hidden="1"/>
    <cellStyle name="20% - 강조색2 4" xfId="25678" hidden="1"/>
    <cellStyle name="20% - 강조색2 4" xfId="26613" hidden="1"/>
    <cellStyle name="20% - 강조색2 4" xfId="26653" hidden="1"/>
    <cellStyle name="20% - 강조색2 4" xfId="26693" hidden="1"/>
    <cellStyle name="20% - 강조색2 4" xfId="26733" hidden="1"/>
    <cellStyle name="20% - 강조색2 4" xfId="26773" hidden="1"/>
    <cellStyle name="20% - 강조색2 4" xfId="26813" hidden="1"/>
    <cellStyle name="20% - 강조색2 4" xfId="26853" hidden="1"/>
    <cellStyle name="20% - 강조색2 4" xfId="26893" hidden="1"/>
    <cellStyle name="20% - 강조색2 4" xfId="26933" hidden="1"/>
    <cellStyle name="20% - 강조색2 4" xfId="26973" hidden="1"/>
    <cellStyle name="20% - 강조색2 4" xfId="27013" hidden="1"/>
    <cellStyle name="20% - 강조색2 4" xfId="27053" hidden="1"/>
    <cellStyle name="20% - 강조색2 4" xfId="24485" hidden="1"/>
    <cellStyle name="20% - 강조색2 4" xfId="27104" hidden="1"/>
    <cellStyle name="20% - 강조색2 4" xfId="27144" hidden="1"/>
    <cellStyle name="20% - 강조색2 4" xfId="27184" hidden="1"/>
    <cellStyle name="20% - 강조색2 4" xfId="27224" hidden="1"/>
    <cellStyle name="20% - 강조색2 4" xfId="27264" hidden="1"/>
    <cellStyle name="20% - 강조색2 4" xfId="27304" hidden="1"/>
    <cellStyle name="20% - 강조색2 4" xfId="27344" hidden="1"/>
    <cellStyle name="20% - 강조색2 4" xfId="27384" hidden="1"/>
    <cellStyle name="20% - 강조색2 4" xfId="27424" hidden="1"/>
    <cellStyle name="20% - 강조색2 4" xfId="27464" hidden="1"/>
    <cellStyle name="20% - 강조색2 4" xfId="27504" hidden="1"/>
    <cellStyle name="20% - 강조색2 4" xfId="27588" hidden="1"/>
    <cellStyle name="20% - 강조색2 4" xfId="27629" hidden="1"/>
    <cellStyle name="20% - 강조색2 4" xfId="27671" hidden="1"/>
    <cellStyle name="20% - 강조색2 4" xfId="27713" hidden="1"/>
    <cellStyle name="20% - 강조색2 4" xfId="27755" hidden="1"/>
    <cellStyle name="20% - 강조색2 4" xfId="27797" hidden="1"/>
    <cellStyle name="20% - 강조색2 4" xfId="27839" hidden="1"/>
    <cellStyle name="20% - 강조색2 4" xfId="27881" hidden="1"/>
    <cellStyle name="20% - 강조색2 4" xfId="27923" hidden="1"/>
    <cellStyle name="20% - 강조색2 4" xfId="27965" hidden="1"/>
    <cellStyle name="20% - 강조색2 4" xfId="28007" hidden="1"/>
    <cellStyle name="20% - 강조색2 4" xfId="28049" hidden="1"/>
    <cellStyle name="20% - 강조색2 4" xfId="27545" hidden="1"/>
    <cellStyle name="20% - 강조색2 4" xfId="28228" hidden="1"/>
    <cellStyle name="20% - 강조색2 4" xfId="28268" hidden="1"/>
    <cellStyle name="20% - 강조색2 4" xfId="28308" hidden="1"/>
    <cellStyle name="20% - 강조색2 4" xfId="28348" hidden="1"/>
    <cellStyle name="20% - 강조색2 4" xfId="28388" hidden="1"/>
    <cellStyle name="20% - 강조색2 4" xfId="28428" hidden="1"/>
    <cellStyle name="20% - 강조색2 4" xfId="28468" hidden="1"/>
    <cellStyle name="20% - 강조색2 4" xfId="28508" hidden="1"/>
    <cellStyle name="20% - 강조색2 4" xfId="28548" hidden="1"/>
    <cellStyle name="20% - 강조색2 4" xfId="28588" hidden="1"/>
    <cellStyle name="20% - 강조색2 4" xfId="28628" hidden="1"/>
    <cellStyle name="20% - 강조색2 4" xfId="28668" hidden="1"/>
    <cellStyle name="20% - 강조색2 4" xfId="28128" hidden="1"/>
    <cellStyle name="20% - 강조색2 4" xfId="28089" hidden="1"/>
    <cellStyle name="20% - 강조색2 4" xfId="28710" hidden="1"/>
    <cellStyle name="20% - 강조색2 4" xfId="28752" hidden="1"/>
    <cellStyle name="20% - 강조색2 4" xfId="28794" hidden="1"/>
    <cellStyle name="20% - 강조색2 4" xfId="28836" hidden="1"/>
    <cellStyle name="20% - 강조색2 4" xfId="28878" hidden="1"/>
    <cellStyle name="20% - 강조색2 4" xfId="28920" hidden="1"/>
    <cellStyle name="20% - 강조색2 4" xfId="28962" hidden="1"/>
    <cellStyle name="20% - 강조색2 4" xfId="29004" hidden="1"/>
    <cellStyle name="20% - 강조색2 4" xfId="29046" hidden="1"/>
    <cellStyle name="20% - 강조색2 4" xfId="29088" hidden="1"/>
    <cellStyle name="20% - 강조색2 4" xfId="28181" hidden="1"/>
    <cellStyle name="20% - 강조색2 4" xfId="29116" hidden="1"/>
    <cellStyle name="20% - 강조색2 4" xfId="29156" hidden="1"/>
    <cellStyle name="20% - 강조색2 4" xfId="29196" hidden="1"/>
    <cellStyle name="20% - 강조색2 4" xfId="29236" hidden="1"/>
    <cellStyle name="20% - 강조색2 4" xfId="29276" hidden="1"/>
    <cellStyle name="20% - 강조색2 4" xfId="29316" hidden="1"/>
    <cellStyle name="20% - 강조색2 4" xfId="29356" hidden="1"/>
    <cellStyle name="20% - 강조색2 4" xfId="29396" hidden="1"/>
    <cellStyle name="20% - 강조색2 4" xfId="29436" hidden="1"/>
    <cellStyle name="20% - 강조색2 4" xfId="29476" hidden="1"/>
    <cellStyle name="20% - 강조색2 4" xfId="29516" hidden="1"/>
    <cellStyle name="20% - 강조색2 4" xfId="29556" hidden="1"/>
    <cellStyle name="20% - 강조색2 4" xfId="24535" hidden="1"/>
    <cellStyle name="20% - 강조색2 4" xfId="29606" hidden="1"/>
    <cellStyle name="20% - 강조색2 4" xfId="29646" hidden="1"/>
    <cellStyle name="20% - 강조색2 4" xfId="29686" hidden="1"/>
    <cellStyle name="20% - 강조색2 4" xfId="29726" hidden="1"/>
    <cellStyle name="20% - 강조색2 4" xfId="29766" hidden="1"/>
    <cellStyle name="20% - 강조색2 4" xfId="29806" hidden="1"/>
    <cellStyle name="20% - 강조색2 4" xfId="29846" hidden="1"/>
    <cellStyle name="20% - 강조색2 4" xfId="29886" hidden="1"/>
    <cellStyle name="20% - 강조색2 4" xfId="29926" hidden="1"/>
    <cellStyle name="20% - 강조색2 4" xfId="29966" hidden="1"/>
    <cellStyle name="20% - 강조색2 4" xfId="30006" hidden="1"/>
    <cellStyle name="20% - 강조색2 4" xfId="30090" hidden="1"/>
    <cellStyle name="20% - 강조색2 4" xfId="30131" hidden="1"/>
    <cellStyle name="20% - 강조색2 4" xfId="30173" hidden="1"/>
    <cellStyle name="20% - 강조색2 4" xfId="30215" hidden="1"/>
    <cellStyle name="20% - 강조색2 4" xfId="30257" hidden="1"/>
    <cellStyle name="20% - 강조색2 4" xfId="30299" hidden="1"/>
    <cellStyle name="20% - 강조색2 4" xfId="30341" hidden="1"/>
    <cellStyle name="20% - 강조색2 4" xfId="30383" hidden="1"/>
    <cellStyle name="20% - 강조색2 4" xfId="30425" hidden="1"/>
    <cellStyle name="20% - 강조색2 4" xfId="30467" hidden="1"/>
    <cellStyle name="20% - 강조색2 4" xfId="30509" hidden="1"/>
    <cellStyle name="20% - 강조색2 4" xfId="30551" hidden="1"/>
    <cellStyle name="20% - 강조색2 4" xfId="30047" hidden="1"/>
    <cellStyle name="20% - 강조색2 4" xfId="30730" hidden="1"/>
    <cellStyle name="20% - 강조색2 4" xfId="30770" hidden="1"/>
    <cellStyle name="20% - 강조색2 4" xfId="30810" hidden="1"/>
    <cellStyle name="20% - 강조색2 4" xfId="30850" hidden="1"/>
    <cellStyle name="20% - 강조색2 4" xfId="30890" hidden="1"/>
    <cellStyle name="20% - 강조색2 4" xfId="30930" hidden="1"/>
    <cellStyle name="20% - 강조색2 4" xfId="30970" hidden="1"/>
    <cellStyle name="20% - 강조색2 4" xfId="31010" hidden="1"/>
    <cellStyle name="20% - 강조색2 4" xfId="31050" hidden="1"/>
    <cellStyle name="20% - 강조색2 4" xfId="31090" hidden="1"/>
    <cellStyle name="20% - 강조색2 4" xfId="31130" hidden="1"/>
    <cellStyle name="20% - 강조색2 4" xfId="31170" hidden="1"/>
    <cellStyle name="20% - 강조색2 4" xfId="30630" hidden="1"/>
    <cellStyle name="20% - 강조색2 4" xfId="30591" hidden="1"/>
    <cellStyle name="20% - 강조색2 4" xfId="31212" hidden="1"/>
    <cellStyle name="20% - 강조색2 4" xfId="31254" hidden="1"/>
    <cellStyle name="20% - 강조색2 4" xfId="31296" hidden="1"/>
    <cellStyle name="20% - 강조색2 4" xfId="31338" hidden="1"/>
    <cellStyle name="20% - 강조색2 4" xfId="31380" hidden="1"/>
    <cellStyle name="20% - 강조색2 4" xfId="31422" hidden="1"/>
    <cellStyle name="20% - 강조색2 4" xfId="31464" hidden="1"/>
    <cellStyle name="20% - 강조색2 4" xfId="31506" hidden="1"/>
    <cellStyle name="20% - 강조색2 4" xfId="31548" hidden="1"/>
    <cellStyle name="20% - 강조색2 4" xfId="31590" hidden="1"/>
    <cellStyle name="20% - 강조색2 4" xfId="30683" hidden="1"/>
    <cellStyle name="20% - 강조색2 4" xfId="31618" hidden="1"/>
    <cellStyle name="20% - 강조색2 4" xfId="31658" hidden="1"/>
    <cellStyle name="20% - 강조색2 4" xfId="31698" hidden="1"/>
    <cellStyle name="20% - 강조색2 4" xfId="31738" hidden="1"/>
    <cellStyle name="20% - 강조색2 4" xfId="31778" hidden="1"/>
    <cellStyle name="20% - 강조색2 4" xfId="31818" hidden="1"/>
    <cellStyle name="20% - 강조색2 4" xfId="31858" hidden="1"/>
    <cellStyle name="20% - 강조색2 4" xfId="31898" hidden="1"/>
    <cellStyle name="20% - 강조색2 4" xfId="31938" hidden="1"/>
    <cellStyle name="20% - 강조색2 4" xfId="31978" hidden="1"/>
    <cellStyle name="20% - 강조색2 4" xfId="32018" hidden="1"/>
    <cellStyle name="20% - 강조색2 4" xfId="32058" hidden="1"/>
    <cellStyle name="20% - 강조색2 4" xfId="32120" hidden="1"/>
    <cellStyle name="20% - 강조색2 4" xfId="32160" hidden="1"/>
    <cellStyle name="20% - 강조색2 4" xfId="32200" hidden="1"/>
    <cellStyle name="20% - 강조색2 4" xfId="32240" hidden="1"/>
    <cellStyle name="20% - 강조색2 4" xfId="32280" hidden="1"/>
    <cellStyle name="20% - 강조색2 4" xfId="32320" hidden="1"/>
    <cellStyle name="20% - 강조색2 4" xfId="32360" hidden="1"/>
    <cellStyle name="20% - 강조색2 4" xfId="32400" hidden="1"/>
    <cellStyle name="20% - 강조색2 4" xfId="32440" hidden="1"/>
    <cellStyle name="20% - 강조색2 4" xfId="32480" hidden="1"/>
    <cellStyle name="20% - 강조색2 4" xfId="32520" hidden="1"/>
    <cellStyle name="20% - 강조색2 4" xfId="32560" hidden="1"/>
    <cellStyle name="20% - 강조색2 4" xfId="32645" hidden="1"/>
    <cellStyle name="20% - 강조색2 4" xfId="32686" hidden="1"/>
    <cellStyle name="20% - 강조색2 4" xfId="32728" hidden="1"/>
    <cellStyle name="20% - 강조색2 4" xfId="32770" hidden="1"/>
    <cellStyle name="20% - 강조색2 4" xfId="32812" hidden="1"/>
    <cellStyle name="20% - 강조색2 4" xfId="32854" hidden="1"/>
    <cellStyle name="20% - 강조색2 4" xfId="32896" hidden="1"/>
    <cellStyle name="20% - 강조색2 4" xfId="32938" hidden="1"/>
    <cellStyle name="20% - 강조색2 4" xfId="32980" hidden="1"/>
    <cellStyle name="20% - 강조색2 4" xfId="33022" hidden="1"/>
    <cellStyle name="20% - 강조색2 4" xfId="33064" hidden="1"/>
    <cellStyle name="20% - 강조색2 4" xfId="33106" hidden="1"/>
    <cellStyle name="20% - 강조색2 4" xfId="32602" hidden="1"/>
    <cellStyle name="20% - 강조색2 4" xfId="33285" hidden="1"/>
    <cellStyle name="20% - 강조색2 4" xfId="33325" hidden="1"/>
    <cellStyle name="20% - 강조색2 4" xfId="33365" hidden="1"/>
    <cellStyle name="20% - 강조색2 4" xfId="33405" hidden="1"/>
    <cellStyle name="20% - 강조색2 4" xfId="33445" hidden="1"/>
    <cellStyle name="20% - 강조색2 4" xfId="33485" hidden="1"/>
    <cellStyle name="20% - 강조색2 4" xfId="33525" hidden="1"/>
    <cellStyle name="20% - 강조색2 4" xfId="33565" hidden="1"/>
    <cellStyle name="20% - 강조색2 4" xfId="33605" hidden="1"/>
    <cellStyle name="20% - 강조색2 4" xfId="33645" hidden="1"/>
    <cellStyle name="20% - 강조색2 4" xfId="33685" hidden="1"/>
    <cellStyle name="20% - 강조색2 4" xfId="33725" hidden="1"/>
    <cellStyle name="20% - 강조색2 4" xfId="33185" hidden="1"/>
    <cellStyle name="20% - 강조색2 4" xfId="33146" hidden="1"/>
    <cellStyle name="20% - 강조색2 4" xfId="33767" hidden="1"/>
    <cellStyle name="20% - 강조색2 4" xfId="33809" hidden="1"/>
    <cellStyle name="20% - 강조색2 4" xfId="33851" hidden="1"/>
    <cellStyle name="20% - 강조색2 4" xfId="33893" hidden="1"/>
    <cellStyle name="20% - 강조색2 4" xfId="33935" hidden="1"/>
    <cellStyle name="20% - 강조색2 4" xfId="33977" hidden="1"/>
    <cellStyle name="20% - 강조색2 4" xfId="34019" hidden="1"/>
    <cellStyle name="20% - 강조색2 4" xfId="34061" hidden="1"/>
    <cellStyle name="20% - 강조색2 4" xfId="34103" hidden="1"/>
    <cellStyle name="20% - 강조색2 4" xfId="34145" hidden="1"/>
    <cellStyle name="20% - 강조색2 4" xfId="33238" hidden="1"/>
    <cellStyle name="20% - 강조색2 4" xfId="34173" hidden="1"/>
    <cellStyle name="20% - 강조색2 4" xfId="34213" hidden="1"/>
    <cellStyle name="20% - 강조색2 4" xfId="34253" hidden="1"/>
    <cellStyle name="20% - 강조색2 4" xfId="34293" hidden="1"/>
    <cellStyle name="20% - 강조색2 4" xfId="34333" hidden="1"/>
    <cellStyle name="20% - 강조색2 4" xfId="34373" hidden="1"/>
    <cellStyle name="20% - 강조색2 4" xfId="34413" hidden="1"/>
    <cellStyle name="20% - 강조색2 4" xfId="34453" hidden="1"/>
    <cellStyle name="20% - 강조색2 4" xfId="34493" hidden="1"/>
    <cellStyle name="20% - 강조색2 4" xfId="34533" hidden="1"/>
    <cellStyle name="20% - 강조색2 4" xfId="34573" hidden="1"/>
    <cellStyle name="20% - 강조색2 4" xfId="34613" hidden="1"/>
    <cellStyle name="20% - 강조색2 4" xfId="34710" hidden="1"/>
    <cellStyle name="20% - 강조색2 4" xfId="34750" hidden="1"/>
    <cellStyle name="20% - 강조색2 4" xfId="34790" hidden="1"/>
    <cellStyle name="20% - 강조색2 4" xfId="34830" hidden="1"/>
    <cellStyle name="20% - 강조색2 4" xfId="34870" hidden="1"/>
    <cellStyle name="20% - 강조색2 4" xfId="34910" hidden="1"/>
    <cellStyle name="20% - 강조색2 4" xfId="34950" hidden="1"/>
    <cellStyle name="20% - 강조색2 4" xfId="34990" hidden="1"/>
    <cellStyle name="20% - 강조색2 4" xfId="35030" hidden="1"/>
    <cellStyle name="20% - 강조색2 4" xfId="35070" hidden="1"/>
    <cellStyle name="20% - 강조색2 4" xfId="35110" hidden="1"/>
    <cellStyle name="20% - 강조색2 4" xfId="35150" hidden="1"/>
    <cellStyle name="20% - 강조색2 4" xfId="35234" hidden="1"/>
    <cellStyle name="20% - 강조색2 4" xfId="35275" hidden="1"/>
    <cellStyle name="20% - 강조색2 4" xfId="35317" hidden="1"/>
    <cellStyle name="20% - 강조색2 4" xfId="35359" hidden="1"/>
    <cellStyle name="20% - 강조색2 4" xfId="35401" hidden="1"/>
    <cellStyle name="20% - 강조색2 4" xfId="35443" hidden="1"/>
    <cellStyle name="20% - 강조색2 4" xfId="35485" hidden="1"/>
    <cellStyle name="20% - 강조색2 4" xfId="35527" hidden="1"/>
    <cellStyle name="20% - 강조색2 4" xfId="35569" hidden="1"/>
    <cellStyle name="20% - 강조색2 4" xfId="35611" hidden="1"/>
    <cellStyle name="20% - 강조색2 4" xfId="35653" hidden="1"/>
    <cellStyle name="20% - 강조색2 4" xfId="35695" hidden="1"/>
    <cellStyle name="20% - 강조색2 4" xfId="35191" hidden="1"/>
    <cellStyle name="20% - 강조색2 4" xfId="35874" hidden="1"/>
    <cellStyle name="20% - 강조색2 4" xfId="35914" hidden="1"/>
    <cellStyle name="20% - 강조색2 4" xfId="35954" hidden="1"/>
    <cellStyle name="20% - 강조색2 4" xfId="35994" hidden="1"/>
    <cellStyle name="20% - 강조색2 4" xfId="36034" hidden="1"/>
    <cellStyle name="20% - 강조색2 4" xfId="36074" hidden="1"/>
    <cellStyle name="20% - 강조색2 4" xfId="36114" hidden="1"/>
    <cellStyle name="20% - 강조색2 4" xfId="36154" hidden="1"/>
    <cellStyle name="20% - 강조색2 4" xfId="36194" hidden="1"/>
    <cellStyle name="20% - 강조색2 4" xfId="36234" hidden="1"/>
    <cellStyle name="20% - 강조색2 4" xfId="36274" hidden="1"/>
    <cellStyle name="20% - 강조색2 4" xfId="36314" hidden="1"/>
    <cellStyle name="20% - 강조색2 4" xfId="35774" hidden="1"/>
    <cellStyle name="20% - 강조색2 4" xfId="35735" hidden="1"/>
    <cellStyle name="20% - 강조색2 4" xfId="36356" hidden="1"/>
    <cellStyle name="20% - 강조색2 4" xfId="36398" hidden="1"/>
    <cellStyle name="20% - 강조색2 4" xfId="36440" hidden="1"/>
    <cellStyle name="20% - 강조색2 4" xfId="36482" hidden="1"/>
    <cellStyle name="20% - 강조색2 4" xfId="36524" hidden="1"/>
    <cellStyle name="20% - 강조색2 4" xfId="36566" hidden="1"/>
    <cellStyle name="20% - 강조색2 4" xfId="36608" hidden="1"/>
    <cellStyle name="20% - 강조색2 4" xfId="36650" hidden="1"/>
    <cellStyle name="20% - 강조색2 4" xfId="36692" hidden="1"/>
    <cellStyle name="20% - 강조색2 4" xfId="36734" hidden="1"/>
    <cellStyle name="20% - 강조색2 4" xfId="35827" hidden="1"/>
    <cellStyle name="20% - 강조색2 4" xfId="36762" hidden="1"/>
    <cellStyle name="20% - 강조색2 4" xfId="36802" hidden="1"/>
    <cellStyle name="20% - 강조색2 4" xfId="36842" hidden="1"/>
    <cellStyle name="20% - 강조색2 4" xfId="36882" hidden="1"/>
    <cellStyle name="20% - 강조색2 4" xfId="36922" hidden="1"/>
    <cellStyle name="20% - 강조색2 4" xfId="36962" hidden="1"/>
    <cellStyle name="20% - 강조색2 4" xfId="37002" hidden="1"/>
    <cellStyle name="20% - 강조색2 4" xfId="37042" hidden="1"/>
    <cellStyle name="20% - 강조색2 4" xfId="37082" hidden="1"/>
    <cellStyle name="20% - 강조색2 4" xfId="37122" hidden="1"/>
    <cellStyle name="20% - 강조색2 4" xfId="37162" hidden="1"/>
    <cellStyle name="20% - 강조색2 4" xfId="37202" hidden="1"/>
    <cellStyle name="20% - 강조색2 4" xfId="34637" hidden="1"/>
    <cellStyle name="20% - 강조색2 4" xfId="37253" hidden="1"/>
    <cellStyle name="20% - 강조색2 4" xfId="37294" hidden="1"/>
    <cellStyle name="20% - 강조색2 4" xfId="37334" hidden="1"/>
    <cellStyle name="20% - 강조색2 4" xfId="37374" hidden="1"/>
    <cellStyle name="20% - 강조색2 4" xfId="37414" hidden="1"/>
    <cellStyle name="20% - 강조색2 4" xfId="37454" hidden="1"/>
    <cellStyle name="20% - 강조색2 4" xfId="37494" hidden="1"/>
    <cellStyle name="20% - 강조색2 4" xfId="37534" hidden="1"/>
    <cellStyle name="20% - 강조색2 4" xfId="37574" hidden="1"/>
    <cellStyle name="20% - 강조색2 4" xfId="37614" hidden="1"/>
    <cellStyle name="20% - 강조색2 4" xfId="37654" hidden="1"/>
    <cellStyle name="20% - 강조색2 4" xfId="37738" hidden="1"/>
    <cellStyle name="20% - 강조색2 4" xfId="37779" hidden="1"/>
    <cellStyle name="20% - 강조색2 4" xfId="37821" hidden="1"/>
    <cellStyle name="20% - 강조색2 4" xfId="37863" hidden="1"/>
    <cellStyle name="20% - 강조색2 4" xfId="37905" hidden="1"/>
    <cellStyle name="20% - 강조색2 4" xfId="37947" hidden="1"/>
    <cellStyle name="20% - 강조색2 4" xfId="37989" hidden="1"/>
    <cellStyle name="20% - 강조색2 4" xfId="38031" hidden="1"/>
    <cellStyle name="20% - 강조색2 4" xfId="38073" hidden="1"/>
    <cellStyle name="20% - 강조색2 4" xfId="38115" hidden="1"/>
    <cellStyle name="20% - 강조색2 4" xfId="38157" hidden="1"/>
    <cellStyle name="20% - 강조색2 4" xfId="38199" hidden="1"/>
    <cellStyle name="20% - 강조색2 4" xfId="37695" hidden="1"/>
    <cellStyle name="20% - 강조색2 4" xfId="38378" hidden="1"/>
    <cellStyle name="20% - 강조색2 4" xfId="38418" hidden="1"/>
    <cellStyle name="20% - 강조색2 4" xfId="38458" hidden="1"/>
    <cellStyle name="20% - 강조색2 4" xfId="38498" hidden="1"/>
    <cellStyle name="20% - 강조색2 4" xfId="38538" hidden="1"/>
    <cellStyle name="20% - 강조색2 4" xfId="38578" hidden="1"/>
    <cellStyle name="20% - 강조색2 4" xfId="38618" hidden="1"/>
    <cellStyle name="20% - 강조색2 4" xfId="38658" hidden="1"/>
    <cellStyle name="20% - 강조색2 4" xfId="38698" hidden="1"/>
    <cellStyle name="20% - 강조색2 4" xfId="38738" hidden="1"/>
    <cellStyle name="20% - 강조색2 4" xfId="38778" hidden="1"/>
    <cellStyle name="20% - 강조색2 4" xfId="38818" hidden="1"/>
    <cellStyle name="20% - 강조색2 4" xfId="38278" hidden="1"/>
    <cellStyle name="20% - 강조색2 4" xfId="38239" hidden="1"/>
    <cellStyle name="20% - 강조색2 4" xfId="38860" hidden="1"/>
    <cellStyle name="20% - 강조색2 4" xfId="38902" hidden="1"/>
    <cellStyle name="20% - 강조색2 4" xfId="38944" hidden="1"/>
    <cellStyle name="20% - 강조색2 4" xfId="38986" hidden="1"/>
    <cellStyle name="20% - 강조색2 4" xfId="39028" hidden="1"/>
    <cellStyle name="20% - 강조색2 4" xfId="39070" hidden="1"/>
    <cellStyle name="20% - 강조색2 4" xfId="39112" hidden="1"/>
    <cellStyle name="20% - 강조색2 4" xfId="39154" hidden="1"/>
    <cellStyle name="20% - 강조색2 4" xfId="39196" hidden="1"/>
    <cellStyle name="20% - 강조색2 4" xfId="39238" hidden="1"/>
    <cellStyle name="20% - 강조색2 4" xfId="38331" hidden="1"/>
    <cellStyle name="20% - 강조색2 4" xfId="39266" hidden="1"/>
    <cellStyle name="20% - 강조색2 4" xfId="39306" hidden="1"/>
    <cellStyle name="20% - 강조색2 4" xfId="39346" hidden="1"/>
    <cellStyle name="20% - 강조색2 4" xfId="39386" hidden="1"/>
    <cellStyle name="20% - 강조색2 4" xfId="39426" hidden="1"/>
    <cellStyle name="20% - 강조색2 4" xfId="39466" hidden="1"/>
    <cellStyle name="20% - 강조색2 4" xfId="39506" hidden="1"/>
    <cellStyle name="20% - 강조색2 4" xfId="39546" hidden="1"/>
    <cellStyle name="20% - 강조색2 4" xfId="39586" hidden="1"/>
    <cellStyle name="20% - 강조색2 4" xfId="39626" hidden="1"/>
    <cellStyle name="20% - 강조색2 4" xfId="39666" hidden="1"/>
    <cellStyle name="20% - 강조색2 4" xfId="39706" hidden="1"/>
    <cellStyle name="20% - 강조색2 4" xfId="34687" hidden="1"/>
    <cellStyle name="20% - 강조색2 4" xfId="39756" hidden="1"/>
    <cellStyle name="20% - 강조색2 4" xfId="39796" hidden="1"/>
    <cellStyle name="20% - 강조색2 4" xfId="39836" hidden="1"/>
    <cellStyle name="20% - 강조색2 4" xfId="39876" hidden="1"/>
    <cellStyle name="20% - 강조색2 4" xfId="39916" hidden="1"/>
    <cellStyle name="20% - 강조색2 4" xfId="39956" hidden="1"/>
    <cellStyle name="20% - 강조색2 4" xfId="39996" hidden="1"/>
    <cellStyle name="20% - 강조색2 4" xfId="40036" hidden="1"/>
    <cellStyle name="20% - 강조색2 4" xfId="40076" hidden="1"/>
    <cellStyle name="20% - 강조색2 4" xfId="40116" hidden="1"/>
    <cellStyle name="20% - 강조색2 4" xfId="40156" hidden="1"/>
    <cellStyle name="20% - 강조색2 4" xfId="40240" hidden="1"/>
    <cellStyle name="20% - 강조색2 4" xfId="40281" hidden="1"/>
    <cellStyle name="20% - 강조색2 4" xfId="40323" hidden="1"/>
    <cellStyle name="20% - 강조색2 4" xfId="40365" hidden="1"/>
    <cellStyle name="20% - 강조색2 4" xfId="40407" hidden="1"/>
    <cellStyle name="20% - 강조색2 4" xfId="40449" hidden="1"/>
    <cellStyle name="20% - 강조색2 4" xfId="40491" hidden="1"/>
    <cellStyle name="20% - 강조색2 4" xfId="40533" hidden="1"/>
    <cellStyle name="20% - 강조색2 4" xfId="40575" hidden="1"/>
    <cellStyle name="20% - 강조색2 4" xfId="40617" hidden="1"/>
    <cellStyle name="20% - 강조색2 4" xfId="40659" hidden="1"/>
    <cellStyle name="20% - 강조색2 4" xfId="40701" hidden="1"/>
    <cellStyle name="20% - 강조색2 4" xfId="40197" hidden="1"/>
    <cellStyle name="20% - 강조색2 4" xfId="40880" hidden="1"/>
    <cellStyle name="20% - 강조색2 4" xfId="40920" hidden="1"/>
    <cellStyle name="20% - 강조색2 4" xfId="40960" hidden="1"/>
    <cellStyle name="20% - 강조색2 4" xfId="41000" hidden="1"/>
    <cellStyle name="20% - 강조색2 4" xfId="41040" hidden="1"/>
    <cellStyle name="20% - 강조색2 4" xfId="41080" hidden="1"/>
    <cellStyle name="20% - 강조색2 4" xfId="41120" hidden="1"/>
    <cellStyle name="20% - 강조색2 4" xfId="41160" hidden="1"/>
    <cellStyle name="20% - 강조색2 4" xfId="41200" hidden="1"/>
    <cellStyle name="20% - 강조색2 4" xfId="41240" hidden="1"/>
    <cellStyle name="20% - 강조색2 4" xfId="41280" hidden="1"/>
    <cellStyle name="20% - 강조색2 4" xfId="41320" hidden="1"/>
    <cellStyle name="20% - 강조색2 4" xfId="40780" hidden="1"/>
    <cellStyle name="20% - 강조색2 4" xfId="40741" hidden="1"/>
    <cellStyle name="20% - 강조색2 4" xfId="41362" hidden="1"/>
    <cellStyle name="20% - 강조색2 4" xfId="41404" hidden="1"/>
    <cellStyle name="20% - 강조색2 4" xfId="41446" hidden="1"/>
    <cellStyle name="20% - 강조색2 4" xfId="41488" hidden="1"/>
    <cellStyle name="20% - 강조색2 4" xfId="41530" hidden="1"/>
    <cellStyle name="20% - 강조색2 4" xfId="41572" hidden="1"/>
    <cellStyle name="20% - 강조색2 4" xfId="41614" hidden="1"/>
    <cellStyle name="20% - 강조색2 4" xfId="41656" hidden="1"/>
    <cellStyle name="20% - 강조색2 4" xfId="41698" hidden="1"/>
    <cellStyle name="20% - 강조색2 4" xfId="41740" hidden="1"/>
    <cellStyle name="20% - 강조색2 4" xfId="40833" hidden="1"/>
    <cellStyle name="20% - 강조색2 4" xfId="41768" hidden="1"/>
    <cellStyle name="20% - 강조색2 4" xfId="41808" hidden="1"/>
    <cellStyle name="20% - 강조색2 4" xfId="41848" hidden="1"/>
    <cellStyle name="20% - 강조색2 4" xfId="41888" hidden="1"/>
    <cellStyle name="20% - 강조색2 4" xfId="41928" hidden="1"/>
    <cellStyle name="20% - 강조색2 4" xfId="41968" hidden="1"/>
    <cellStyle name="20% - 강조색2 4" xfId="42008" hidden="1"/>
    <cellStyle name="20% - 강조색2 4" xfId="42048" hidden="1"/>
    <cellStyle name="20% - 강조색2 4" xfId="42088" hidden="1"/>
    <cellStyle name="20% - 강조색2 4" xfId="42128" hidden="1"/>
    <cellStyle name="20% - 강조색2 4" xfId="42168" hidden="1"/>
    <cellStyle name="20% - 강조색2 4" xfId="42208" hidden="1"/>
    <cellStyle name="20% - 강조색2 4" xfId="42251" hidden="1"/>
    <cellStyle name="20% - 강조색2 4" xfId="42291" hidden="1"/>
    <cellStyle name="20% - 강조색2 4" xfId="42331" hidden="1"/>
    <cellStyle name="20% - 강조색2 4" xfId="42371" hidden="1"/>
    <cellStyle name="20% - 강조색2 4" xfId="42411" hidden="1"/>
    <cellStyle name="20% - 강조색2 4" xfId="42451" hidden="1"/>
    <cellStyle name="20% - 강조색2 4" xfId="42491" hidden="1"/>
    <cellStyle name="20% - 강조색2 4" xfId="42531" hidden="1"/>
    <cellStyle name="20% - 강조색2 4" xfId="42571" hidden="1"/>
    <cellStyle name="20% - 강조색2 4" xfId="42611" hidden="1"/>
    <cellStyle name="20% - 강조색2 4" xfId="42651" hidden="1"/>
    <cellStyle name="20% - 강조색2 4" xfId="42691" hidden="1"/>
    <cellStyle name="20% - 강조색2 4" xfId="42775" hidden="1"/>
    <cellStyle name="20% - 강조색2 4" xfId="42816" hidden="1"/>
    <cellStyle name="20% - 강조색2 4" xfId="42858" hidden="1"/>
    <cellStyle name="20% - 강조색2 4" xfId="42900" hidden="1"/>
    <cellStyle name="20% - 강조색2 4" xfId="42942" hidden="1"/>
    <cellStyle name="20% - 강조색2 4" xfId="42984" hidden="1"/>
    <cellStyle name="20% - 강조색2 4" xfId="43026" hidden="1"/>
    <cellStyle name="20% - 강조색2 4" xfId="43068" hidden="1"/>
    <cellStyle name="20% - 강조색2 4" xfId="43110" hidden="1"/>
    <cellStyle name="20% - 강조색2 4" xfId="43152" hidden="1"/>
    <cellStyle name="20% - 강조색2 4" xfId="43194" hidden="1"/>
    <cellStyle name="20% - 강조색2 4" xfId="43236" hidden="1"/>
    <cellStyle name="20% - 강조색2 4" xfId="42732" hidden="1"/>
    <cellStyle name="20% - 강조색2 4" xfId="43415" hidden="1"/>
    <cellStyle name="20% - 강조색2 4" xfId="43455" hidden="1"/>
    <cellStyle name="20% - 강조색2 4" xfId="43495" hidden="1"/>
    <cellStyle name="20% - 강조색2 4" xfId="43535" hidden="1"/>
    <cellStyle name="20% - 강조색2 4" xfId="43575" hidden="1"/>
    <cellStyle name="20% - 강조색2 4" xfId="43615" hidden="1"/>
    <cellStyle name="20% - 강조색2 4" xfId="43655" hidden="1"/>
    <cellStyle name="20% - 강조색2 4" xfId="43695" hidden="1"/>
    <cellStyle name="20% - 강조색2 4" xfId="43735" hidden="1"/>
    <cellStyle name="20% - 강조색2 4" xfId="43775" hidden="1"/>
    <cellStyle name="20% - 강조색2 4" xfId="43815" hidden="1"/>
    <cellStyle name="20% - 강조색2 4" xfId="43855" hidden="1"/>
    <cellStyle name="20% - 강조색2 4" xfId="43315" hidden="1"/>
    <cellStyle name="20% - 강조색2 4" xfId="43276" hidden="1"/>
    <cellStyle name="20% - 강조색2 4" xfId="43897" hidden="1"/>
    <cellStyle name="20% - 강조색2 4" xfId="43939" hidden="1"/>
    <cellStyle name="20% - 강조색2 4" xfId="43981" hidden="1"/>
    <cellStyle name="20% - 강조색2 4" xfId="44023" hidden="1"/>
    <cellStyle name="20% - 강조색2 4" xfId="44065" hidden="1"/>
    <cellStyle name="20% - 강조색2 4" xfId="44107" hidden="1"/>
    <cellStyle name="20% - 강조색2 4" xfId="44149" hidden="1"/>
    <cellStyle name="20% - 강조색2 4" xfId="44191" hidden="1"/>
    <cellStyle name="20% - 강조색2 4" xfId="44233" hidden="1"/>
    <cellStyle name="20% - 강조색2 4" xfId="44275" hidden="1"/>
    <cellStyle name="20% - 강조색2 4" xfId="43368" hidden="1"/>
    <cellStyle name="20% - 강조색2 4" xfId="44303" hidden="1"/>
    <cellStyle name="20% - 강조색2 4" xfId="44343" hidden="1"/>
    <cellStyle name="20% - 강조색2 4" xfId="44383" hidden="1"/>
    <cellStyle name="20% - 강조색2 4" xfId="44423" hidden="1"/>
    <cellStyle name="20% - 강조색2 4" xfId="44463" hidden="1"/>
    <cellStyle name="20% - 강조색2 4" xfId="44503" hidden="1"/>
    <cellStyle name="20% - 강조색2 4" xfId="44543" hidden="1"/>
    <cellStyle name="20% - 강조색2 4" xfId="44583" hidden="1"/>
    <cellStyle name="20% - 강조색2 4" xfId="44623" hidden="1"/>
    <cellStyle name="20% - 강조색2 4" xfId="44663" hidden="1"/>
    <cellStyle name="20% - 강조색2 4" xfId="44703" hidden="1"/>
    <cellStyle name="20% - 강조색2 4" xfId="44743" hidden="1"/>
    <cellStyle name="20% - 강조색2 4" xfId="44839" hidden="1"/>
    <cellStyle name="20% - 강조색2 4" xfId="44879" hidden="1"/>
    <cellStyle name="20% - 강조색2 4" xfId="44921" hidden="1"/>
    <cellStyle name="20% - 강조색2 4" xfId="44962" hidden="1"/>
    <cellStyle name="20% - 강조색2 4" xfId="45002" hidden="1"/>
    <cellStyle name="20% - 강조색2 4" xfId="45042" hidden="1"/>
    <cellStyle name="20% - 강조색2 4" xfId="45082" hidden="1"/>
    <cellStyle name="20% - 강조색2 4" xfId="45122" hidden="1"/>
    <cellStyle name="20% - 강조색2 4" xfId="45162" hidden="1"/>
    <cellStyle name="20% - 강조색2 4" xfId="45202" hidden="1"/>
    <cellStyle name="20% - 강조색2 4" xfId="45242" hidden="1"/>
    <cellStyle name="20% - 강조색2 4" xfId="45282" hidden="1"/>
    <cellStyle name="20% - 강조색2 4" xfId="45366" hidden="1"/>
    <cellStyle name="20% - 강조색2 4" xfId="45407" hidden="1"/>
    <cellStyle name="20% - 강조색2 4" xfId="45449" hidden="1"/>
    <cellStyle name="20% - 강조색2 4" xfId="45491" hidden="1"/>
    <cellStyle name="20% - 강조색2 4" xfId="45533" hidden="1"/>
    <cellStyle name="20% - 강조색2 4" xfId="45575" hidden="1"/>
    <cellStyle name="20% - 강조색2 4" xfId="45617" hidden="1"/>
    <cellStyle name="20% - 강조색2 4" xfId="45659" hidden="1"/>
    <cellStyle name="20% - 강조색2 4" xfId="45701" hidden="1"/>
    <cellStyle name="20% - 강조색2 4" xfId="45743" hidden="1"/>
    <cellStyle name="20% - 강조색2 4" xfId="45785" hidden="1"/>
    <cellStyle name="20% - 강조색2 4" xfId="45827" hidden="1"/>
    <cellStyle name="20% - 강조색2 4" xfId="45323" hidden="1"/>
    <cellStyle name="20% - 강조색2 4" xfId="46006" hidden="1"/>
    <cellStyle name="20% - 강조색2 4" xfId="46046" hidden="1"/>
    <cellStyle name="20% - 강조색2 4" xfId="46086" hidden="1"/>
    <cellStyle name="20% - 강조색2 4" xfId="46126" hidden="1"/>
    <cellStyle name="20% - 강조색2 4" xfId="46166" hidden="1"/>
    <cellStyle name="20% - 강조색2 4" xfId="46206" hidden="1"/>
    <cellStyle name="20% - 강조색2 4" xfId="46246" hidden="1"/>
    <cellStyle name="20% - 강조색2 4" xfId="46286" hidden="1"/>
    <cellStyle name="20% - 강조색2 4" xfId="46326" hidden="1"/>
    <cellStyle name="20% - 강조색2 4" xfId="46366" hidden="1"/>
    <cellStyle name="20% - 강조색2 4" xfId="46406" hidden="1"/>
    <cellStyle name="20% - 강조색2 4" xfId="46446" hidden="1"/>
    <cellStyle name="20% - 강조색2 4" xfId="45906" hidden="1"/>
    <cellStyle name="20% - 강조색2 4" xfId="45867" hidden="1"/>
    <cellStyle name="20% - 강조색2 4" xfId="46488" hidden="1"/>
    <cellStyle name="20% - 강조색2 4" xfId="46530" hidden="1"/>
    <cellStyle name="20% - 강조색2 4" xfId="46572" hidden="1"/>
    <cellStyle name="20% - 강조색2 4" xfId="46614" hidden="1"/>
    <cellStyle name="20% - 강조색2 4" xfId="46656" hidden="1"/>
    <cellStyle name="20% - 강조색2 4" xfId="46698" hidden="1"/>
    <cellStyle name="20% - 강조색2 4" xfId="46740" hidden="1"/>
    <cellStyle name="20% - 강조색2 4" xfId="46782" hidden="1"/>
    <cellStyle name="20% - 강조색2 4" xfId="46824" hidden="1"/>
    <cellStyle name="20% - 강조색2 4" xfId="46866" hidden="1"/>
    <cellStyle name="20% - 강조색2 4" xfId="45959" hidden="1"/>
    <cellStyle name="20% - 강조색2 4" xfId="46894" hidden="1"/>
    <cellStyle name="20% - 강조색2 4" xfId="46934" hidden="1"/>
    <cellStyle name="20% - 강조색2 4" xfId="46974" hidden="1"/>
    <cellStyle name="20% - 강조색2 4" xfId="47014" hidden="1"/>
    <cellStyle name="20% - 강조색2 4" xfId="47054" hidden="1"/>
    <cellStyle name="20% - 강조색2 4" xfId="47094" hidden="1"/>
    <cellStyle name="20% - 강조색2 4" xfId="47134" hidden="1"/>
    <cellStyle name="20% - 강조색2 4" xfId="47174" hidden="1"/>
    <cellStyle name="20% - 강조색2 4" xfId="47214" hidden="1"/>
    <cellStyle name="20% - 강조색2 4" xfId="47254" hidden="1"/>
    <cellStyle name="20% - 강조색2 4" xfId="47294" hidden="1"/>
    <cellStyle name="20% - 강조색2 4" xfId="47334" hidden="1"/>
    <cellStyle name="20% - 강조색2 4" xfId="44767" hidden="1"/>
    <cellStyle name="20% - 강조색2 4" xfId="47385" hidden="1"/>
    <cellStyle name="20% - 강조색2 4" xfId="47425" hidden="1"/>
    <cellStyle name="20% - 강조색2 4" xfId="47465" hidden="1"/>
    <cellStyle name="20% - 강조색2 4" xfId="47505" hidden="1"/>
    <cellStyle name="20% - 강조색2 4" xfId="47545" hidden="1"/>
    <cellStyle name="20% - 강조색2 4" xfId="47585" hidden="1"/>
    <cellStyle name="20% - 강조색2 4" xfId="47625" hidden="1"/>
    <cellStyle name="20% - 강조색2 4" xfId="47665" hidden="1"/>
    <cellStyle name="20% - 강조색2 4" xfId="47705" hidden="1"/>
    <cellStyle name="20% - 강조색2 4" xfId="47745" hidden="1"/>
    <cellStyle name="20% - 강조색2 4" xfId="47785" hidden="1"/>
    <cellStyle name="20% - 강조색2 4" xfId="47869" hidden="1"/>
    <cellStyle name="20% - 강조색2 4" xfId="47910" hidden="1"/>
    <cellStyle name="20% - 강조색2 4" xfId="47952" hidden="1"/>
    <cellStyle name="20% - 강조색2 4" xfId="47994" hidden="1"/>
    <cellStyle name="20% - 강조색2 4" xfId="48036" hidden="1"/>
    <cellStyle name="20% - 강조색2 4" xfId="48078" hidden="1"/>
    <cellStyle name="20% - 강조색2 4" xfId="48120" hidden="1"/>
    <cellStyle name="20% - 강조색2 4" xfId="48162" hidden="1"/>
    <cellStyle name="20% - 강조색2 4" xfId="48204" hidden="1"/>
    <cellStyle name="20% - 강조색2 4" xfId="48246" hidden="1"/>
    <cellStyle name="20% - 강조색2 4" xfId="48288" hidden="1"/>
    <cellStyle name="20% - 강조색2 4" xfId="48330" hidden="1"/>
    <cellStyle name="20% - 강조색2 4" xfId="47826" hidden="1"/>
    <cellStyle name="20% - 강조색2 4" xfId="48509" hidden="1"/>
    <cellStyle name="20% - 강조색2 4" xfId="48549" hidden="1"/>
    <cellStyle name="20% - 강조색2 4" xfId="48589" hidden="1"/>
    <cellStyle name="20% - 강조색2 4" xfId="48629" hidden="1"/>
    <cellStyle name="20% - 강조색2 4" xfId="48669" hidden="1"/>
    <cellStyle name="20% - 강조색2 4" xfId="48709" hidden="1"/>
    <cellStyle name="20% - 강조색2 4" xfId="48749" hidden="1"/>
    <cellStyle name="20% - 강조색2 4" xfId="48789" hidden="1"/>
    <cellStyle name="20% - 강조색2 4" xfId="48829" hidden="1"/>
    <cellStyle name="20% - 강조색2 4" xfId="48869" hidden="1"/>
    <cellStyle name="20% - 강조색2 4" xfId="48909" hidden="1"/>
    <cellStyle name="20% - 강조색2 4" xfId="48949" hidden="1"/>
    <cellStyle name="20% - 강조색2 4" xfId="48409" hidden="1"/>
    <cellStyle name="20% - 강조색2 4" xfId="48370" hidden="1"/>
    <cellStyle name="20% - 강조색2 4" xfId="48991" hidden="1"/>
    <cellStyle name="20% - 강조색2 4" xfId="49033" hidden="1"/>
    <cellStyle name="20% - 강조색2 4" xfId="49075" hidden="1"/>
    <cellStyle name="20% - 강조색2 4" xfId="49117" hidden="1"/>
    <cellStyle name="20% - 강조색2 4" xfId="49159" hidden="1"/>
    <cellStyle name="20% - 강조색2 4" xfId="49201" hidden="1"/>
    <cellStyle name="20% - 강조색2 4" xfId="49243" hidden="1"/>
    <cellStyle name="20% - 강조색2 4" xfId="49285" hidden="1"/>
    <cellStyle name="20% - 강조색2 4" xfId="49327" hidden="1"/>
    <cellStyle name="20% - 강조색2 4" xfId="49369" hidden="1"/>
    <cellStyle name="20% - 강조색2 4" xfId="48462" hidden="1"/>
    <cellStyle name="20% - 강조색2 4" xfId="49397" hidden="1"/>
    <cellStyle name="20% - 강조색2 4" xfId="49437" hidden="1"/>
    <cellStyle name="20% - 강조색2 4" xfId="49477" hidden="1"/>
    <cellStyle name="20% - 강조색2 4" xfId="49517" hidden="1"/>
    <cellStyle name="20% - 강조색2 4" xfId="49557" hidden="1"/>
    <cellStyle name="20% - 강조색2 4" xfId="49597" hidden="1"/>
    <cellStyle name="20% - 강조색2 4" xfId="49637" hidden="1"/>
    <cellStyle name="20% - 강조색2 4" xfId="49677" hidden="1"/>
    <cellStyle name="20% - 강조색2 4" xfId="49717" hidden="1"/>
    <cellStyle name="20% - 강조색2 4" xfId="49757" hidden="1"/>
    <cellStyle name="20% - 강조색2 4" xfId="49797" hidden="1"/>
    <cellStyle name="20% - 강조색2 4" xfId="49837" hidden="1"/>
    <cellStyle name="20% - 강조색2 4" xfId="44816" hidden="1"/>
    <cellStyle name="20% - 강조색2 4" xfId="49887" hidden="1"/>
    <cellStyle name="20% - 강조색2 4" xfId="49927" hidden="1"/>
    <cellStyle name="20% - 강조색2 4" xfId="49967" hidden="1"/>
    <cellStyle name="20% - 강조색2 4" xfId="50007" hidden="1"/>
    <cellStyle name="20% - 강조색2 4" xfId="50047" hidden="1"/>
    <cellStyle name="20% - 강조색2 4" xfId="50087" hidden="1"/>
    <cellStyle name="20% - 강조색2 4" xfId="50127" hidden="1"/>
    <cellStyle name="20% - 강조색2 4" xfId="50167" hidden="1"/>
    <cellStyle name="20% - 강조색2 4" xfId="50207" hidden="1"/>
    <cellStyle name="20% - 강조색2 4" xfId="50247" hidden="1"/>
    <cellStyle name="20% - 강조색2 4" xfId="50287" hidden="1"/>
    <cellStyle name="20% - 강조색2 4" xfId="50371" hidden="1"/>
    <cellStyle name="20% - 강조색2 4" xfId="50412" hidden="1"/>
    <cellStyle name="20% - 강조색2 4" xfId="50454" hidden="1"/>
    <cellStyle name="20% - 강조색2 4" xfId="50496" hidden="1"/>
    <cellStyle name="20% - 강조색2 4" xfId="50538" hidden="1"/>
    <cellStyle name="20% - 강조색2 4" xfId="50580" hidden="1"/>
    <cellStyle name="20% - 강조색2 4" xfId="50622" hidden="1"/>
    <cellStyle name="20% - 강조색2 4" xfId="50664" hidden="1"/>
    <cellStyle name="20% - 강조색2 4" xfId="50706" hidden="1"/>
    <cellStyle name="20% - 강조색2 4" xfId="50748" hidden="1"/>
    <cellStyle name="20% - 강조색2 4" xfId="50790" hidden="1"/>
    <cellStyle name="20% - 강조색2 4" xfId="50832" hidden="1"/>
    <cellStyle name="20% - 강조색2 4" xfId="50328" hidden="1"/>
    <cellStyle name="20% - 강조색2 4" xfId="51011" hidden="1"/>
    <cellStyle name="20% - 강조색2 4" xfId="51051" hidden="1"/>
    <cellStyle name="20% - 강조색2 4" xfId="51091" hidden="1"/>
    <cellStyle name="20% - 강조색2 4" xfId="51131" hidden="1"/>
    <cellStyle name="20% - 강조색2 4" xfId="51171" hidden="1"/>
    <cellStyle name="20% - 강조색2 4" xfId="51211" hidden="1"/>
    <cellStyle name="20% - 강조색2 4" xfId="51251" hidden="1"/>
    <cellStyle name="20% - 강조색2 4" xfId="51291" hidden="1"/>
    <cellStyle name="20% - 강조색2 4" xfId="51331" hidden="1"/>
    <cellStyle name="20% - 강조색2 4" xfId="51371" hidden="1"/>
    <cellStyle name="20% - 강조색2 4" xfId="51411" hidden="1"/>
    <cellStyle name="20% - 강조색2 4" xfId="51451" hidden="1"/>
    <cellStyle name="20% - 강조색2 4" xfId="50911" hidden="1"/>
    <cellStyle name="20% - 강조색2 4" xfId="50872" hidden="1"/>
    <cellStyle name="20% - 강조색2 4" xfId="51493" hidden="1"/>
    <cellStyle name="20% - 강조색2 4" xfId="51535" hidden="1"/>
    <cellStyle name="20% - 강조색2 4" xfId="51577" hidden="1"/>
    <cellStyle name="20% - 강조색2 4" xfId="51619" hidden="1"/>
    <cellStyle name="20% - 강조색2 4" xfId="51661" hidden="1"/>
    <cellStyle name="20% - 강조색2 4" xfId="51703" hidden="1"/>
    <cellStyle name="20% - 강조색2 4" xfId="51745" hidden="1"/>
    <cellStyle name="20% - 강조색2 4" xfId="51787" hidden="1"/>
    <cellStyle name="20% - 강조색2 4" xfId="51829" hidden="1"/>
    <cellStyle name="20% - 강조색2 4" xfId="51871" hidden="1"/>
    <cellStyle name="20% - 강조색2 4" xfId="50964" hidden="1"/>
    <cellStyle name="20% - 강조색2 4" xfId="51899" hidden="1"/>
    <cellStyle name="20% - 강조색2 4" xfId="51939" hidden="1"/>
    <cellStyle name="20% - 강조색2 4" xfId="51979" hidden="1"/>
    <cellStyle name="20% - 강조색2 4" xfId="52019" hidden="1"/>
    <cellStyle name="20% - 강조색2 4" xfId="52059" hidden="1"/>
    <cellStyle name="20% - 강조색2 4" xfId="52099" hidden="1"/>
    <cellStyle name="20% - 강조색2 4" xfId="52139" hidden="1"/>
    <cellStyle name="20% - 강조색2 4" xfId="52179" hidden="1"/>
    <cellStyle name="20% - 강조색2 4" xfId="52219" hidden="1"/>
    <cellStyle name="20% - 강조색2 4" xfId="52259" hidden="1"/>
    <cellStyle name="20% - 강조색2 4" xfId="52299" hidden="1"/>
    <cellStyle name="20% - 강조색2 4" xfId="52339" hidden="1"/>
    <cellStyle name="20% - 강조색2 4 2" xfId="777"/>
    <cellStyle name="20% - 강조색2 4 3" xfId="778"/>
    <cellStyle name="20% - 강조색2 4 4" xfId="779"/>
    <cellStyle name="20% - 강조색2 4 5" xfId="780"/>
    <cellStyle name="20% - 강조색2 40" xfId="781"/>
    <cellStyle name="20% - 강조색2 41" xfId="782"/>
    <cellStyle name="20% - 강조색2 42" xfId="783"/>
    <cellStyle name="20% - 강조색2 43" xfId="784"/>
    <cellStyle name="20% - 강조색2 44" xfId="785"/>
    <cellStyle name="20% - 강조색2 45" xfId="786"/>
    <cellStyle name="20% - 강조색2 46" xfId="787"/>
    <cellStyle name="20% - 강조색2 47" xfId="788"/>
    <cellStyle name="20% - 강조색2 48" xfId="789"/>
    <cellStyle name="20% - 강조색2 49" xfId="790"/>
    <cellStyle name="20% - 강조색2 5" xfId="791"/>
    <cellStyle name="20% - 강조색2 50" xfId="792"/>
    <cellStyle name="20% - 강조색2 51" xfId="793"/>
    <cellStyle name="20% - 강조색2 52" xfId="794"/>
    <cellStyle name="20% - 강조색2 6" xfId="795"/>
    <cellStyle name="20% - 강조색2 7" xfId="796"/>
    <cellStyle name="20% - 강조색2 8" xfId="797"/>
    <cellStyle name="20% - 강조색2 9" xfId="798"/>
    <cellStyle name="20% - 강조색3 10" xfId="799"/>
    <cellStyle name="20% - 강조색3 11" xfId="800"/>
    <cellStyle name="20% - 강조색3 12" xfId="801"/>
    <cellStyle name="20% - 강조색3 13" xfId="802"/>
    <cellStyle name="20% - 강조색3 14" xfId="803"/>
    <cellStyle name="20% - 강조색3 15" xfId="804"/>
    <cellStyle name="20% - 강조색3 16" xfId="805"/>
    <cellStyle name="20% - 강조색3 17" xfId="806"/>
    <cellStyle name="20% - 강조색3 18" xfId="807"/>
    <cellStyle name="20% - 강조색3 19" xfId="808"/>
    <cellStyle name="20% - 강조색3 2" xfId="104"/>
    <cellStyle name="20% - 강조색3 2 10" xfId="809"/>
    <cellStyle name="20% - 강조색3 2 100" xfId="810"/>
    <cellStyle name="20% - 강조색3 2 101" xfId="811"/>
    <cellStyle name="20% - 강조색3 2 102" xfId="812"/>
    <cellStyle name="20% - 강조색3 2 103" xfId="813"/>
    <cellStyle name="20% - 강조색3 2 104" xfId="814"/>
    <cellStyle name="20% - 강조색3 2 105" xfId="815"/>
    <cellStyle name="20% - 강조색3 2 106" xfId="816"/>
    <cellStyle name="20% - 강조색3 2 107" xfId="817"/>
    <cellStyle name="20% - 강조색3 2 108" xfId="818"/>
    <cellStyle name="20% - 강조색3 2 109" xfId="819"/>
    <cellStyle name="20% - 강조색3 2 11" xfId="820"/>
    <cellStyle name="20% - 강조색3 2 110" xfId="821"/>
    <cellStyle name="20% - 강조색3 2 111" xfId="822"/>
    <cellStyle name="20% - 강조색3 2 112" xfId="823"/>
    <cellStyle name="20% - 강조색3 2 12" xfId="824"/>
    <cellStyle name="20% - 강조색3 2 13" xfId="825"/>
    <cellStyle name="20% - 강조색3 2 14" xfId="826"/>
    <cellStyle name="20% - 강조색3 2 15" xfId="827"/>
    <cellStyle name="20% - 강조색3 2 16" xfId="828"/>
    <cellStyle name="20% - 강조색3 2 17" xfId="829"/>
    <cellStyle name="20% - 강조색3 2 18" xfId="830"/>
    <cellStyle name="20% - 강조색3 2 19" xfId="831"/>
    <cellStyle name="20% - 강조색3 2 2" xfId="105"/>
    <cellStyle name="20% - 강조색3 2 2 10" xfId="832"/>
    <cellStyle name="20% - 강조색3 2 2 11" xfId="833"/>
    <cellStyle name="20% - 강조색3 2 2 12" xfId="834"/>
    <cellStyle name="20% - 강조색3 2 2 13" xfId="835"/>
    <cellStyle name="20% - 강조색3 2 2 14" xfId="836"/>
    <cellStyle name="20% - 강조색3 2 2 15" xfId="837"/>
    <cellStyle name="20% - 강조색3 2 2 2" xfId="838"/>
    <cellStyle name="20% - 강조색3 2 2 2 2" xfId="839"/>
    <cellStyle name="20% - 강조색3 2 2 2 3" xfId="840"/>
    <cellStyle name="20% - 강조색3 2 2 2 4" xfId="841"/>
    <cellStyle name="20% - 강조색3 2 2 2 5" xfId="842"/>
    <cellStyle name="20% - 강조색3 2 2 3" xfId="843"/>
    <cellStyle name="20% - 강조색3 2 2 4" xfId="844"/>
    <cellStyle name="20% - 강조색3 2 2 5" xfId="845"/>
    <cellStyle name="20% - 강조색3 2 2 6" xfId="846"/>
    <cellStyle name="20% - 강조색3 2 2 7" xfId="847"/>
    <cellStyle name="20% - 강조색3 2 2 8" xfId="848"/>
    <cellStyle name="20% - 강조색3 2 2 9" xfId="849"/>
    <cellStyle name="20% - 강조색3 2 20" xfId="850"/>
    <cellStyle name="20% - 강조색3 2 21" xfId="851"/>
    <cellStyle name="20% - 강조색3 2 22" xfId="852"/>
    <cellStyle name="20% - 강조색3 2 23" xfId="853"/>
    <cellStyle name="20% - 강조색3 2 24" xfId="854"/>
    <cellStyle name="20% - 강조색3 2 25" xfId="855"/>
    <cellStyle name="20% - 강조색3 2 26" xfId="856"/>
    <cellStyle name="20% - 강조색3 2 27" xfId="857"/>
    <cellStyle name="20% - 강조색3 2 28" xfId="858"/>
    <cellStyle name="20% - 강조색3 2 29" xfId="859"/>
    <cellStyle name="20% - 강조색3 2 3" xfId="860"/>
    <cellStyle name="20% - 강조색3 2 3 2" xfId="861"/>
    <cellStyle name="20% - 강조색3 2 3 3" xfId="862"/>
    <cellStyle name="20% - 강조색3 2 3 4" xfId="863"/>
    <cellStyle name="20% - 강조색3 2 3 5" xfId="864"/>
    <cellStyle name="20% - 강조색3 2 30" xfId="865"/>
    <cellStyle name="20% - 강조색3 2 31" xfId="866"/>
    <cellStyle name="20% - 강조색3 2 32" xfId="867"/>
    <cellStyle name="20% - 강조색3 2 33" xfId="868"/>
    <cellStyle name="20% - 강조색3 2 34" xfId="869"/>
    <cellStyle name="20% - 강조색3 2 35" xfId="870"/>
    <cellStyle name="20% - 강조색3 2 36" xfId="871"/>
    <cellStyle name="20% - 강조색3 2 37" xfId="872"/>
    <cellStyle name="20% - 강조색3 2 38" xfId="873"/>
    <cellStyle name="20% - 강조색3 2 39" xfId="874"/>
    <cellStyle name="20% - 강조색3 2 4" xfId="875"/>
    <cellStyle name="20% - 강조색3 2 40" xfId="876"/>
    <cellStyle name="20% - 강조색3 2 41" xfId="877"/>
    <cellStyle name="20% - 강조색3 2 42" xfId="878"/>
    <cellStyle name="20% - 강조색3 2 43" xfId="879"/>
    <cellStyle name="20% - 강조색3 2 44" xfId="880"/>
    <cellStyle name="20% - 강조색3 2 45" xfId="881"/>
    <cellStyle name="20% - 강조색3 2 46" xfId="882"/>
    <cellStyle name="20% - 강조색3 2 47" xfId="883"/>
    <cellStyle name="20% - 강조색3 2 48" xfId="884"/>
    <cellStyle name="20% - 강조색3 2 49" xfId="885"/>
    <cellStyle name="20% - 강조색3 2 5" xfId="886"/>
    <cellStyle name="20% - 강조색3 2 50" xfId="887"/>
    <cellStyle name="20% - 강조색3 2 51" xfId="888"/>
    <cellStyle name="20% - 강조색3 2 52" xfId="889"/>
    <cellStyle name="20% - 강조색3 2 53" xfId="890"/>
    <cellStyle name="20% - 강조색3 2 54" xfId="891"/>
    <cellStyle name="20% - 강조색3 2 55" xfId="892"/>
    <cellStyle name="20% - 강조색3 2 56" xfId="893"/>
    <cellStyle name="20% - 강조색3 2 57" xfId="894"/>
    <cellStyle name="20% - 강조색3 2 58" xfId="895"/>
    <cellStyle name="20% - 강조색3 2 59" xfId="896"/>
    <cellStyle name="20% - 강조색3 2 6" xfId="897"/>
    <cellStyle name="20% - 강조색3 2 60" xfId="898"/>
    <cellStyle name="20% - 강조색3 2 61" xfId="899"/>
    <cellStyle name="20% - 강조색3 2 62" xfId="900"/>
    <cellStyle name="20% - 강조색3 2 63" xfId="901"/>
    <cellStyle name="20% - 강조색3 2 64" xfId="902"/>
    <cellStyle name="20% - 강조색3 2 65" xfId="903"/>
    <cellStyle name="20% - 강조색3 2 66" xfId="904"/>
    <cellStyle name="20% - 강조색3 2 67" xfId="905"/>
    <cellStyle name="20% - 강조색3 2 68" xfId="906"/>
    <cellStyle name="20% - 강조색3 2 69" xfId="907"/>
    <cellStyle name="20% - 강조색3 2 7" xfId="908"/>
    <cellStyle name="20% - 강조색3 2 70" xfId="909"/>
    <cellStyle name="20% - 강조색3 2 71" xfId="910"/>
    <cellStyle name="20% - 강조색3 2 72" xfId="911"/>
    <cellStyle name="20% - 강조색3 2 73" xfId="912"/>
    <cellStyle name="20% - 강조색3 2 74" xfId="913"/>
    <cellStyle name="20% - 강조색3 2 75" xfId="914"/>
    <cellStyle name="20% - 강조색3 2 76" xfId="915"/>
    <cellStyle name="20% - 강조색3 2 77" xfId="916"/>
    <cellStyle name="20% - 강조색3 2 78" xfId="917"/>
    <cellStyle name="20% - 강조색3 2 79" xfId="918"/>
    <cellStyle name="20% - 강조색3 2 8" xfId="919"/>
    <cellStyle name="20% - 강조색3 2 80" xfId="920"/>
    <cellStyle name="20% - 강조색3 2 81" xfId="921"/>
    <cellStyle name="20% - 강조색3 2 82" xfId="922"/>
    <cellStyle name="20% - 강조색3 2 83" xfId="923"/>
    <cellStyle name="20% - 강조색3 2 84" xfId="924"/>
    <cellStyle name="20% - 강조색3 2 85" xfId="925"/>
    <cellStyle name="20% - 강조색3 2 86" xfId="926"/>
    <cellStyle name="20% - 강조색3 2 87" xfId="927"/>
    <cellStyle name="20% - 강조색3 2 88" xfId="928"/>
    <cellStyle name="20% - 강조색3 2 89" xfId="929"/>
    <cellStyle name="20% - 강조색3 2 9" xfId="930"/>
    <cellStyle name="20% - 강조색3 2 90" xfId="931"/>
    <cellStyle name="20% - 강조색3 2 91" xfId="932"/>
    <cellStyle name="20% - 강조색3 2 92" xfId="933"/>
    <cellStyle name="20% - 강조색3 2 93" xfId="934"/>
    <cellStyle name="20% - 강조색3 2 94" xfId="935"/>
    <cellStyle name="20% - 강조색3 2 95" xfId="936"/>
    <cellStyle name="20% - 강조색3 2 96" xfId="937"/>
    <cellStyle name="20% - 강조색3 2 97" xfId="938"/>
    <cellStyle name="20% - 강조색3 2 98" xfId="939"/>
    <cellStyle name="20% - 강조색3 2 99" xfId="940"/>
    <cellStyle name="20% - 강조색3 20" xfId="941"/>
    <cellStyle name="20% - 강조색3 21" xfId="942"/>
    <cellStyle name="20% - 강조색3 22" xfId="943"/>
    <cellStyle name="20% - 강조색3 23" xfId="944"/>
    <cellStyle name="20% - 강조색3 24" xfId="945"/>
    <cellStyle name="20% - 강조색3 25" xfId="946"/>
    <cellStyle name="20% - 강조색3 26" xfId="947"/>
    <cellStyle name="20% - 강조색3 27" xfId="948"/>
    <cellStyle name="20% - 강조색3 28" xfId="949"/>
    <cellStyle name="20% - 강조색3 29" xfId="950"/>
    <cellStyle name="20% - 강조색3 3" xfId="106"/>
    <cellStyle name="20% - 강조색3 30" xfId="951"/>
    <cellStyle name="20% - 강조색3 31" xfId="952"/>
    <cellStyle name="20% - 강조색3 32" xfId="953"/>
    <cellStyle name="20% - 강조색3 33" xfId="954"/>
    <cellStyle name="20% - 강조색3 34" xfId="955"/>
    <cellStyle name="20% - 강조색3 35" xfId="956"/>
    <cellStyle name="20% - 강조색3 36" xfId="957"/>
    <cellStyle name="20% - 강조색3 37" xfId="958"/>
    <cellStyle name="20% - 강조색3 38" xfId="959"/>
    <cellStyle name="20% - 강조색3 39" xfId="960"/>
    <cellStyle name="20% - 강조색3 4" xfId="11733" hidden="1"/>
    <cellStyle name="20% - 강조색3 4" xfId="11779" hidden="1"/>
    <cellStyle name="20% - 강조색3 4" xfId="11825" hidden="1"/>
    <cellStyle name="20% - 강조색3 4" xfId="11871" hidden="1"/>
    <cellStyle name="20% - 강조색3 4" xfId="11917" hidden="1"/>
    <cellStyle name="20% - 강조색3 4" xfId="11963" hidden="1"/>
    <cellStyle name="20% - 강조색3 4" xfId="12009" hidden="1"/>
    <cellStyle name="20% - 강조색3 4" xfId="12055" hidden="1"/>
    <cellStyle name="20% - 강조색3 4" xfId="12101" hidden="1"/>
    <cellStyle name="20% - 강조색3 4" xfId="12147" hidden="1"/>
    <cellStyle name="20% - 강조색3 4" xfId="12193" hidden="1"/>
    <cellStyle name="20% - 강조색3 4" xfId="12239" hidden="1"/>
    <cellStyle name="20% - 강조색3 4" xfId="12329" hidden="1"/>
    <cellStyle name="20% - 강조색3 4" xfId="12370" hidden="1"/>
    <cellStyle name="20% - 강조색3 4" xfId="12412" hidden="1"/>
    <cellStyle name="20% - 강조색3 4" xfId="12454" hidden="1"/>
    <cellStyle name="20% - 강조색3 4" xfId="12496" hidden="1"/>
    <cellStyle name="20% - 강조색3 4" xfId="12538" hidden="1"/>
    <cellStyle name="20% - 강조색3 4" xfId="12580" hidden="1"/>
    <cellStyle name="20% - 강조색3 4" xfId="12622" hidden="1"/>
    <cellStyle name="20% - 강조색3 4" xfId="12664" hidden="1"/>
    <cellStyle name="20% - 강조색3 4" xfId="12706" hidden="1"/>
    <cellStyle name="20% - 강조색3 4" xfId="12748" hidden="1"/>
    <cellStyle name="20% - 강조색3 4" xfId="12790" hidden="1"/>
    <cellStyle name="20% - 강조색3 4" xfId="12284" hidden="1"/>
    <cellStyle name="20% - 강조색3 4" xfId="12972" hidden="1"/>
    <cellStyle name="20% - 강조색3 4" xfId="13012" hidden="1"/>
    <cellStyle name="20% - 강조색3 4" xfId="13052" hidden="1"/>
    <cellStyle name="20% - 강조색3 4" xfId="13092" hidden="1"/>
    <cellStyle name="20% - 강조색3 4" xfId="13132" hidden="1"/>
    <cellStyle name="20% - 강조색3 4" xfId="13172" hidden="1"/>
    <cellStyle name="20% - 강조색3 4" xfId="13212" hidden="1"/>
    <cellStyle name="20% - 강조색3 4" xfId="13252" hidden="1"/>
    <cellStyle name="20% - 강조색3 4" xfId="13292" hidden="1"/>
    <cellStyle name="20% - 강조색3 4" xfId="13332" hidden="1"/>
    <cellStyle name="20% - 강조색3 4" xfId="13372" hidden="1"/>
    <cellStyle name="20% - 강조색3 4" xfId="13412" hidden="1"/>
    <cellStyle name="20% - 강조색3 4" xfId="12862" hidden="1"/>
    <cellStyle name="20% - 강조색3 4" xfId="12810" hidden="1"/>
    <cellStyle name="20% - 강조색3 4" xfId="13454" hidden="1"/>
    <cellStyle name="20% - 강조색3 4" xfId="13496" hidden="1"/>
    <cellStyle name="20% - 강조색3 4" xfId="13538" hidden="1"/>
    <cellStyle name="20% - 강조색3 4" xfId="13580" hidden="1"/>
    <cellStyle name="20% - 강조색3 4" xfId="13622" hidden="1"/>
    <cellStyle name="20% - 강조색3 4" xfId="13664" hidden="1"/>
    <cellStyle name="20% - 강조색3 4" xfId="13706" hidden="1"/>
    <cellStyle name="20% - 강조색3 4" xfId="13748" hidden="1"/>
    <cellStyle name="20% - 강조색3 4" xfId="13790" hidden="1"/>
    <cellStyle name="20% - 강조색3 4" xfId="13832" hidden="1"/>
    <cellStyle name="20% - 강조색3 4" xfId="12916" hidden="1"/>
    <cellStyle name="20% - 강조색3 4" xfId="13860" hidden="1"/>
    <cellStyle name="20% - 강조색3 4" xfId="13900" hidden="1"/>
    <cellStyle name="20% - 강조색3 4" xfId="13940" hidden="1"/>
    <cellStyle name="20% - 강조색3 4" xfId="13980" hidden="1"/>
    <cellStyle name="20% - 강조색3 4" xfId="14020" hidden="1"/>
    <cellStyle name="20% - 강조색3 4" xfId="14060" hidden="1"/>
    <cellStyle name="20% - 강조색3 4" xfId="14100" hidden="1"/>
    <cellStyle name="20% - 강조색3 4" xfId="14140" hidden="1"/>
    <cellStyle name="20% - 강조색3 4" xfId="14180" hidden="1"/>
    <cellStyle name="20% - 강조색3 4" xfId="14220" hidden="1"/>
    <cellStyle name="20% - 강조색3 4" xfId="14260" hidden="1"/>
    <cellStyle name="20% - 강조색3 4" xfId="14300" hidden="1"/>
    <cellStyle name="20% - 강조색3 4" xfId="14406" hidden="1"/>
    <cellStyle name="20% - 강조색3 4" xfId="14446" hidden="1"/>
    <cellStyle name="20% - 강조색3 4" xfId="14486" hidden="1"/>
    <cellStyle name="20% - 강조색3 4" xfId="14526" hidden="1"/>
    <cellStyle name="20% - 강조색3 4" xfId="14566" hidden="1"/>
    <cellStyle name="20% - 강조색3 4" xfId="14606" hidden="1"/>
    <cellStyle name="20% - 강조색3 4" xfId="14646" hidden="1"/>
    <cellStyle name="20% - 강조색3 4" xfId="14686" hidden="1"/>
    <cellStyle name="20% - 강조색3 4" xfId="14726" hidden="1"/>
    <cellStyle name="20% - 강조색3 4" xfId="14766" hidden="1"/>
    <cellStyle name="20% - 강조색3 4" xfId="14806" hidden="1"/>
    <cellStyle name="20% - 강조색3 4" xfId="14846" hidden="1"/>
    <cellStyle name="20% - 강조색3 4" xfId="14930" hidden="1"/>
    <cellStyle name="20% - 강조색3 4" xfId="14971" hidden="1"/>
    <cellStyle name="20% - 강조색3 4" xfId="15013" hidden="1"/>
    <cellStyle name="20% - 강조색3 4" xfId="15055" hidden="1"/>
    <cellStyle name="20% - 강조색3 4" xfId="15097" hidden="1"/>
    <cellStyle name="20% - 강조색3 4" xfId="15139" hidden="1"/>
    <cellStyle name="20% - 강조색3 4" xfId="15181" hidden="1"/>
    <cellStyle name="20% - 강조색3 4" xfId="15223" hidden="1"/>
    <cellStyle name="20% - 강조색3 4" xfId="15265" hidden="1"/>
    <cellStyle name="20% - 강조색3 4" xfId="15307" hidden="1"/>
    <cellStyle name="20% - 강조색3 4" xfId="15349" hidden="1"/>
    <cellStyle name="20% - 강조색3 4" xfId="15391" hidden="1"/>
    <cellStyle name="20% - 강조색3 4" xfId="14887" hidden="1"/>
    <cellStyle name="20% - 강조색3 4" xfId="15570" hidden="1"/>
    <cellStyle name="20% - 강조색3 4" xfId="15610" hidden="1"/>
    <cellStyle name="20% - 강조색3 4" xfId="15650" hidden="1"/>
    <cellStyle name="20% - 강조색3 4" xfId="15690" hidden="1"/>
    <cellStyle name="20% - 강조색3 4" xfId="15730" hidden="1"/>
    <cellStyle name="20% - 강조색3 4" xfId="15770" hidden="1"/>
    <cellStyle name="20% - 강조색3 4" xfId="15810" hidden="1"/>
    <cellStyle name="20% - 강조색3 4" xfId="15850" hidden="1"/>
    <cellStyle name="20% - 강조색3 4" xfId="15890" hidden="1"/>
    <cellStyle name="20% - 강조색3 4" xfId="15930" hidden="1"/>
    <cellStyle name="20% - 강조색3 4" xfId="15970" hidden="1"/>
    <cellStyle name="20% - 강조색3 4" xfId="16010" hidden="1"/>
    <cellStyle name="20% - 강조색3 4" xfId="15462" hidden="1"/>
    <cellStyle name="20% - 강조색3 4" xfId="15410" hidden="1"/>
    <cellStyle name="20% - 강조색3 4" xfId="16052" hidden="1"/>
    <cellStyle name="20% - 강조색3 4" xfId="16094" hidden="1"/>
    <cellStyle name="20% - 강조색3 4" xfId="16136" hidden="1"/>
    <cellStyle name="20% - 강조색3 4" xfId="16178" hidden="1"/>
    <cellStyle name="20% - 강조색3 4" xfId="16220" hidden="1"/>
    <cellStyle name="20% - 강조색3 4" xfId="16262" hidden="1"/>
    <cellStyle name="20% - 강조색3 4" xfId="16304" hidden="1"/>
    <cellStyle name="20% - 강조색3 4" xfId="16346" hidden="1"/>
    <cellStyle name="20% - 강조색3 4" xfId="16388" hidden="1"/>
    <cellStyle name="20% - 강조색3 4" xfId="16430" hidden="1"/>
    <cellStyle name="20% - 강조색3 4" xfId="15515" hidden="1"/>
    <cellStyle name="20% - 강조색3 4" xfId="16458" hidden="1"/>
    <cellStyle name="20% - 강조색3 4" xfId="16498" hidden="1"/>
    <cellStyle name="20% - 강조색3 4" xfId="16538" hidden="1"/>
    <cellStyle name="20% - 강조색3 4" xfId="16578" hidden="1"/>
    <cellStyle name="20% - 강조색3 4" xfId="16618" hidden="1"/>
    <cellStyle name="20% - 강조색3 4" xfId="16658" hidden="1"/>
    <cellStyle name="20% - 강조색3 4" xfId="16698" hidden="1"/>
    <cellStyle name="20% - 강조색3 4" xfId="16738" hidden="1"/>
    <cellStyle name="20% - 강조색3 4" xfId="16778" hidden="1"/>
    <cellStyle name="20% - 강조색3 4" xfId="16818" hidden="1"/>
    <cellStyle name="20% - 강조색3 4" xfId="16858" hidden="1"/>
    <cellStyle name="20% - 강조색3 4" xfId="16898" hidden="1"/>
    <cellStyle name="20% - 강조색3 4" xfId="14319" hidden="1"/>
    <cellStyle name="20% - 강조색3 4" xfId="16949" hidden="1"/>
    <cellStyle name="20% - 강조색3 4" xfId="16990" hidden="1"/>
    <cellStyle name="20% - 강조색3 4" xfId="17030" hidden="1"/>
    <cellStyle name="20% - 강조색3 4" xfId="17070" hidden="1"/>
    <cellStyle name="20% - 강조색3 4" xfId="17110" hidden="1"/>
    <cellStyle name="20% - 강조색3 4" xfId="17150" hidden="1"/>
    <cellStyle name="20% - 강조색3 4" xfId="17190" hidden="1"/>
    <cellStyle name="20% - 강조색3 4" xfId="17230" hidden="1"/>
    <cellStyle name="20% - 강조색3 4" xfId="17270" hidden="1"/>
    <cellStyle name="20% - 강조색3 4" xfId="17310" hidden="1"/>
    <cellStyle name="20% - 강조색3 4" xfId="17350" hidden="1"/>
    <cellStyle name="20% - 강조색3 4" xfId="17434" hidden="1"/>
    <cellStyle name="20% - 강조색3 4" xfId="17475" hidden="1"/>
    <cellStyle name="20% - 강조색3 4" xfId="17517" hidden="1"/>
    <cellStyle name="20% - 강조색3 4" xfId="17559" hidden="1"/>
    <cellStyle name="20% - 강조색3 4" xfId="17601" hidden="1"/>
    <cellStyle name="20% - 강조색3 4" xfId="17643" hidden="1"/>
    <cellStyle name="20% - 강조색3 4" xfId="17685" hidden="1"/>
    <cellStyle name="20% - 강조색3 4" xfId="17727" hidden="1"/>
    <cellStyle name="20% - 강조색3 4" xfId="17769" hidden="1"/>
    <cellStyle name="20% - 강조색3 4" xfId="17811" hidden="1"/>
    <cellStyle name="20% - 강조색3 4" xfId="17853" hidden="1"/>
    <cellStyle name="20% - 강조색3 4" xfId="17895" hidden="1"/>
    <cellStyle name="20% - 강조색3 4" xfId="17391" hidden="1"/>
    <cellStyle name="20% - 강조색3 4" xfId="18074" hidden="1"/>
    <cellStyle name="20% - 강조색3 4" xfId="18114" hidden="1"/>
    <cellStyle name="20% - 강조색3 4" xfId="18154" hidden="1"/>
    <cellStyle name="20% - 강조색3 4" xfId="18194" hidden="1"/>
    <cellStyle name="20% - 강조색3 4" xfId="18234" hidden="1"/>
    <cellStyle name="20% - 강조색3 4" xfId="18274" hidden="1"/>
    <cellStyle name="20% - 강조색3 4" xfId="18314" hidden="1"/>
    <cellStyle name="20% - 강조색3 4" xfId="18354" hidden="1"/>
    <cellStyle name="20% - 강조색3 4" xfId="18394" hidden="1"/>
    <cellStyle name="20% - 강조색3 4" xfId="18434" hidden="1"/>
    <cellStyle name="20% - 강조색3 4" xfId="18474" hidden="1"/>
    <cellStyle name="20% - 강조색3 4" xfId="18514" hidden="1"/>
    <cellStyle name="20% - 강조색3 4" xfId="17966" hidden="1"/>
    <cellStyle name="20% - 강조색3 4" xfId="17914" hidden="1"/>
    <cellStyle name="20% - 강조색3 4" xfId="18556" hidden="1"/>
    <cellStyle name="20% - 강조색3 4" xfId="18598" hidden="1"/>
    <cellStyle name="20% - 강조색3 4" xfId="18640" hidden="1"/>
    <cellStyle name="20% - 강조색3 4" xfId="18682" hidden="1"/>
    <cellStyle name="20% - 강조색3 4" xfId="18724" hidden="1"/>
    <cellStyle name="20% - 강조색3 4" xfId="18766" hidden="1"/>
    <cellStyle name="20% - 강조색3 4" xfId="18808" hidden="1"/>
    <cellStyle name="20% - 강조색3 4" xfId="18850" hidden="1"/>
    <cellStyle name="20% - 강조색3 4" xfId="18892" hidden="1"/>
    <cellStyle name="20% - 강조색3 4" xfId="18934" hidden="1"/>
    <cellStyle name="20% - 강조색3 4" xfId="18019" hidden="1"/>
    <cellStyle name="20% - 강조색3 4" xfId="18962" hidden="1"/>
    <cellStyle name="20% - 강조색3 4" xfId="19002" hidden="1"/>
    <cellStyle name="20% - 강조색3 4" xfId="19042" hidden="1"/>
    <cellStyle name="20% - 강조색3 4" xfId="19082" hidden="1"/>
    <cellStyle name="20% - 강조색3 4" xfId="19122" hidden="1"/>
    <cellStyle name="20% - 강조색3 4" xfId="19162" hidden="1"/>
    <cellStyle name="20% - 강조색3 4" xfId="19202" hidden="1"/>
    <cellStyle name="20% - 강조색3 4" xfId="19242" hidden="1"/>
    <cellStyle name="20% - 강조색3 4" xfId="19282" hidden="1"/>
    <cellStyle name="20% - 강조색3 4" xfId="19322" hidden="1"/>
    <cellStyle name="20% - 강조색3 4" xfId="19362" hidden="1"/>
    <cellStyle name="20% - 강조색3 4" xfId="19402" hidden="1"/>
    <cellStyle name="20% - 강조색3 4" xfId="14373" hidden="1"/>
    <cellStyle name="20% - 강조색3 4" xfId="19452" hidden="1"/>
    <cellStyle name="20% - 강조색3 4" xfId="19492" hidden="1"/>
    <cellStyle name="20% - 강조색3 4" xfId="19532" hidden="1"/>
    <cellStyle name="20% - 강조색3 4" xfId="19572" hidden="1"/>
    <cellStyle name="20% - 강조색3 4" xfId="19612" hidden="1"/>
    <cellStyle name="20% - 강조색3 4" xfId="19652" hidden="1"/>
    <cellStyle name="20% - 강조색3 4" xfId="19692" hidden="1"/>
    <cellStyle name="20% - 강조색3 4" xfId="19732" hidden="1"/>
    <cellStyle name="20% - 강조색3 4" xfId="19772" hidden="1"/>
    <cellStyle name="20% - 강조색3 4" xfId="19812" hidden="1"/>
    <cellStyle name="20% - 강조색3 4" xfId="19852" hidden="1"/>
    <cellStyle name="20% - 강조색3 4" xfId="19936" hidden="1"/>
    <cellStyle name="20% - 강조색3 4" xfId="19977" hidden="1"/>
    <cellStyle name="20% - 강조색3 4" xfId="20019" hidden="1"/>
    <cellStyle name="20% - 강조색3 4" xfId="20061" hidden="1"/>
    <cellStyle name="20% - 강조색3 4" xfId="20103" hidden="1"/>
    <cellStyle name="20% - 강조색3 4" xfId="20145" hidden="1"/>
    <cellStyle name="20% - 강조색3 4" xfId="20187" hidden="1"/>
    <cellStyle name="20% - 강조색3 4" xfId="20229" hidden="1"/>
    <cellStyle name="20% - 강조색3 4" xfId="20271" hidden="1"/>
    <cellStyle name="20% - 강조색3 4" xfId="20313" hidden="1"/>
    <cellStyle name="20% - 강조색3 4" xfId="20355" hidden="1"/>
    <cellStyle name="20% - 강조색3 4" xfId="20397" hidden="1"/>
    <cellStyle name="20% - 강조색3 4" xfId="19893" hidden="1"/>
    <cellStyle name="20% - 강조색3 4" xfId="20576" hidden="1"/>
    <cellStyle name="20% - 강조색3 4" xfId="20616" hidden="1"/>
    <cellStyle name="20% - 강조색3 4" xfId="20656" hidden="1"/>
    <cellStyle name="20% - 강조색3 4" xfId="20696" hidden="1"/>
    <cellStyle name="20% - 강조색3 4" xfId="20736" hidden="1"/>
    <cellStyle name="20% - 강조색3 4" xfId="20776" hidden="1"/>
    <cellStyle name="20% - 강조색3 4" xfId="20816" hidden="1"/>
    <cellStyle name="20% - 강조색3 4" xfId="20856" hidden="1"/>
    <cellStyle name="20% - 강조색3 4" xfId="20896" hidden="1"/>
    <cellStyle name="20% - 강조색3 4" xfId="20936" hidden="1"/>
    <cellStyle name="20% - 강조색3 4" xfId="20976" hidden="1"/>
    <cellStyle name="20% - 강조색3 4" xfId="21016" hidden="1"/>
    <cellStyle name="20% - 강조색3 4" xfId="20468" hidden="1"/>
    <cellStyle name="20% - 강조색3 4" xfId="20416" hidden="1"/>
    <cellStyle name="20% - 강조색3 4" xfId="21058" hidden="1"/>
    <cellStyle name="20% - 강조색3 4" xfId="21100" hidden="1"/>
    <cellStyle name="20% - 강조색3 4" xfId="21142" hidden="1"/>
    <cellStyle name="20% - 강조색3 4" xfId="21184" hidden="1"/>
    <cellStyle name="20% - 강조색3 4" xfId="21226" hidden="1"/>
    <cellStyle name="20% - 강조색3 4" xfId="21268" hidden="1"/>
    <cellStyle name="20% - 강조색3 4" xfId="21310" hidden="1"/>
    <cellStyle name="20% - 강조색3 4" xfId="21352" hidden="1"/>
    <cellStyle name="20% - 강조색3 4" xfId="21394" hidden="1"/>
    <cellStyle name="20% - 강조색3 4" xfId="21436" hidden="1"/>
    <cellStyle name="20% - 강조색3 4" xfId="20521" hidden="1"/>
    <cellStyle name="20% - 강조색3 4" xfId="21464" hidden="1"/>
    <cellStyle name="20% - 강조색3 4" xfId="21504" hidden="1"/>
    <cellStyle name="20% - 강조색3 4" xfId="21544" hidden="1"/>
    <cellStyle name="20% - 강조색3 4" xfId="21584" hidden="1"/>
    <cellStyle name="20% - 강조색3 4" xfId="21624" hidden="1"/>
    <cellStyle name="20% - 강조색3 4" xfId="21664" hidden="1"/>
    <cellStyle name="20% - 강조색3 4" xfId="21704" hidden="1"/>
    <cellStyle name="20% - 강조색3 4" xfId="21744" hidden="1"/>
    <cellStyle name="20% - 강조색3 4" xfId="21784" hidden="1"/>
    <cellStyle name="20% - 강조색3 4" xfId="21824" hidden="1"/>
    <cellStyle name="20% - 강조색3 4" xfId="21864" hidden="1"/>
    <cellStyle name="20% - 강조색3 4" xfId="21904" hidden="1"/>
    <cellStyle name="20% - 강조색3 4" xfId="21972" hidden="1"/>
    <cellStyle name="20% - 강조색3 4" xfId="22012" hidden="1"/>
    <cellStyle name="20% - 강조색3 4" xfId="22052" hidden="1"/>
    <cellStyle name="20% - 강조색3 4" xfId="22092" hidden="1"/>
    <cellStyle name="20% - 강조색3 4" xfId="22132" hidden="1"/>
    <cellStyle name="20% - 강조색3 4" xfId="22172" hidden="1"/>
    <cellStyle name="20% - 강조색3 4" xfId="22212" hidden="1"/>
    <cellStyle name="20% - 강조색3 4" xfId="22252" hidden="1"/>
    <cellStyle name="20% - 강조색3 4" xfId="22292" hidden="1"/>
    <cellStyle name="20% - 강조색3 4" xfId="22332" hidden="1"/>
    <cellStyle name="20% - 강조색3 4" xfId="22372" hidden="1"/>
    <cellStyle name="20% - 강조색3 4" xfId="22412" hidden="1"/>
    <cellStyle name="20% - 강조색3 4" xfId="22496" hidden="1"/>
    <cellStyle name="20% - 강조색3 4" xfId="22537" hidden="1"/>
    <cellStyle name="20% - 강조색3 4" xfId="22579" hidden="1"/>
    <cellStyle name="20% - 강조색3 4" xfId="22621" hidden="1"/>
    <cellStyle name="20% - 강조색3 4" xfId="22663" hidden="1"/>
    <cellStyle name="20% - 강조색3 4" xfId="22705" hidden="1"/>
    <cellStyle name="20% - 강조색3 4" xfId="22747" hidden="1"/>
    <cellStyle name="20% - 강조색3 4" xfId="22789" hidden="1"/>
    <cellStyle name="20% - 강조색3 4" xfId="22831" hidden="1"/>
    <cellStyle name="20% - 강조색3 4" xfId="22873" hidden="1"/>
    <cellStyle name="20% - 강조색3 4" xfId="22915" hidden="1"/>
    <cellStyle name="20% - 강조색3 4" xfId="22957" hidden="1"/>
    <cellStyle name="20% - 강조색3 4" xfId="22453" hidden="1"/>
    <cellStyle name="20% - 강조색3 4" xfId="23136" hidden="1"/>
    <cellStyle name="20% - 강조색3 4" xfId="23176" hidden="1"/>
    <cellStyle name="20% - 강조색3 4" xfId="23216" hidden="1"/>
    <cellStyle name="20% - 강조색3 4" xfId="23256" hidden="1"/>
    <cellStyle name="20% - 강조색3 4" xfId="23296" hidden="1"/>
    <cellStyle name="20% - 강조색3 4" xfId="23336" hidden="1"/>
    <cellStyle name="20% - 강조색3 4" xfId="23376" hidden="1"/>
    <cellStyle name="20% - 강조색3 4" xfId="23416" hidden="1"/>
    <cellStyle name="20% - 강조색3 4" xfId="23456" hidden="1"/>
    <cellStyle name="20% - 강조색3 4" xfId="23496" hidden="1"/>
    <cellStyle name="20% - 강조색3 4" xfId="23536" hidden="1"/>
    <cellStyle name="20% - 강조색3 4" xfId="23576" hidden="1"/>
    <cellStyle name="20% - 강조색3 4" xfId="23028" hidden="1"/>
    <cellStyle name="20% - 강조색3 4" xfId="22976" hidden="1"/>
    <cellStyle name="20% - 강조색3 4" xfId="23618" hidden="1"/>
    <cellStyle name="20% - 강조색3 4" xfId="23660" hidden="1"/>
    <cellStyle name="20% - 강조색3 4" xfId="23702" hidden="1"/>
    <cellStyle name="20% - 강조색3 4" xfId="23744" hidden="1"/>
    <cellStyle name="20% - 강조색3 4" xfId="23786" hidden="1"/>
    <cellStyle name="20% - 강조색3 4" xfId="23828" hidden="1"/>
    <cellStyle name="20% - 강조색3 4" xfId="23870" hidden="1"/>
    <cellStyle name="20% - 강조색3 4" xfId="23912" hidden="1"/>
    <cellStyle name="20% - 강조색3 4" xfId="23954" hidden="1"/>
    <cellStyle name="20% - 강조색3 4" xfId="23996" hidden="1"/>
    <cellStyle name="20% - 강조색3 4" xfId="23081" hidden="1"/>
    <cellStyle name="20% - 강조색3 4" xfId="24024" hidden="1"/>
    <cellStyle name="20% - 강조색3 4" xfId="24064" hidden="1"/>
    <cellStyle name="20% - 강조색3 4" xfId="24104" hidden="1"/>
    <cellStyle name="20% - 강조색3 4" xfId="24144" hidden="1"/>
    <cellStyle name="20% - 강조색3 4" xfId="24184" hidden="1"/>
    <cellStyle name="20% - 강조색3 4" xfId="24224" hidden="1"/>
    <cellStyle name="20% - 강조색3 4" xfId="24264" hidden="1"/>
    <cellStyle name="20% - 강조색3 4" xfId="24304" hidden="1"/>
    <cellStyle name="20% - 강조색3 4" xfId="24344" hidden="1"/>
    <cellStyle name="20% - 강조색3 4" xfId="24384" hidden="1"/>
    <cellStyle name="20% - 강조색3 4" xfId="24424" hidden="1"/>
    <cellStyle name="20% - 강조색3 4" xfId="24464" hidden="1"/>
    <cellStyle name="20% - 강조색3 4" xfId="24562" hidden="1"/>
    <cellStyle name="20% - 강조색3 4" xfId="24602" hidden="1"/>
    <cellStyle name="20% - 강조색3 4" xfId="24644" hidden="1"/>
    <cellStyle name="20% - 강조색3 4" xfId="24685" hidden="1"/>
    <cellStyle name="20% - 강조색3 4" xfId="24725" hidden="1"/>
    <cellStyle name="20% - 강조색3 4" xfId="24765" hidden="1"/>
    <cellStyle name="20% - 강조색3 4" xfId="24805" hidden="1"/>
    <cellStyle name="20% - 강조색3 4" xfId="24845" hidden="1"/>
    <cellStyle name="20% - 강조색3 4" xfId="24885" hidden="1"/>
    <cellStyle name="20% - 강조색3 4" xfId="24925" hidden="1"/>
    <cellStyle name="20% - 강조색3 4" xfId="24965" hidden="1"/>
    <cellStyle name="20% - 강조색3 4" xfId="25005" hidden="1"/>
    <cellStyle name="20% - 강조색3 4" xfId="25089" hidden="1"/>
    <cellStyle name="20% - 강조색3 4" xfId="25130" hidden="1"/>
    <cellStyle name="20% - 강조색3 4" xfId="25172" hidden="1"/>
    <cellStyle name="20% - 강조색3 4" xfId="25214" hidden="1"/>
    <cellStyle name="20% - 강조색3 4" xfId="25256" hidden="1"/>
    <cellStyle name="20% - 강조색3 4" xfId="25298" hidden="1"/>
    <cellStyle name="20% - 강조색3 4" xfId="25340" hidden="1"/>
    <cellStyle name="20% - 강조색3 4" xfId="25382" hidden="1"/>
    <cellStyle name="20% - 강조색3 4" xfId="25424" hidden="1"/>
    <cellStyle name="20% - 강조색3 4" xfId="25466" hidden="1"/>
    <cellStyle name="20% - 강조색3 4" xfId="25508" hidden="1"/>
    <cellStyle name="20% - 강조색3 4" xfId="25550" hidden="1"/>
    <cellStyle name="20% - 강조색3 4" xfId="25046" hidden="1"/>
    <cellStyle name="20% - 강조색3 4" xfId="25729" hidden="1"/>
    <cellStyle name="20% - 강조색3 4" xfId="25769" hidden="1"/>
    <cellStyle name="20% - 강조색3 4" xfId="25809" hidden="1"/>
    <cellStyle name="20% - 강조색3 4" xfId="25849" hidden="1"/>
    <cellStyle name="20% - 강조색3 4" xfId="25889" hidden="1"/>
    <cellStyle name="20% - 강조색3 4" xfId="25929" hidden="1"/>
    <cellStyle name="20% - 강조색3 4" xfId="25969" hidden="1"/>
    <cellStyle name="20% - 강조색3 4" xfId="26009" hidden="1"/>
    <cellStyle name="20% - 강조색3 4" xfId="26049" hidden="1"/>
    <cellStyle name="20% - 강조색3 4" xfId="26089" hidden="1"/>
    <cellStyle name="20% - 강조색3 4" xfId="26129" hidden="1"/>
    <cellStyle name="20% - 강조색3 4" xfId="26169" hidden="1"/>
    <cellStyle name="20% - 강조색3 4" xfId="25621" hidden="1"/>
    <cellStyle name="20% - 강조색3 4" xfId="25569" hidden="1"/>
    <cellStyle name="20% - 강조색3 4" xfId="26211" hidden="1"/>
    <cellStyle name="20% - 강조색3 4" xfId="26253" hidden="1"/>
    <cellStyle name="20% - 강조색3 4" xfId="26295" hidden="1"/>
    <cellStyle name="20% - 강조색3 4" xfId="26337" hidden="1"/>
    <cellStyle name="20% - 강조색3 4" xfId="26379" hidden="1"/>
    <cellStyle name="20% - 강조색3 4" xfId="26421" hidden="1"/>
    <cellStyle name="20% - 강조색3 4" xfId="26463" hidden="1"/>
    <cellStyle name="20% - 강조색3 4" xfId="26505" hidden="1"/>
    <cellStyle name="20% - 강조색3 4" xfId="26547" hidden="1"/>
    <cellStyle name="20% - 강조색3 4" xfId="26589" hidden="1"/>
    <cellStyle name="20% - 강조색3 4" xfId="25674" hidden="1"/>
    <cellStyle name="20% - 강조색3 4" xfId="26617" hidden="1"/>
    <cellStyle name="20% - 강조색3 4" xfId="26657" hidden="1"/>
    <cellStyle name="20% - 강조색3 4" xfId="26697" hidden="1"/>
    <cellStyle name="20% - 강조색3 4" xfId="26737" hidden="1"/>
    <cellStyle name="20% - 강조색3 4" xfId="26777" hidden="1"/>
    <cellStyle name="20% - 강조색3 4" xfId="26817" hidden="1"/>
    <cellStyle name="20% - 강조색3 4" xfId="26857" hidden="1"/>
    <cellStyle name="20% - 강조색3 4" xfId="26897" hidden="1"/>
    <cellStyle name="20% - 강조색3 4" xfId="26937" hidden="1"/>
    <cellStyle name="20% - 강조색3 4" xfId="26977" hidden="1"/>
    <cellStyle name="20% - 강조색3 4" xfId="27017" hidden="1"/>
    <cellStyle name="20% - 강조색3 4" xfId="27057" hidden="1"/>
    <cellStyle name="20% - 강조색3 4" xfId="24481" hidden="1"/>
    <cellStyle name="20% - 강조색3 4" xfId="27108" hidden="1"/>
    <cellStyle name="20% - 강조색3 4" xfId="27148" hidden="1"/>
    <cellStyle name="20% - 강조색3 4" xfId="27188" hidden="1"/>
    <cellStyle name="20% - 강조색3 4" xfId="27228" hidden="1"/>
    <cellStyle name="20% - 강조색3 4" xfId="27268" hidden="1"/>
    <cellStyle name="20% - 강조색3 4" xfId="27308" hidden="1"/>
    <cellStyle name="20% - 강조색3 4" xfId="27348" hidden="1"/>
    <cellStyle name="20% - 강조색3 4" xfId="27388" hidden="1"/>
    <cellStyle name="20% - 강조색3 4" xfId="27428" hidden="1"/>
    <cellStyle name="20% - 강조색3 4" xfId="27468" hidden="1"/>
    <cellStyle name="20% - 강조색3 4" xfId="27508" hidden="1"/>
    <cellStyle name="20% - 강조색3 4" xfId="27592" hidden="1"/>
    <cellStyle name="20% - 강조색3 4" xfId="27633" hidden="1"/>
    <cellStyle name="20% - 강조색3 4" xfId="27675" hidden="1"/>
    <cellStyle name="20% - 강조색3 4" xfId="27717" hidden="1"/>
    <cellStyle name="20% - 강조색3 4" xfId="27759" hidden="1"/>
    <cellStyle name="20% - 강조색3 4" xfId="27801" hidden="1"/>
    <cellStyle name="20% - 강조색3 4" xfId="27843" hidden="1"/>
    <cellStyle name="20% - 강조색3 4" xfId="27885" hidden="1"/>
    <cellStyle name="20% - 강조색3 4" xfId="27927" hidden="1"/>
    <cellStyle name="20% - 강조색3 4" xfId="27969" hidden="1"/>
    <cellStyle name="20% - 강조색3 4" xfId="28011" hidden="1"/>
    <cellStyle name="20% - 강조색3 4" xfId="28053" hidden="1"/>
    <cellStyle name="20% - 강조색3 4" xfId="27549" hidden="1"/>
    <cellStyle name="20% - 강조색3 4" xfId="28232" hidden="1"/>
    <cellStyle name="20% - 강조색3 4" xfId="28272" hidden="1"/>
    <cellStyle name="20% - 강조색3 4" xfId="28312" hidden="1"/>
    <cellStyle name="20% - 강조색3 4" xfId="28352" hidden="1"/>
    <cellStyle name="20% - 강조색3 4" xfId="28392" hidden="1"/>
    <cellStyle name="20% - 강조색3 4" xfId="28432" hidden="1"/>
    <cellStyle name="20% - 강조색3 4" xfId="28472" hidden="1"/>
    <cellStyle name="20% - 강조색3 4" xfId="28512" hidden="1"/>
    <cellStyle name="20% - 강조색3 4" xfId="28552" hidden="1"/>
    <cellStyle name="20% - 강조색3 4" xfId="28592" hidden="1"/>
    <cellStyle name="20% - 강조색3 4" xfId="28632" hidden="1"/>
    <cellStyle name="20% - 강조색3 4" xfId="28672" hidden="1"/>
    <cellStyle name="20% - 강조색3 4" xfId="28124" hidden="1"/>
    <cellStyle name="20% - 강조색3 4" xfId="28072" hidden="1"/>
    <cellStyle name="20% - 강조색3 4" xfId="28714" hidden="1"/>
    <cellStyle name="20% - 강조색3 4" xfId="28756" hidden="1"/>
    <cellStyle name="20% - 강조색3 4" xfId="28798" hidden="1"/>
    <cellStyle name="20% - 강조색3 4" xfId="28840" hidden="1"/>
    <cellStyle name="20% - 강조색3 4" xfId="28882" hidden="1"/>
    <cellStyle name="20% - 강조색3 4" xfId="28924" hidden="1"/>
    <cellStyle name="20% - 강조색3 4" xfId="28966" hidden="1"/>
    <cellStyle name="20% - 강조색3 4" xfId="29008" hidden="1"/>
    <cellStyle name="20% - 강조색3 4" xfId="29050" hidden="1"/>
    <cellStyle name="20% - 강조색3 4" xfId="29092" hidden="1"/>
    <cellStyle name="20% - 강조색3 4" xfId="28177" hidden="1"/>
    <cellStyle name="20% - 강조색3 4" xfId="29120" hidden="1"/>
    <cellStyle name="20% - 강조색3 4" xfId="29160" hidden="1"/>
    <cellStyle name="20% - 강조색3 4" xfId="29200" hidden="1"/>
    <cellStyle name="20% - 강조색3 4" xfId="29240" hidden="1"/>
    <cellStyle name="20% - 강조색3 4" xfId="29280" hidden="1"/>
    <cellStyle name="20% - 강조색3 4" xfId="29320" hidden="1"/>
    <cellStyle name="20% - 강조색3 4" xfId="29360" hidden="1"/>
    <cellStyle name="20% - 강조색3 4" xfId="29400" hidden="1"/>
    <cellStyle name="20% - 강조색3 4" xfId="29440" hidden="1"/>
    <cellStyle name="20% - 강조색3 4" xfId="29480" hidden="1"/>
    <cellStyle name="20% - 강조색3 4" xfId="29520" hidden="1"/>
    <cellStyle name="20% - 강조색3 4" xfId="29560" hidden="1"/>
    <cellStyle name="20% - 강조색3 4" xfId="24531" hidden="1"/>
    <cellStyle name="20% - 강조색3 4" xfId="29610" hidden="1"/>
    <cellStyle name="20% - 강조색3 4" xfId="29650" hidden="1"/>
    <cellStyle name="20% - 강조색3 4" xfId="29690" hidden="1"/>
    <cellStyle name="20% - 강조색3 4" xfId="29730" hidden="1"/>
    <cellStyle name="20% - 강조색3 4" xfId="29770" hidden="1"/>
    <cellStyle name="20% - 강조색3 4" xfId="29810" hidden="1"/>
    <cellStyle name="20% - 강조색3 4" xfId="29850" hidden="1"/>
    <cellStyle name="20% - 강조색3 4" xfId="29890" hidden="1"/>
    <cellStyle name="20% - 강조색3 4" xfId="29930" hidden="1"/>
    <cellStyle name="20% - 강조색3 4" xfId="29970" hidden="1"/>
    <cellStyle name="20% - 강조색3 4" xfId="30010" hidden="1"/>
    <cellStyle name="20% - 강조색3 4" xfId="30094" hidden="1"/>
    <cellStyle name="20% - 강조색3 4" xfId="30135" hidden="1"/>
    <cellStyle name="20% - 강조색3 4" xfId="30177" hidden="1"/>
    <cellStyle name="20% - 강조색3 4" xfId="30219" hidden="1"/>
    <cellStyle name="20% - 강조색3 4" xfId="30261" hidden="1"/>
    <cellStyle name="20% - 강조색3 4" xfId="30303" hidden="1"/>
    <cellStyle name="20% - 강조색3 4" xfId="30345" hidden="1"/>
    <cellStyle name="20% - 강조색3 4" xfId="30387" hidden="1"/>
    <cellStyle name="20% - 강조색3 4" xfId="30429" hidden="1"/>
    <cellStyle name="20% - 강조색3 4" xfId="30471" hidden="1"/>
    <cellStyle name="20% - 강조색3 4" xfId="30513" hidden="1"/>
    <cellStyle name="20% - 강조색3 4" xfId="30555" hidden="1"/>
    <cellStyle name="20% - 강조색3 4" xfId="30051" hidden="1"/>
    <cellStyle name="20% - 강조색3 4" xfId="30734" hidden="1"/>
    <cellStyle name="20% - 강조색3 4" xfId="30774" hidden="1"/>
    <cellStyle name="20% - 강조색3 4" xfId="30814" hidden="1"/>
    <cellStyle name="20% - 강조색3 4" xfId="30854" hidden="1"/>
    <cellStyle name="20% - 강조색3 4" xfId="30894" hidden="1"/>
    <cellStyle name="20% - 강조색3 4" xfId="30934" hidden="1"/>
    <cellStyle name="20% - 강조색3 4" xfId="30974" hidden="1"/>
    <cellStyle name="20% - 강조색3 4" xfId="31014" hidden="1"/>
    <cellStyle name="20% - 강조색3 4" xfId="31054" hidden="1"/>
    <cellStyle name="20% - 강조색3 4" xfId="31094" hidden="1"/>
    <cellStyle name="20% - 강조색3 4" xfId="31134" hidden="1"/>
    <cellStyle name="20% - 강조색3 4" xfId="31174" hidden="1"/>
    <cellStyle name="20% - 강조색3 4" xfId="30626" hidden="1"/>
    <cellStyle name="20% - 강조색3 4" xfId="30574" hidden="1"/>
    <cellStyle name="20% - 강조색3 4" xfId="31216" hidden="1"/>
    <cellStyle name="20% - 강조색3 4" xfId="31258" hidden="1"/>
    <cellStyle name="20% - 강조색3 4" xfId="31300" hidden="1"/>
    <cellStyle name="20% - 강조색3 4" xfId="31342" hidden="1"/>
    <cellStyle name="20% - 강조색3 4" xfId="31384" hidden="1"/>
    <cellStyle name="20% - 강조색3 4" xfId="31426" hidden="1"/>
    <cellStyle name="20% - 강조색3 4" xfId="31468" hidden="1"/>
    <cellStyle name="20% - 강조색3 4" xfId="31510" hidden="1"/>
    <cellStyle name="20% - 강조색3 4" xfId="31552" hidden="1"/>
    <cellStyle name="20% - 강조색3 4" xfId="31594" hidden="1"/>
    <cellStyle name="20% - 강조색3 4" xfId="30679" hidden="1"/>
    <cellStyle name="20% - 강조색3 4" xfId="31622" hidden="1"/>
    <cellStyle name="20% - 강조색3 4" xfId="31662" hidden="1"/>
    <cellStyle name="20% - 강조색3 4" xfId="31702" hidden="1"/>
    <cellStyle name="20% - 강조색3 4" xfId="31742" hidden="1"/>
    <cellStyle name="20% - 강조색3 4" xfId="31782" hidden="1"/>
    <cellStyle name="20% - 강조색3 4" xfId="31822" hidden="1"/>
    <cellStyle name="20% - 강조색3 4" xfId="31862" hidden="1"/>
    <cellStyle name="20% - 강조색3 4" xfId="31902" hidden="1"/>
    <cellStyle name="20% - 강조색3 4" xfId="31942" hidden="1"/>
    <cellStyle name="20% - 강조색3 4" xfId="31982" hidden="1"/>
    <cellStyle name="20% - 강조색3 4" xfId="32022" hidden="1"/>
    <cellStyle name="20% - 강조색3 4" xfId="32062" hidden="1"/>
    <cellStyle name="20% - 강조색3 4" xfId="32124" hidden="1"/>
    <cellStyle name="20% - 강조색3 4" xfId="32164" hidden="1"/>
    <cellStyle name="20% - 강조색3 4" xfId="32204" hidden="1"/>
    <cellStyle name="20% - 강조색3 4" xfId="32244" hidden="1"/>
    <cellStyle name="20% - 강조색3 4" xfId="32284" hidden="1"/>
    <cellStyle name="20% - 강조색3 4" xfId="32324" hidden="1"/>
    <cellStyle name="20% - 강조색3 4" xfId="32364" hidden="1"/>
    <cellStyle name="20% - 강조색3 4" xfId="32404" hidden="1"/>
    <cellStyle name="20% - 강조색3 4" xfId="32444" hidden="1"/>
    <cellStyle name="20% - 강조색3 4" xfId="32484" hidden="1"/>
    <cellStyle name="20% - 강조색3 4" xfId="32524" hidden="1"/>
    <cellStyle name="20% - 강조색3 4" xfId="32564" hidden="1"/>
    <cellStyle name="20% - 강조색3 4" xfId="32649" hidden="1"/>
    <cellStyle name="20% - 강조색3 4" xfId="32690" hidden="1"/>
    <cellStyle name="20% - 강조색3 4" xfId="32732" hidden="1"/>
    <cellStyle name="20% - 강조색3 4" xfId="32774" hidden="1"/>
    <cellStyle name="20% - 강조색3 4" xfId="32816" hidden="1"/>
    <cellStyle name="20% - 강조색3 4" xfId="32858" hidden="1"/>
    <cellStyle name="20% - 강조색3 4" xfId="32900" hidden="1"/>
    <cellStyle name="20% - 강조색3 4" xfId="32942" hidden="1"/>
    <cellStyle name="20% - 강조색3 4" xfId="32984" hidden="1"/>
    <cellStyle name="20% - 강조색3 4" xfId="33026" hidden="1"/>
    <cellStyle name="20% - 강조색3 4" xfId="33068" hidden="1"/>
    <cellStyle name="20% - 강조색3 4" xfId="33110" hidden="1"/>
    <cellStyle name="20% - 강조색3 4" xfId="32606" hidden="1"/>
    <cellStyle name="20% - 강조색3 4" xfId="33289" hidden="1"/>
    <cellStyle name="20% - 강조색3 4" xfId="33329" hidden="1"/>
    <cellStyle name="20% - 강조색3 4" xfId="33369" hidden="1"/>
    <cellStyle name="20% - 강조색3 4" xfId="33409" hidden="1"/>
    <cellStyle name="20% - 강조색3 4" xfId="33449" hidden="1"/>
    <cellStyle name="20% - 강조색3 4" xfId="33489" hidden="1"/>
    <cellStyle name="20% - 강조색3 4" xfId="33529" hidden="1"/>
    <cellStyle name="20% - 강조색3 4" xfId="33569" hidden="1"/>
    <cellStyle name="20% - 강조색3 4" xfId="33609" hidden="1"/>
    <cellStyle name="20% - 강조색3 4" xfId="33649" hidden="1"/>
    <cellStyle name="20% - 강조색3 4" xfId="33689" hidden="1"/>
    <cellStyle name="20% - 강조색3 4" xfId="33729" hidden="1"/>
    <cellStyle name="20% - 강조색3 4" xfId="33181" hidden="1"/>
    <cellStyle name="20% - 강조색3 4" xfId="33129" hidden="1"/>
    <cellStyle name="20% - 강조색3 4" xfId="33771" hidden="1"/>
    <cellStyle name="20% - 강조색3 4" xfId="33813" hidden="1"/>
    <cellStyle name="20% - 강조색3 4" xfId="33855" hidden="1"/>
    <cellStyle name="20% - 강조색3 4" xfId="33897" hidden="1"/>
    <cellStyle name="20% - 강조색3 4" xfId="33939" hidden="1"/>
    <cellStyle name="20% - 강조색3 4" xfId="33981" hidden="1"/>
    <cellStyle name="20% - 강조색3 4" xfId="34023" hidden="1"/>
    <cellStyle name="20% - 강조색3 4" xfId="34065" hidden="1"/>
    <cellStyle name="20% - 강조색3 4" xfId="34107" hidden="1"/>
    <cellStyle name="20% - 강조색3 4" xfId="34149" hidden="1"/>
    <cellStyle name="20% - 강조색3 4" xfId="33234" hidden="1"/>
    <cellStyle name="20% - 강조색3 4" xfId="34177" hidden="1"/>
    <cellStyle name="20% - 강조색3 4" xfId="34217" hidden="1"/>
    <cellStyle name="20% - 강조색3 4" xfId="34257" hidden="1"/>
    <cellStyle name="20% - 강조색3 4" xfId="34297" hidden="1"/>
    <cellStyle name="20% - 강조색3 4" xfId="34337" hidden="1"/>
    <cellStyle name="20% - 강조색3 4" xfId="34377" hidden="1"/>
    <cellStyle name="20% - 강조색3 4" xfId="34417" hidden="1"/>
    <cellStyle name="20% - 강조색3 4" xfId="34457" hidden="1"/>
    <cellStyle name="20% - 강조색3 4" xfId="34497" hidden="1"/>
    <cellStyle name="20% - 강조색3 4" xfId="34537" hidden="1"/>
    <cellStyle name="20% - 강조색3 4" xfId="34577" hidden="1"/>
    <cellStyle name="20% - 강조색3 4" xfId="34617" hidden="1"/>
    <cellStyle name="20% - 강조색3 4" xfId="34714" hidden="1"/>
    <cellStyle name="20% - 강조색3 4" xfId="34754" hidden="1"/>
    <cellStyle name="20% - 강조색3 4" xfId="34794" hidden="1"/>
    <cellStyle name="20% - 강조색3 4" xfId="34834" hidden="1"/>
    <cellStyle name="20% - 강조색3 4" xfId="34874" hidden="1"/>
    <cellStyle name="20% - 강조색3 4" xfId="34914" hidden="1"/>
    <cellStyle name="20% - 강조색3 4" xfId="34954" hidden="1"/>
    <cellStyle name="20% - 강조색3 4" xfId="34994" hidden="1"/>
    <cellStyle name="20% - 강조색3 4" xfId="35034" hidden="1"/>
    <cellStyle name="20% - 강조색3 4" xfId="35074" hidden="1"/>
    <cellStyle name="20% - 강조색3 4" xfId="35114" hidden="1"/>
    <cellStyle name="20% - 강조색3 4" xfId="35154" hidden="1"/>
    <cellStyle name="20% - 강조색3 4" xfId="35238" hidden="1"/>
    <cellStyle name="20% - 강조색3 4" xfId="35279" hidden="1"/>
    <cellStyle name="20% - 강조색3 4" xfId="35321" hidden="1"/>
    <cellStyle name="20% - 강조색3 4" xfId="35363" hidden="1"/>
    <cellStyle name="20% - 강조색3 4" xfId="35405" hidden="1"/>
    <cellStyle name="20% - 강조색3 4" xfId="35447" hidden="1"/>
    <cellStyle name="20% - 강조색3 4" xfId="35489" hidden="1"/>
    <cellStyle name="20% - 강조색3 4" xfId="35531" hidden="1"/>
    <cellStyle name="20% - 강조색3 4" xfId="35573" hidden="1"/>
    <cellStyle name="20% - 강조색3 4" xfId="35615" hidden="1"/>
    <cellStyle name="20% - 강조색3 4" xfId="35657" hidden="1"/>
    <cellStyle name="20% - 강조색3 4" xfId="35699" hidden="1"/>
    <cellStyle name="20% - 강조색3 4" xfId="35195" hidden="1"/>
    <cellStyle name="20% - 강조색3 4" xfId="35878" hidden="1"/>
    <cellStyle name="20% - 강조색3 4" xfId="35918" hidden="1"/>
    <cellStyle name="20% - 강조색3 4" xfId="35958" hidden="1"/>
    <cellStyle name="20% - 강조색3 4" xfId="35998" hidden="1"/>
    <cellStyle name="20% - 강조색3 4" xfId="36038" hidden="1"/>
    <cellStyle name="20% - 강조색3 4" xfId="36078" hidden="1"/>
    <cellStyle name="20% - 강조색3 4" xfId="36118" hidden="1"/>
    <cellStyle name="20% - 강조색3 4" xfId="36158" hidden="1"/>
    <cellStyle name="20% - 강조색3 4" xfId="36198" hidden="1"/>
    <cellStyle name="20% - 강조색3 4" xfId="36238" hidden="1"/>
    <cellStyle name="20% - 강조색3 4" xfId="36278" hidden="1"/>
    <cellStyle name="20% - 강조색3 4" xfId="36318" hidden="1"/>
    <cellStyle name="20% - 강조색3 4" xfId="35770" hidden="1"/>
    <cellStyle name="20% - 강조색3 4" xfId="35718" hidden="1"/>
    <cellStyle name="20% - 강조색3 4" xfId="36360" hidden="1"/>
    <cellStyle name="20% - 강조색3 4" xfId="36402" hidden="1"/>
    <cellStyle name="20% - 강조색3 4" xfId="36444" hidden="1"/>
    <cellStyle name="20% - 강조색3 4" xfId="36486" hidden="1"/>
    <cellStyle name="20% - 강조색3 4" xfId="36528" hidden="1"/>
    <cellStyle name="20% - 강조색3 4" xfId="36570" hidden="1"/>
    <cellStyle name="20% - 강조색3 4" xfId="36612" hidden="1"/>
    <cellStyle name="20% - 강조색3 4" xfId="36654" hidden="1"/>
    <cellStyle name="20% - 강조색3 4" xfId="36696" hidden="1"/>
    <cellStyle name="20% - 강조색3 4" xfId="36738" hidden="1"/>
    <cellStyle name="20% - 강조색3 4" xfId="35823" hidden="1"/>
    <cellStyle name="20% - 강조색3 4" xfId="36766" hidden="1"/>
    <cellStyle name="20% - 강조색3 4" xfId="36806" hidden="1"/>
    <cellStyle name="20% - 강조색3 4" xfId="36846" hidden="1"/>
    <cellStyle name="20% - 강조색3 4" xfId="36886" hidden="1"/>
    <cellStyle name="20% - 강조색3 4" xfId="36926" hidden="1"/>
    <cellStyle name="20% - 강조색3 4" xfId="36966" hidden="1"/>
    <cellStyle name="20% - 강조색3 4" xfId="37006" hidden="1"/>
    <cellStyle name="20% - 강조색3 4" xfId="37046" hidden="1"/>
    <cellStyle name="20% - 강조색3 4" xfId="37086" hidden="1"/>
    <cellStyle name="20% - 강조색3 4" xfId="37126" hidden="1"/>
    <cellStyle name="20% - 강조색3 4" xfId="37166" hidden="1"/>
    <cellStyle name="20% - 강조색3 4" xfId="37206" hidden="1"/>
    <cellStyle name="20% - 강조색3 4" xfId="34633" hidden="1"/>
    <cellStyle name="20% - 강조색3 4" xfId="37257" hidden="1"/>
    <cellStyle name="20% - 강조색3 4" xfId="37298" hidden="1"/>
    <cellStyle name="20% - 강조색3 4" xfId="37338" hidden="1"/>
    <cellStyle name="20% - 강조색3 4" xfId="37378" hidden="1"/>
    <cellStyle name="20% - 강조색3 4" xfId="37418" hidden="1"/>
    <cellStyle name="20% - 강조색3 4" xfId="37458" hidden="1"/>
    <cellStyle name="20% - 강조색3 4" xfId="37498" hidden="1"/>
    <cellStyle name="20% - 강조색3 4" xfId="37538" hidden="1"/>
    <cellStyle name="20% - 강조색3 4" xfId="37578" hidden="1"/>
    <cellStyle name="20% - 강조색3 4" xfId="37618" hidden="1"/>
    <cellStyle name="20% - 강조색3 4" xfId="37658" hidden="1"/>
    <cellStyle name="20% - 강조색3 4" xfId="37742" hidden="1"/>
    <cellStyle name="20% - 강조색3 4" xfId="37783" hidden="1"/>
    <cellStyle name="20% - 강조색3 4" xfId="37825" hidden="1"/>
    <cellStyle name="20% - 강조색3 4" xfId="37867" hidden="1"/>
    <cellStyle name="20% - 강조색3 4" xfId="37909" hidden="1"/>
    <cellStyle name="20% - 강조색3 4" xfId="37951" hidden="1"/>
    <cellStyle name="20% - 강조색3 4" xfId="37993" hidden="1"/>
    <cellStyle name="20% - 강조색3 4" xfId="38035" hidden="1"/>
    <cellStyle name="20% - 강조색3 4" xfId="38077" hidden="1"/>
    <cellStyle name="20% - 강조색3 4" xfId="38119" hidden="1"/>
    <cellStyle name="20% - 강조색3 4" xfId="38161" hidden="1"/>
    <cellStyle name="20% - 강조색3 4" xfId="38203" hidden="1"/>
    <cellStyle name="20% - 강조색3 4" xfId="37699" hidden="1"/>
    <cellStyle name="20% - 강조색3 4" xfId="38382" hidden="1"/>
    <cellStyle name="20% - 강조색3 4" xfId="38422" hidden="1"/>
    <cellStyle name="20% - 강조색3 4" xfId="38462" hidden="1"/>
    <cellStyle name="20% - 강조색3 4" xfId="38502" hidden="1"/>
    <cellStyle name="20% - 강조색3 4" xfId="38542" hidden="1"/>
    <cellStyle name="20% - 강조색3 4" xfId="38582" hidden="1"/>
    <cellStyle name="20% - 강조색3 4" xfId="38622" hidden="1"/>
    <cellStyle name="20% - 강조색3 4" xfId="38662" hidden="1"/>
    <cellStyle name="20% - 강조색3 4" xfId="38702" hidden="1"/>
    <cellStyle name="20% - 강조색3 4" xfId="38742" hidden="1"/>
    <cellStyle name="20% - 강조색3 4" xfId="38782" hidden="1"/>
    <cellStyle name="20% - 강조색3 4" xfId="38822" hidden="1"/>
    <cellStyle name="20% - 강조색3 4" xfId="38274" hidden="1"/>
    <cellStyle name="20% - 강조색3 4" xfId="38222" hidden="1"/>
    <cellStyle name="20% - 강조색3 4" xfId="38864" hidden="1"/>
    <cellStyle name="20% - 강조색3 4" xfId="38906" hidden="1"/>
    <cellStyle name="20% - 강조색3 4" xfId="38948" hidden="1"/>
    <cellStyle name="20% - 강조색3 4" xfId="38990" hidden="1"/>
    <cellStyle name="20% - 강조색3 4" xfId="39032" hidden="1"/>
    <cellStyle name="20% - 강조색3 4" xfId="39074" hidden="1"/>
    <cellStyle name="20% - 강조색3 4" xfId="39116" hidden="1"/>
    <cellStyle name="20% - 강조색3 4" xfId="39158" hidden="1"/>
    <cellStyle name="20% - 강조색3 4" xfId="39200" hidden="1"/>
    <cellStyle name="20% - 강조색3 4" xfId="39242" hidden="1"/>
    <cellStyle name="20% - 강조색3 4" xfId="38327" hidden="1"/>
    <cellStyle name="20% - 강조색3 4" xfId="39270" hidden="1"/>
    <cellStyle name="20% - 강조색3 4" xfId="39310" hidden="1"/>
    <cellStyle name="20% - 강조색3 4" xfId="39350" hidden="1"/>
    <cellStyle name="20% - 강조색3 4" xfId="39390" hidden="1"/>
    <cellStyle name="20% - 강조색3 4" xfId="39430" hidden="1"/>
    <cellStyle name="20% - 강조색3 4" xfId="39470" hidden="1"/>
    <cellStyle name="20% - 강조색3 4" xfId="39510" hidden="1"/>
    <cellStyle name="20% - 강조색3 4" xfId="39550" hidden="1"/>
    <cellStyle name="20% - 강조색3 4" xfId="39590" hidden="1"/>
    <cellStyle name="20% - 강조색3 4" xfId="39630" hidden="1"/>
    <cellStyle name="20% - 강조색3 4" xfId="39670" hidden="1"/>
    <cellStyle name="20% - 강조색3 4" xfId="39710" hidden="1"/>
    <cellStyle name="20% - 강조색3 4" xfId="34683" hidden="1"/>
    <cellStyle name="20% - 강조색3 4" xfId="39760" hidden="1"/>
    <cellStyle name="20% - 강조색3 4" xfId="39800" hidden="1"/>
    <cellStyle name="20% - 강조색3 4" xfId="39840" hidden="1"/>
    <cellStyle name="20% - 강조색3 4" xfId="39880" hidden="1"/>
    <cellStyle name="20% - 강조색3 4" xfId="39920" hidden="1"/>
    <cellStyle name="20% - 강조색3 4" xfId="39960" hidden="1"/>
    <cellStyle name="20% - 강조색3 4" xfId="40000" hidden="1"/>
    <cellStyle name="20% - 강조색3 4" xfId="40040" hidden="1"/>
    <cellStyle name="20% - 강조색3 4" xfId="40080" hidden="1"/>
    <cellStyle name="20% - 강조색3 4" xfId="40120" hidden="1"/>
    <cellStyle name="20% - 강조색3 4" xfId="40160" hidden="1"/>
    <cellStyle name="20% - 강조색3 4" xfId="40244" hidden="1"/>
    <cellStyle name="20% - 강조색3 4" xfId="40285" hidden="1"/>
    <cellStyle name="20% - 강조색3 4" xfId="40327" hidden="1"/>
    <cellStyle name="20% - 강조색3 4" xfId="40369" hidden="1"/>
    <cellStyle name="20% - 강조색3 4" xfId="40411" hidden="1"/>
    <cellStyle name="20% - 강조색3 4" xfId="40453" hidden="1"/>
    <cellStyle name="20% - 강조색3 4" xfId="40495" hidden="1"/>
    <cellStyle name="20% - 강조색3 4" xfId="40537" hidden="1"/>
    <cellStyle name="20% - 강조색3 4" xfId="40579" hidden="1"/>
    <cellStyle name="20% - 강조색3 4" xfId="40621" hidden="1"/>
    <cellStyle name="20% - 강조색3 4" xfId="40663" hidden="1"/>
    <cellStyle name="20% - 강조색3 4" xfId="40705" hidden="1"/>
    <cellStyle name="20% - 강조색3 4" xfId="40201" hidden="1"/>
    <cellStyle name="20% - 강조색3 4" xfId="40884" hidden="1"/>
    <cellStyle name="20% - 강조색3 4" xfId="40924" hidden="1"/>
    <cellStyle name="20% - 강조색3 4" xfId="40964" hidden="1"/>
    <cellStyle name="20% - 강조색3 4" xfId="41004" hidden="1"/>
    <cellStyle name="20% - 강조색3 4" xfId="41044" hidden="1"/>
    <cellStyle name="20% - 강조색3 4" xfId="41084" hidden="1"/>
    <cellStyle name="20% - 강조색3 4" xfId="41124" hidden="1"/>
    <cellStyle name="20% - 강조색3 4" xfId="41164" hidden="1"/>
    <cellStyle name="20% - 강조색3 4" xfId="41204" hidden="1"/>
    <cellStyle name="20% - 강조색3 4" xfId="41244" hidden="1"/>
    <cellStyle name="20% - 강조색3 4" xfId="41284" hidden="1"/>
    <cellStyle name="20% - 강조색3 4" xfId="41324" hidden="1"/>
    <cellStyle name="20% - 강조색3 4" xfId="40776" hidden="1"/>
    <cellStyle name="20% - 강조색3 4" xfId="40724" hidden="1"/>
    <cellStyle name="20% - 강조색3 4" xfId="41366" hidden="1"/>
    <cellStyle name="20% - 강조색3 4" xfId="41408" hidden="1"/>
    <cellStyle name="20% - 강조색3 4" xfId="41450" hidden="1"/>
    <cellStyle name="20% - 강조색3 4" xfId="41492" hidden="1"/>
    <cellStyle name="20% - 강조색3 4" xfId="41534" hidden="1"/>
    <cellStyle name="20% - 강조색3 4" xfId="41576" hidden="1"/>
    <cellStyle name="20% - 강조색3 4" xfId="41618" hidden="1"/>
    <cellStyle name="20% - 강조색3 4" xfId="41660" hidden="1"/>
    <cellStyle name="20% - 강조색3 4" xfId="41702" hidden="1"/>
    <cellStyle name="20% - 강조색3 4" xfId="41744" hidden="1"/>
    <cellStyle name="20% - 강조색3 4" xfId="40829" hidden="1"/>
    <cellStyle name="20% - 강조색3 4" xfId="41772" hidden="1"/>
    <cellStyle name="20% - 강조색3 4" xfId="41812" hidden="1"/>
    <cellStyle name="20% - 강조색3 4" xfId="41852" hidden="1"/>
    <cellStyle name="20% - 강조색3 4" xfId="41892" hidden="1"/>
    <cellStyle name="20% - 강조색3 4" xfId="41932" hidden="1"/>
    <cellStyle name="20% - 강조색3 4" xfId="41972" hidden="1"/>
    <cellStyle name="20% - 강조색3 4" xfId="42012" hidden="1"/>
    <cellStyle name="20% - 강조색3 4" xfId="42052" hidden="1"/>
    <cellStyle name="20% - 강조색3 4" xfId="42092" hidden="1"/>
    <cellStyle name="20% - 강조색3 4" xfId="42132" hidden="1"/>
    <cellStyle name="20% - 강조색3 4" xfId="42172" hidden="1"/>
    <cellStyle name="20% - 강조색3 4" xfId="42212" hidden="1"/>
    <cellStyle name="20% - 강조색3 4" xfId="42255" hidden="1"/>
    <cellStyle name="20% - 강조색3 4" xfId="42295" hidden="1"/>
    <cellStyle name="20% - 강조색3 4" xfId="42335" hidden="1"/>
    <cellStyle name="20% - 강조색3 4" xfId="42375" hidden="1"/>
    <cellStyle name="20% - 강조색3 4" xfId="42415" hidden="1"/>
    <cellStyle name="20% - 강조색3 4" xfId="42455" hidden="1"/>
    <cellStyle name="20% - 강조색3 4" xfId="42495" hidden="1"/>
    <cellStyle name="20% - 강조색3 4" xfId="42535" hidden="1"/>
    <cellStyle name="20% - 강조색3 4" xfId="42575" hidden="1"/>
    <cellStyle name="20% - 강조색3 4" xfId="42615" hidden="1"/>
    <cellStyle name="20% - 강조색3 4" xfId="42655" hidden="1"/>
    <cellStyle name="20% - 강조색3 4" xfId="42695" hidden="1"/>
    <cellStyle name="20% - 강조색3 4" xfId="42779" hidden="1"/>
    <cellStyle name="20% - 강조색3 4" xfId="42820" hidden="1"/>
    <cellStyle name="20% - 강조색3 4" xfId="42862" hidden="1"/>
    <cellStyle name="20% - 강조색3 4" xfId="42904" hidden="1"/>
    <cellStyle name="20% - 강조색3 4" xfId="42946" hidden="1"/>
    <cellStyle name="20% - 강조색3 4" xfId="42988" hidden="1"/>
    <cellStyle name="20% - 강조색3 4" xfId="43030" hidden="1"/>
    <cellStyle name="20% - 강조색3 4" xfId="43072" hidden="1"/>
    <cellStyle name="20% - 강조색3 4" xfId="43114" hidden="1"/>
    <cellStyle name="20% - 강조색3 4" xfId="43156" hidden="1"/>
    <cellStyle name="20% - 강조색3 4" xfId="43198" hidden="1"/>
    <cellStyle name="20% - 강조색3 4" xfId="43240" hidden="1"/>
    <cellStyle name="20% - 강조색3 4" xfId="42736" hidden="1"/>
    <cellStyle name="20% - 강조색3 4" xfId="43419" hidden="1"/>
    <cellStyle name="20% - 강조색3 4" xfId="43459" hidden="1"/>
    <cellStyle name="20% - 강조색3 4" xfId="43499" hidden="1"/>
    <cellStyle name="20% - 강조색3 4" xfId="43539" hidden="1"/>
    <cellStyle name="20% - 강조색3 4" xfId="43579" hidden="1"/>
    <cellStyle name="20% - 강조색3 4" xfId="43619" hidden="1"/>
    <cellStyle name="20% - 강조색3 4" xfId="43659" hidden="1"/>
    <cellStyle name="20% - 강조색3 4" xfId="43699" hidden="1"/>
    <cellStyle name="20% - 강조색3 4" xfId="43739" hidden="1"/>
    <cellStyle name="20% - 강조색3 4" xfId="43779" hidden="1"/>
    <cellStyle name="20% - 강조색3 4" xfId="43819" hidden="1"/>
    <cellStyle name="20% - 강조색3 4" xfId="43859" hidden="1"/>
    <cellStyle name="20% - 강조색3 4" xfId="43311" hidden="1"/>
    <cellStyle name="20% - 강조색3 4" xfId="43259" hidden="1"/>
    <cellStyle name="20% - 강조색3 4" xfId="43901" hidden="1"/>
    <cellStyle name="20% - 강조색3 4" xfId="43943" hidden="1"/>
    <cellStyle name="20% - 강조색3 4" xfId="43985" hidden="1"/>
    <cellStyle name="20% - 강조색3 4" xfId="44027" hidden="1"/>
    <cellStyle name="20% - 강조색3 4" xfId="44069" hidden="1"/>
    <cellStyle name="20% - 강조색3 4" xfId="44111" hidden="1"/>
    <cellStyle name="20% - 강조색3 4" xfId="44153" hidden="1"/>
    <cellStyle name="20% - 강조색3 4" xfId="44195" hidden="1"/>
    <cellStyle name="20% - 강조색3 4" xfId="44237" hidden="1"/>
    <cellStyle name="20% - 강조색3 4" xfId="44279" hidden="1"/>
    <cellStyle name="20% - 강조색3 4" xfId="43364" hidden="1"/>
    <cellStyle name="20% - 강조색3 4" xfId="44307" hidden="1"/>
    <cellStyle name="20% - 강조색3 4" xfId="44347" hidden="1"/>
    <cellStyle name="20% - 강조색3 4" xfId="44387" hidden="1"/>
    <cellStyle name="20% - 강조색3 4" xfId="44427" hidden="1"/>
    <cellStyle name="20% - 강조색3 4" xfId="44467" hidden="1"/>
    <cellStyle name="20% - 강조색3 4" xfId="44507" hidden="1"/>
    <cellStyle name="20% - 강조색3 4" xfId="44547" hidden="1"/>
    <cellStyle name="20% - 강조색3 4" xfId="44587" hidden="1"/>
    <cellStyle name="20% - 강조색3 4" xfId="44627" hidden="1"/>
    <cellStyle name="20% - 강조색3 4" xfId="44667" hidden="1"/>
    <cellStyle name="20% - 강조색3 4" xfId="44707" hidden="1"/>
    <cellStyle name="20% - 강조색3 4" xfId="44747" hidden="1"/>
    <cellStyle name="20% - 강조색3 4" xfId="44843" hidden="1"/>
    <cellStyle name="20% - 강조색3 4" xfId="44883" hidden="1"/>
    <cellStyle name="20% - 강조색3 4" xfId="44925" hidden="1"/>
    <cellStyle name="20% - 강조색3 4" xfId="44966" hidden="1"/>
    <cellStyle name="20% - 강조색3 4" xfId="45006" hidden="1"/>
    <cellStyle name="20% - 강조색3 4" xfId="45046" hidden="1"/>
    <cellStyle name="20% - 강조색3 4" xfId="45086" hidden="1"/>
    <cellStyle name="20% - 강조색3 4" xfId="45126" hidden="1"/>
    <cellStyle name="20% - 강조색3 4" xfId="45166" hidden="1"/>
    <cellStyle name="20% - 강조색3 4" xfId="45206" hidden="1"/>
    <cellStyle name="20% - 강조색3 4" xfId="45246" hidden="1"/>
    <cellStyle name="20% - 강조색3 4" xfId="45286" hidden="1"/>
    <cellStyle name="20% - 강조색3 4" xfId="45370" hidden="1"/>
    <cellStyle name="20% - 강조색3 4" xfId="45411" hidden="1"/>
    <cellStyle name="20% - 강조색3 4" xfId="45453" hidden="1"/>
    <cellStyle name="20% - 강조색3 4" xfId="45495" hidden="1"/>
    <cellStyle name="20% - 강조색3 4" xfId="45537" hidden="1"/>
    <cellStyle name="20% - 강조색3 4" xfId="45579" hidden="1"/>
    <cellStyle name="20% - 강조색3 4" xfId="45621" hidden="1"/>
    <cellStyle name="20% - 강조색3 4" xfId="45663" hidden="1"/>
    <cellStyle name="20% - 강조색3 4" xfId="45705" hidden="1"/>
    <cellStyle name="20% - 강조색3 4" xfId="45747" hidden="1"/>
    <cellStyle name="20% - 강조색3 4" xfId="45789" hidden="1"/>
    <cellStyle name="20% - 강조색3 4" xfId="45831" hidden="1"/>
    <cellStyle name="20% - 강조색3 4" xfId="45327" hidden="1"/>
    <cellStyle name="20% - 강조색3 4" xfId="46010" hidden="1"/>
    <cellStyle name="20% - 강조색3 4" xfId="46050" hidden="1"/>
    <cellStyle name="20% - 강조색3 4" xfId="46090" hidden="1"/>
    <cellStyle name="20% - 강조색3 4" xfId="46130" hidden="1"/>
    <cellStyle name="20% - 강조색3 4" xfId="46170" hidden="1"/>
    <cellStyle name="20% - 강조색3 4" xfId="46210" hidden="1"/>
    <cellStyle name="20% - 강조색3 4" xfId="46250" hidden="1"/>
    <cellStyle name="20% - 강조색3 4" xfId="46290" hidden="1"/>
    <cellStyle name="20% - 강조색3 4" xfId="46330" hidden="1"/>
    <cellStyle name="20% - 강조색3 4" xfId="46370" hidden="1"/>
    <cellStyle name="20% - 강조색3 4" xfId="46410" hidden="1"/>
    <cellStyle name="20% - 강조색3 4" xfId="46450" hidden="1"/>
    <cellStyle name="20% - 강조색3 4" xfId="45902" hidden="1"/>
    <cellStyle name="20% - 강조색3 4" xfId="45850" hidden="1"/>
    <cellStyle name="20% - 강조색3 4" xfId="46492" hidden="1"/>
    <cellStyle name="20% - 강조색3 4" xfId="46534" hidden="1"/>
    <cellStyle name="20% - 강조색3 4" xfId="46576" hidden="1"/>
    <cellStyle name="20% - 강조색3 4" xfId="46618" hidden="1"/>
    <cellStyle name="20% - 강조색3 4" xfId="46660" hidden="1"/>
    <cellStyle name="20% - 강조색3 4" xfId="46702" hidden="1"/>
    <cellStyle name="20% - 강조색3 4" xfId="46744" hidden="1"/>
    <cellStyle name="20% - 강조색3 4" xfId="46786" hidden="1"/>
    <cellStyle name="20% - 강조색3 4" xfId="46828" hidden="1"/>
    <cellStyle name="20% - 강조색3 4" xfId="46870" hidden="1"/>
    <cellStyle name="20% - 강조색3 4" xfId="45955" hidden="1"/>
    <cellStyle name="20% - 강조색3 4" xfId="46898" hidden="1"/>
    <cellStyle name="20% - 강조색3 4" xfId="46938" hidden="1"/>
    <cellStyle name="20% - 강조색3 4" xfId="46978" hidden="1"/>
    <cellStyle name="20% - 강조색3 4" xfId="47018" hidden="1"/>
    <cellStyle name="20% - 강조색3 4" xfId="47058" hidden="1"/>
    <cellStyle name="20% - 강조색3 4" xfId="47098" hidden="1"/>
    <cellStyle name="20% - 강조색3 4" xfId="47138" hidden="1"/>
    <cellStyle name="20% - 강조색3 4" xfId="47178" hidden="1"/>
    <cellStyle name="20% - 강조색3 4" xfId="47218" hidden="1"/>
    <cellStyle name="20% - 강조색3 4" xfId="47258" hidden="1"/>
    <cellStyle name="20% - 강조색3 4" xfId="47298" hidden="1"/>
    <cellStyle name="20% - 강조색3 4" xfId="47338" hidden="1"/>
    <cellStyle name="20% - 강조색3 4" xfId="44763" hidden="1"/>
    <cellStyle name="20% - 강조색3 4" xfId="47389" hidden="1"/>
    <cellStyle name="20% - 강조색3 4" xfId="47429" hidden="1"/>
    <cellStyle name="20% - 강조색3 4" xfId="47469" hidden="1"/>
    <cellStyle name="20% - 강조색3 4" xfId="47509" hidden="1"/>
    <cellStyle name="20% - 강조색3 4" xfId="47549" hidden="1"/>
    <cellStyle name="20% - 강조색3 4" xfId="47589" hidden="1"/>
    <cellStyle name="20% - 강조색3 4" xfId="47629" hidden="1"/>
    <cellStyle name="20% - 강조색3 4" xfId="47669" hidden="1"/>
    <cellStyle name="20% - 강조색3 4" xfId="47709" hidden="1"/>
    <cellStyle name="20% - 강조색3 4" xfId="47749" hidden="1"/>
    <cellStyle name="20% - 강조색3 4" xfId="47789" hidden="1"/>
    <cellStyle name="20% - 강조색3 4" xfId="47873" hidden="1"/>
    <cellStyle name="20% - 강조색3 4" xfId="47914" hidden="1"/>
    <cellStyle name="20% - 강조색3 4" xfId="47956" hidden="1"/>
    <cellStyle name="20% - 강조색3 4" xfId="47998" hidden="1"/>
    <cellStyle name="20% - 강조색3 4" xfId="48040" hidden="1"/>
    <cellStyle name="20% - 강조색3 4" xfId="48082" hidden="1"/>
    <cellStyle name="20% - 강조색3 4" xfId="48124" hidden="1"/>
    <cellStyle name="20% - 강조색3 4" xfId="48166" hidden="1"/>
    <cellStyle name="20% - 강조색3 4" xfId="48208" hidden="1"/>
    <cellStyle name="20% - 강조색3 4" xfId="48250" hidden="1"/>
    <cellStyle name="20% - 강조색3 4" xfId="48292" hidden="1"/>
    <cellStyle name="20% - 강조색3 4" xfId="48334" hidden="1"/>
    <cellStyle name="20% - 강조색3 4" xfId="47830" hidden="1"/>
    <cellStyle name="20% - 강조색3 4" xfId="48513" hidden="1"/>
    <cellStyle name="20% - 강조색3 4" xfId="48553" hidden="1"/>
    <cellStyle name="20% - 강조색3 4" xfId="48593" hidden="1"/>
    <cellStyle name="20% - 강조색3 4" xfId="48633" hidden="1"/>
    <cellStyle name="20% - 강조색3 4" xfId="48673" hidden="1"/>
    <cellStyle name="20% - 강조색3 4" xfId="48713" hidden="1"/>
    <cellStyle name="20% - 강조색3 4" xfId="48753" hidden="1"/>
    <cellStyle name="20% - 강조색3 4" xfId="48793" hidden="1"/>
    <cellStyle name="20% - 강조색3 4" xfId="48833" hidden="1"/>
    <cellStyle name="20% - 강조색3 4" xfId="48873" hidden="1"/>
    <cellStyle name="20% - 강조색3 4" xfId="48913" hidden="1"/>
    <cellStyle name="20% - 강조색3 4" xfId="48953" hidden="1"/>
    <cellStyle name="20% - 강조색3 4" xfId="48405" hidden="1"/>
    <cellStyle name="20% - 강조색3 4" xfId="48353" hidden="1"/>
    <cellStyle name="20% - 강조색3 4" xfId="48995" hidden="1"/>
    <cellStyle name="20% - 강조색3 4" xfId="49037" hidden="1"/>
    <cellStyle name="20% - 강조색3 4" xfId="49079" hidden="1"/>
    <cellStyle name="20% - 강조색3 4" xfId="49121" hidden="1"/>
    <cellStyle name="20% - 강조색3 4" xfId="49163" hidden="1"/>
    <cellStyle name="20% - 강조색3 4" xfId="49205" hidden="1"/>
    <cellStyle name="20% - 강조색3 4" xfId="49247" hidden="1"/>
    <cellStyle name="20% - 강조색3 4" xfId="49289" hidden="1"/>
    <cellStyle name="20% - 강조색3 4" xfId="49331" hidden="1"/>
    <cellStyle name="20% - 강조색3 4" xfId="49373" hidden="1"/>
    <cellStyle name="20% - 강조색3 4" xfId="48458" hidden="1"/>
    <cellStyle name="20% - 강조색3 4" xfId="49401" hidden="1"/>
    <cellStyle name="20% - 강조색3 4" xfId="49441" hidden="1"/>
    <cellStyle name="20% - 강조색3 4" xfId="49481" hidden="1"/>
    <cellStyle name="20% - 강조색3 4" xfId="49521" hidden="1"/>
    <cellStyle name="20% - 강조색3 4" xfId="49561" hidden="1"/>
    <cellStyle name="20% - 강조색3 4" xfId="49601" hidden="1"/>
    <cellStyle name="20% - 강조색3 4" xfId="49641" hidden="1"/>
    <cellStyle name="20% - 강조색3 4" xfId="49681" hidden="1"/>
    <cellStyle name="20% - 강조색3 4" xfId="49721" hidden="1"/>
    <cellStyle name="20% - 강조색3 4" xfId="49761" hidden="1"/>
    <cellStyle name="20% - 강조색3 4" xfId="49801" hidden="1"/>
    <cellStyle name="20% - 강조색3 4" xfId="49841" hidden="1"/>
    <cellStyle name="20% - 강조색3 4" xfId="44812" hidden="1"/>
    <cellStyle name="20% - 강조색3 4" xfId="49891" hidden="1"/>
    <cellStyle name="20% - 강조색3 4" xfId="49931" hidden="1"/>
    <cellStyle name="20% - 강조색3 4" xfId="49971" hidden="1"/>
    <cellStyle name="20% - 강조색3 4" xfId="50011" hidden="1"/>
    <cellStyle name="20% - 강조색3 4" xfId="50051" hidden="1"/>
    <cellStyle name="20% - 강조색3 4" xfId="50091" hidden="1"/>
    <cellStyle name="20% - 강조색3 4" xfId="50131" hidden="1"/>
    <cellStyle name="20% - 강조색3 4" xfId="50171" hidden="1"/>
    <cellStyle name="20% - 강조색3 4" xfId="50211" hidden="1"/>
    <cellStyle name="20% - 강조색3 4" xfId="50251" hidden="1"/>
    <cellStyle name="20% - 강조색3 4" xfId="50291" hidden="1"/>
    <cellStyle name="20% - 강조색3 4" xfId="50375" hidden="1"/>
    <cellStyle name="20% - 강조색3 4" xfId="50416" hidden="1"/>
    <cellStyle name="20% - 강조색3 4" xfId="50458" hidden="1"/>
    <cellStyle name="20% - 강조색3 4" xfId="50500" hidden="1"/>
    <cellStyle name="20% - 강조색3 4" xfId="50542" hidden="1"/>
    <cellStyle name="20% - 강조색3 4" xfId="50584" hidden="1"/>
    <cellStyle name="20% - 강조색3 4" xfId="50626" hidden="1"/>
    <cellStyle name="20% - 강조색3 4" xfId="50668" hidden="1"/>
    <cellStyle name="20% - 강조색3 4" xfId="50710" hidden="1"/>
    <cellStyle name="20% - 강조색3 4" xfId="50752" hidden="1"/>
    <cellStyle name="20% - 강조색3 4" xfId="50794" hidden="1"/>
    <cellStyle name="20% - 강조색3 4" xfId="50836" hidden="1"/>
    <cellStyle name="20% - 강조색3 4" xfId="50332" hidden="1"/>
    <cellStyle name="20% - 강조색3 4" xfId="51015" hidden="1"/>
    <cellStyle name="20% - 강조색3 4" xfId="51055" hidden="1"/>
    <cellStyle name="20% - 강조색3 4" xfId="51095" hidden="1"/>
    <cellStyle name="20% - 강조색3 4" xfId="51135" hidden="1"/>
    <cellStyle name="20% - 강조색3 4" xfId="51175" hidden="1"/>
    <cellStyle name="20% - 강조색3 4" xfId="51215" hidden="1"/>
    <cellStyle name="20% - 강조색3 4" xfId="51255" hidden="1"/>
    <cellStyle name="20% - 강조색3 4" xfId="51295" hidden="1"/>
    <cellStyle name="20% - 강조색3 4" xfId="51335" hidden="1"/>
    <cellStyle name="20% - 강조색3 4" xfId="51375" hidden="1"/>
    <cellStyle name="20% - 강조색3 4" xfId="51415" hidden="1"/>
    <cellStyle name="20% - 강조색3 4" xfId="51455" hidden="1"/>
    <cellStyle name="20% - 강조색3 4" xfId="50907" hidden="1"/>
    <cellStyle name="20% - 강조색3 4" xfId="50855" hidden="1"/>
    <cellStyle name="20% - 강조색3 4" xfId="51497" hidden="1"/>
    <cellStyle name="20% - 강조색3 4" xfId="51539" hidden="1"/>
    <cellStyle name="20% - 강조색3 4" xfId="51581" hidden="1"/>
    <cellStyle name="20% - 강조색3 4" xfId="51623" hidden="1"/>
    <cellStyle name="20% - 강조색3 4" xfId="51665" hidden="1"/>
    <cellStyle name="20% - 강조색3 4" xfId="51707" hidden="1"/>
    <cellStyle name="20% - 강조색3 4" xfId="51749" hidden="1"/>
    <cellStyle name="20% - 강조색3 4" xfId="51791" hidden="1"/>
    <cellStyle name="20% - 강조색3 4" xfId="51833" hidden="1"/>
    <cellStyle name="20% - 강조색3 4" xfId="51875" hidden="1"/>
    <cellStyle name="20% - 강조색3 4" xfId="50960" hidden="1"/>
    <cellStyle name="20% - 강조색3 4" xfId="51903" hidden="1"/>
    <cellStyle name="20% - 강조색3 4" xfId="51943" hidden="1"/>
    <cellStyle name="20% - 강조색3 4" xfId="51983" hidden="1"/>
    <cellStyle name="20% - 강조색3 4" xfId="52023" hidden="1"/>
    <cellStyle name="20% - 강조색3 4" xfId="52063" hidden="1"/>
    <cellStyle name="20% - 강조색3 4" xfId="52103" hidden="1"/>
    <cellStyle name="20% - 강조색3 4" xfId="52143" hidden="1"/>
    <cellStyle name="20% - 강조색3 4" xfId="52183" hidden="1"/>
    <cellStyle name="20% - 강조색3 4" xfId="52223" hidden="1"/>
    <cellStyle name="20% - 강조색3 4" xfId="52263" hidden="1"/>
    <cellStyle name="20% - 강조색3 4" xfId="52303" hidden="1"/>
    <cellStyle name="20% - 강조색3 4" xfId="52343" hidden="1"/>
    <cellStyle name="20% - 강조색3 4 2" xfId="961"/>
    <cellStyle name="20% - 강조색3 4 3" xfId="962"/>
    <cellStyle name="20% - 강조색3 4 4" xfId="963"/>
    <cellStyle name="20% - 강조색3 4 5" xfId="964"/>
    <cellStyle name="20% - 강조색3 40" xfId="965"/>
    <cellStyle name="20% - 강조색3 41" xfId="966"/>
    <cellStyle name="20% - 강조색3 42" xfId="967"/>
    <cellStyle name="20% - 강조색3 43" xfId="968"/>
    <cellStyle name="20% - 강조색3 44" xfId="969"/>
    <cellStyle name="20% - 강조색3 45" xfId="970"/>
    <cellStyle name="20% - 강조색3 46" xfId="971"/>
    <cellStyle name="20% - 강조색3 47" xfId="972"/>
    <cellStyle name="20% - 강조색3 48" xfId="973"/>
    <cellStyle name="20% - 강조색3 49" xfId="974"/>
    <cellStyle name="20% - 강조색3 5" xfId="975"/>
    <cellStyle name="20% - 강조색3 50" xfId="976"/>
    <cellStyle name="20% - 강조색3 51" xfId="977"/>
    <cellStyle name="20% - 강조색3 52" xfId="978"/>
    <cellStyle name="20% - 강조색3 6" xfId="979"/>
    <cellStyle name="20% - 강조색3 7" xfId="980"/>
    <cellStyle name="20% - 강조색3 8" xfId="981"/>
    <cellStyle name="20% - 강조색3 9" xfId="982"/>
    <cellStyle name="20% - 강조색4 10" xfId="983"/>
    <cellStyle name="20% - 강조색4 11" xfId="984"/>
    <cellStyle name="20% - 강조색4 12" xfId="985"/>
    <cellStyle name="20% - 강조색4 13" xfId="986"/>
    <cellStyle name="20% - 강조색4 14" xfId="987"/>
    <cellStyle name="20% - 강조색4 15" xfId="988"/>
    <cellStyle name="20% - 강조색4 16" xfId="989"/>
    <cellStyle name="20% - 강조색4 17" xfId="990"/>
    <cellStyle name="20% - 강조색4 18" xfId="991"/>
    <cellStyle name="20% - 강조색4 19" xfId="992"/>
    <cellStyle name="20% - 강조색4 2" xfId="107"/>
    <cellStyle name="20% - 강조색4 2 10" xfId="993"/>
    <cellStyle name="20% - 강조색4 2 100" xfId="994"/>
    <cellStyle name="20% - 강조색4 2 101" xfId="995"/>
    <cellStyle name="20% - 강조색4 2 102" xfId="996"/>
    <cellStyle name="20% - 강조색4 2 103" xfId="997"/>
    <cellStyle name="20% - 강조색4 2 104" xfId="998"/>
    <cellStyle name="20% - 강조색4 2 105" xfId="999"/>
    <cellStyle name="20% - 강조색4 2 106" xfId="1000"/>
    <cellStyle name="20% - 강조색4 2 107" xfId="1001"/>
    <cellStyle name="20% - 강조색4 2 108" xfId="1002"/>
    <cellStyle name="20% - 강조색4 2 109" xfId="1003"/>
    <cellStyle name="20% - 강조색4 2 11" xfId="1004"/>
    <cellStyle name="20% - 강조색4 2 110" xfId="1005"/>
    <cellStyle name="20% - 강조색4 2 111" xfId="1006"/>
    <cellStyle name="20% - 강조색4 2 112" xfId="1007"/>
    <cellStyle name="20% - 강조색4 2 12" xfId="1008"/>
    <cellStyle name="20% - 강조색4 2 13" xfId="1009"/>
    <cellStyle name="20% - 강조색4 2 14" xfId="1010"/>
    <cellStyle name="20% - 강조색4 2 15" xfId="1011"/>
    <cellStyle name="20% - 강조색4 2 16" xfId="1012"/>
    <cellStyle name="20% - 강조색4 2 17" xfId="1013"/>
    <cellStyle name="20% - 강조색4 2 18" xfId="1014"/>
    <cellStyle name="20% - 강조색4 2 19" xfId="1015"/>
    <cellStyle name="20% - 강조색4 2 2" xfId="108"/>
    <cellStyle name="20% - 강조색4 2 2 10" xfId="1016"/>
    <cellStyle name="20% - 강조색4 2 2 11" xfId="1017"/>
    <cellStyle name="20% - 강조색4 2 2 12" xfId="1018"/>
    <cellStyle name="20% - 강조색4 2 2 13" xfId="1019"/>
    <cellStyle name="20% - 강조색4 2 2 14" xfId="1020"/>
    <cellStyle name="20% - 강조색4 2 2 15" xfId="1021"/>
    <cellStyle name="20% - 강조색4 2 2 2" xfId="1022"/>
    <cellStyle name="20% - 강조색4 2 2 2 2" xfId="1023"/>
    <cellStyle name="20% - 강조색4 2 2 2 3" xfId="1024"/>
    <cellStyle name="20% - 강조색4 2 2 2 4" xfId="1025"/>
    <cellStyle name="20% - 강조색4 2 2 2 5" xfId="1026"/>
    <cellStyle name="20% - 강조색4 2 2 3" xfId="1027"/>
    <cellStyle name="20% - 강조색4 2 2 4" xfId="1028"/>
    <cellStyle name="20% - 강조색4 2 2 5" xfId="1029"/>
    <cellStyle name="20% - 강조색4 2 2 6" xfId="1030"/>
    <cellStyle name="20% - 강조색4 2 2 7" xfId="1031"/>
    <cellStyle name="20% - 강조색4 2 2 8" xfId="1032"/>
    <cellStyle name="20% - 강조색4 2 2 9" xfId="1033"/>
    <cellStyle name="20% - 강조색4 2 20" xfId="1034"/>
    <cellStyle name="20% - 강조색4 2 21" xfId="1035"/>
    <cellStyle name="20% - 강조색4 2 22" xfId="1036"/>
    <cellStyle name="20% - 강조색4 2 23" xfId="1037"/>
    <cellStyle name="20% - 강조색4 2 24" xfId="1038"/>
    <cellStyle name="20% - 강조색4 2 25" xfId="1039"/>
    <cellStyle name="20% - 강조색4 2 26" xfId="1040"/>
    <cellStyle name="20% - 강조색4 2 27" xfId="1041"/>
    <cellStyle name="20% - 강조색4 2 28" xfId="1042"/>
    <cellStyle name="20% - 강조색4 2 29" xfId="1043"/>
    <cellStyle name="20% - 강조색4 2 3" xfId="1044"/>
    <cellStyle name="20% - 강조색4 2 3 2" xfId="1045"/>
    <cellStyle name="20% - 강조색4 2 3 3" xfId="1046"/>
    <cellStyle name="20% - 강조색4 2 3 4" xfId="1047"/>
    <cellStyle name="20% - 강조색4 2 3 5" xfId="1048"/>
    <cellStyle name="20% - 강조색4 2 30" xfId="1049"/>
    <cellStyle name="20% - 강조색4 2 31" xfId="1050"/>
    <cellStyle name="20% - 강조색4 2 32" xfId="1051"/>
    <cellStyle name="20% - 강조색4 2 33" xfId="1052"/>
    <cellStyle name="20% - 강조색4 2 34" xfId="1053"/>
    <cellStyle name="20% - 강조색4 2 35" xfId="1054"/>
    <cellStyle name="20% - 강조색4 2 36" xfId="1055"/>
    <cellStyle name="20% - 강조색4 2 37" xfId="1056"/>
    <cellStyle name="20% - 강조색4 2 38" xfId="1057"/>
    <cellStyle name="20% - 강조색4 2 39" xfId="1058"/>
    <cellStyle name="20% - 강조색4 2 4" xfId="1059"/>
    <cellStyle name="20% - 강조색4 2 40" xfId="1060"/>
    <cellStyle name="20% - 강조색4 2 41" xfId="1061"/>
    <cellStyle name="20% - 강조색4 2 42" xfId="1062"/>
    <cellStyle name="20% - 강조색4 2 43" xfId="1063"/>
    <cellStyle name="20% - 강조색4 2 44" xfId="1064"/>
    <cellStyle name="20% - 강조색4 2 45" xfId="1065"/>
    <cellStyle name="20% - 강조색4 2 46" xfId="1066"/>
    <cellStyle name="20% - 강조색4 2 47" xfId="1067"/>
    <cellStyle name="20% - 강조색4 2 48" xfId="1068"/>
    <cellStyle name="20% - 강조색4 2 49" xfId="1069"/>
    <cellStyle name="20% - 강조색4 2 5" xfId="1070"/>
    <cellStyle name="20% - 강조색4 2 50" xfId="1071"/>
    <cellStyle name="20% - 강조색4 2 51" xfId="1072"/>
    <cellStyle name="20% - 강조색4 2 52" xfId="1073"/>
    <cellStyle name="20% - 강조색4 2 53" xfId="1074"/>
    <cellStyle name="20% - 강조색4 2 54" xfId="1075"/>
    <cellStyle name="20% - 강조색4 2 55" xfId="1076"/>
    <cellStyle name="20% - 강조색4 2 56" xfId="1077"/>
    <cellStyle name="20% - 강조색4 2 57" xfId="1078"/>
    <cellStyle name="20% - 강조색4 2 58" xfId="1079"/>
    <cellStyle name="20% - 강조색4 2 59" xfId="1080"/>
    <cellStyle name="20% - 강조색4 2 6" xfId="1081"/>
    <cellStyle name="20% - 강조색4 2 60" xfId="1082"/>
    <cellStyle name="20% - 강조색4 2 61" xfId="1083"/>
    <cellStyle name="20% - 강조색4 2 62" xfId="1084"/>
    <cellStyle name="20% - 강조색4 2 63" xfId="1085"/>
    <cellStyle name="20% - 강조색4 2 64" xfId="1086"/>
    <cellStyle name="20% - 강조색4 2 65" xfId="1087"/>
    <cellStyle name="20% - 강조색4 2 66" xfId="1088"/>
    <cellStyle name="20% - 강조색4 2 67" xfId="1089"/>
    <cellStyle name="20% - 강조색4 2 68" xfId="1090"/>
    <cellStyle name="20% - 강조색4 2 69" xfId="1091"/>
    <cellStyle name="20% - 강조색4 2 7" xfId="1092"/>
    <cellStyle name="20% - 강조색4 2 70" xfId="1093"/>
    <cellStyle name="20% - 강조색4 2 71" xfId="1094"/>
    <cellStyle name="20% - 강조색4 2 72" xfId="1095"/>
    <cellStyle name="20% - 강조색4 2 73" xfId="1096"/>
    <cellStyle name="20% - 강조색4 2 74" xfId="1097"/>
    <cellStyle name="20% - 강조색4 2 75" xfId="1098"/>
    <cellStyle name="20% - 강조색4 2 76" xfId="1099"/>
    <cellStyle name="20% - 강조색4 2 77" xfId="1100"/>
    <cellStyle name="20% - 강조색4 2 78" xfId="1101"/>
    <cellStyle name="20% - 강조색4 2 79" xfId="1102"/>
    <cellStyle name="20% - 강조색4 2 8" xfId="1103"/>
    <cellStyle name="20% - 강조색4 2 80" xfId="1104"/>
    <cellStyle name="20% - 강조색4 2 81" xfId="1105"/>
    <cellStyle name="20% - 강조색4 2 82" xfId="1106"/>
    <cellStyle name="20% - 강조색4 2 83" xfId="1107"/>
    <cellStyle name="20% - 강조색4 2 84" xfId="1108"/>
    <cellStyle name="20% - 강조색4 2 85" xfId="1109"/>
    <cellStyle name="20% - 강조색4 2 86" xfId="1110"/>
    <cellStyle name="20% - 강조색4 2 87" xfId="1111"/>
    <cellStyle name="20% - 강조색4 2 88" xfId="1112"/>
    <cellStyle name="20% - 강조색4 2 89" xfId="1113"/>
    <cellStyle name="20% - 강조색4 2 9" xfId="1114"/>
    <cellStyle name="20% - 강조색4 2 90" xfId="1115"/>
    <cellStyle name="20% - 강조색4 2 91" xfId="1116"/>
    <cellStyle name="20% - 강조색4 2 92" xfId="1117"/>
    <cellStyle name="20% - 강조색4 2 93" xfId="1118"/>
    <cellStyle name="20% - 강조색4 2 94" xfId="1119"/>
    <cellStyle name="20% - 강조색4 2 95" xfId="1120"/>
    <cellStyle name="20% - 강조색4 2 96" xfId="1121"/>
    <cellStyle name="20% - 강조색4 2 97" xfId="1122"/>
    <cellStyle name="20% - 강조색4 2 98" xfId="1123"/>
    <cellStyle name="20% - 강조색4 2 99" xfId="1124"/>
    <cellStyle name="20% - 강조색4 20" xfId="1125"/>
    <cellStyle name="20% - 강조색4 21" xfId="1126"/>
    <cellStyle name="20% - 강조색4 22" xfId="1127"/>
    <cellStyle name="20% - 강조색4 23" xfId="1128"/>
    <cellStyle name="20% - 강조색4 24" xfId="1129"/>
    <cellStyle name="20% - 강조색4 25" xfId="1130"/>
    <cellStyle name="20% - 강조색4 26" xfId="1131"/>
    <cellStyle name="20% - 강조색4 27" xfId="1132"/>
    <cellStyle name="20% - 강조색4 28" xfId="1133"/>
    <cellStyle name="20% - 강조색4 29" xfId="1134"/>
    <cellStyle name="20% - 강조색4 3" xfId="109"/>
    <cellStyle name="20% - 강조색4 30" xfId="1135"/>
    <cellStyle name="20% - 강조색4 31" xfId="1136"/>
    <cellStyle name="20% - 강조색4 32" xfId="1137"/>
    <cellStyle name="20% - 강조색4 33" xfId="1138"/>
    <cellStyle name="20% - 강조색4 34" xfId="1139"/>
    <cellStyle name="20% - 강조색4 35" xfId="1140"/>
    <cellStyle name="20% - 강조색4 36" xfId="1141"/>
    <cellStyle name="20% - 강조색4 37" xfId="1142"/>
    <cellStyle name="20% - 강조색4 38" xfId="1143"/>
    <cellStyle name="20% - 강조색4 39" xfId="1144"/>
    <cellStyle name="20% - 강조색4 4" xfId="11737" hidden="1"/>
    <cellStyle name="20% - 강조색4 4" xfId="11783" hidden="1"/>
    <cellStyle name="20% - 강조색4 4" xfId="11829" hidden="1"/>
    <cellStyle name="20% - 강조색4 4" xfId="11875" hidden="1"/>
    <cellStyle name="20% - 강조색4 4" xfId="11921" hidden="1"/>
    <cellStyle name="20% - 강조색4 4" xfId="11967" hidden="1"/>
    <cellStyle name="20% - 강조색4 4" xfId="12013" hidden="1"/>
    <cellStyle name="20% - 강조색4 4" xfId="12059" hidden="1"/>
    <cellStyle name="20% - 강조색4 4" xfId="12105" hidden="1"/>
    <cellStyle name="20% - 강조색4 4" xfId="12151" hidden="1"/>
    <cellStyle name="20% - 강조색4 4" xfId="12197" hidden="1"/>
    <cellStyle name="20% - 강조색4 4" xfId="12243" hidden="1"/>
    <cellStyle name="20% - 강조색4 4" xfId="12333" hidden="1"/>
    <cellStyle name="20% - 강조색4 4" xfId="12374" hidden="1"/>
    <cellStyle name="20% - 강조색4 4" xfId="12416" hidden="1"/>
    <cellStyle name="20% - 강조색4 4" xfId="12458" hidden="1"/>
    <cellStyle name="20% - 강조색4 4" xfId="12500" hidden="1"/>
    <cellStyle name="20% - 강조색4 4" xfId="12542" hidden="1"/>
    <cellStyle name="20% - 강조색4 4" xfId="12584" hidden="1"/>
    <cellStyle name="20% - 강조색4 4" xfId="12626" hidden="1"/>
    <cellStyle name="20% - 강조색4 4" xfId="12668" hidden="1"/>
    <cellStyle name="20% - 강조색4 4" xfId="12710" hidden="1"/>
    <cellStyle name="20% - 강조색4 4" xfId="12752" hidden="1"/>
    <cellStyle name="20% - 강조색4 4" xfId="12794" hidden="1"/>
    <cellStyle name="20% - 강조색4 4" xfId="12288" hidden="1"/>
    <cellStyle name="20% - 강조색4 4" xfId="12976" hidden="1"/>
    <cellStyle name="20% - 강조색4 4" xfId="13016" hidden="1"/>
    <cellStyle name="20% - 강조색4 4" xfId="13056" hidden="1"/>
    <cellStyle name="20% - 강조색4 4" xfId="13096" hidden="1"/>
    <cellStyle name="20% - 강조색4 4" xfId="13136" hidden="1"/>
    <cellStyle name="20% - 강조색4 4" xfId="13176" hidden="1"/>
    <cellStyle name="20% - 강조색4 4" xfId="13216" hidden="1"/>
    <cellStyle name="20% - 강조색4 4" xfId="13256" hidden="1"/>
    <cellStyle name="20% - 강조색4 4" xfId="13296" hidden="1"/>
    <cellStyle name="20% - 강조색4 4" xfId="13336" hidden="1"/>
    <cellStyle name="20% - 강조색4 4" xfId="13376" hidden="1"/>
    <cellStyle name="20% - 강조색4 4" xfId="13416" hidden="1"/>
    <cellStyle name="20% - 강조색4 4" xfId="12858" hidden="1"/>
    <cellStyle name="20% - 강조색4 4" xfId="12809" hidden="1"/>
    <cellStyle name="20% - 강조색4 4" xfId="13458" hidden="1"/>
    <cellStyle name="20% - 강조색4 4" xfId="13500" hidden="1"/>
    <cellStyle name="20% - 강조색4 4" xfId="13542" hidden="1"/>
    <cellStyle name="20% - 강조색4 4" xfId="13584" hidden="1"/>
    <cellStyle name="20% - 강조색4 4" xfId="13626" hidden="1"/>
    <cellStyle name="20% - 강조색4 4" xfId="13668" hidden="1"/>
    <cellStyle name="20% - 강조색4 4" xfId="13710" hidden="1"/>
    <cellStyle name="20% - 강조색4 4" xfId="13752" hidden="1"/>
    <cellStyle name="20% - 강조색4 4" xfId="13794" hidden="1"/>
    <cellStyle name="20% - 강조색4 4" xfId="13836" hidden="1"/>
    <cellStyle name="20% - 강조색4 4" xfId="12912" hidden="1"/>
    <cellStyle name="20% - 강조색4 4" xfId="13864" hidden="1"/>
    <cellStyle name="20% - 강조색4 4" xfId="13904" hidden="1"/>
    <cellStyle name="20% - 강조색4 4" xfId="13944" hidden="1"/>
    <cellStyle name="20% - 강조색4 4" xfId="13984" hidden="1"/>
    <cellStyle name="20% - 강조색4 4" xfId="14024" hidden="1"/>
    <cellStyle name="20% - 강조색4 4" xfId="14064" hidden="1"/>
    <cellStyle name="20% - 강조색4 4" xfId="14104" hidden="1"/>
    <cellStyle name="20% - 강조색4 4" xfId="14144" hidden="1"/>
    <cellStyle name="20% - 강조색4 4" xfId="14184" hidden="1"/>
    <cellStyle name="20% - 강조색4 4" xfId="14224" hidden="1"/>
    <cellStyle name="20% - 강조색4 4" xfId="14264" hidden="1"/>
    <cellStyle name="20% - 강조색4 4" xfId="14304" hidden="1"/>
    <cellStyle name="20% - 강조색4 4" xfId="14410" hidden="1"/>
    <cellStyle name="20% - 강조색4 4" xfId="14450" hidden="1"/>
    <cellStyle name="20% - 강조색4 4" xfId="14490" hidden="1"/>
    <cellStyle name="20% - 강조색4 4" xfId="14530" hidden="1"/>
    <cellStyle name="20% - 강조색4 4" xfId="14570" hidden="1"/>
    <cellStyle name="20% - 강조색4 4" xfId="14610" hidden="1"/>
    <cellStyle name="20% - 강조색4 4" xfId="14650" hidden="1"/>
    <cellStyle name="20% - 강조색4 4" xfId="14690" hidden="1"/>
    <cellStyle name="20% - 강조색4 4" xfId="14730" hidden="1"/>
    <cellStyle name="20% - 강조색4 4" xfId="14770" hidden="1"/>
    <cellStyle name="20% - 강조색4 4" xfId="14810" hidden="1"/>
    <cellStyle name="20% - 강조색4 4" xfId="14850" hidden="1"/>
    <cellStyle name="20% - 강조색4 4" xfId="14934" hidden="1"/>
    <cellStyle name="20% - 강조색4 4" xfId="14975" hidden="1"/>
    <cellStyle name="20% - 강조색4 4" xfId="15017" hidden="1"/>
    <cellStyle name="20% - 강조색4 4" xfId="15059" hidden="1"/>
    <cellStyle name="20% - 강조색4 4" xfId="15101" hidden="1"/>
    <cellStyle name="20% - 강조색4 4" xfId="15143" hidden="1"/>
    <cellStyle name="20% - 강조색4 4" xfId="15185" hidden="1"/>
    <cellStyle name="20% - 강조색4 4" xfId="15227" hidden="1"/>
    <cellStyle name="20% - 강조색4 4" xfId="15269" hidden="1"/>
    <cellStyle name="20% - 강조색4 4" xfId="15311" hidden="1"/>
    <cellStyle name="20% - 강조색4 4" xfId="15353" hidden="1"/>
    <cellStyle name="20% - 강조색4 4" xfId="15395" hidden="1"/>
    <cellStyle name="20% - 강조색4 4" xfId="14891" hidden="1"/>
    <cellStyle name="20% - 강조색4 4" xfId="15574" hidden="1"/>
    <cellStyle name="20% - 강조색4 4" xfId="15614" hidden="1"/>
    <cellStyle name="20% - 강조색4 4" xfId="15654" hidden="1"/>
    <cellStyle name="20% - 강조색4 4" xfId="15694" hidden="1"/>
    <cellStyle name="20% - 강조색4 4" xfId="15734" hidden="1"/>
    <cellStyle name="20% - 강조색4 4" xfId="15774" hidden="1"/>
    <cellStyle name="20% - 강조색4 4" xfId="15814" hidden="1"/>
    <cellStyle name="20% - 강조색4 4" xfId="15854" hidden="1"/>
    <cellStyle name="20% - 강조색4 4" xfId="15894" hidden="1"/>
    <cellStyle name="20% - 강조색4 4" xfId="15934" hidden="1"/>
    <cellStyle name="20% - 강조색4 4" xfId="15974" hidden="1"/>
    <cellStyle name="20% - 강조색4 4" xfId="16014" hidden="1"/>
    <cellStyle name="20% - 강조색4 4" xfId="15458" hidden="1"/>
    <cellStyle name="20% - 강조색4 4" xfId="15409" hidden="1"/>
    <cellStyle name="20% - 강조색4 4" xfId="16056" hidden="1"/>
    <cellStyle name="20% - 강조색4 4" xfId="16098" hidden="1"/>
    <cellStyle name="20% - 강조색4 4" xfId="16140" hidden="1"/>
    <cellStyle name="20% - 강조색4 4" xfId="16182" hidden="1"/>
    <cellStyle name="20% - 강조색4 4" xfId="16224" hidden="1"/>
    <cellStyle name="20% - 강조색4 4" xfId="16266" hidden="1"/>
    <cellStyle name="20% - 강조색4 4" xfId="16308" hidden="1"/>
    <cellStyle name="20% - 강조색4 4" xfId="16350" hidden="1"/>
    <cellStyle name="20% - 강조색4 4" xfId="16392" hidden="1"/>
    <cellStyle name="20% - 강조색4 4" xfId="16434" hidden="1"/>
    <cellStyle name="20% - 강조색4 4" xfId="15511" hidden="1"/>
    <cellStyle name="20% - 강조색4 4" xfId="16462" hidden="1"/>
    <cellStyle name="20% - 강조색4 4" xfId="16502" hidden="1"/>
    <cellStyle name="20% - 강조색4 4" xfId="16542" hidden="1"/>
    <cellStyle name="20% - 강조색4 4" xfId="16582" hidden="1"/>
    <cellStyle name="20% - 강조색4 4" xfId="16622" hidden="1"/>
    <cellStyle name="20% - 강조색4 4" xfId="16662" hidden="1"/>
    <cellStyle name="20% - 강조색4 4" xfId="16702" hidden="1"/>
    <cellStyle name="20% - 강조색4 4" xfId="16742" hidden="1"/>
    <cellStyle name="20% - 강조색4 4" xfId="16782" hidden="1"/>
    <cellStyle name="20% - 강조색4 4" xfId="16822" hidden="1"/>
    <cellStyle name="20% - 강조색4 4" xfId="16862" hidden="1"/>
    <cellStyle name="20% - 강조색4 4" xfId="16902" hidden="1"/>
    <cellStyle name="20% - 강조색4 4" xfId="16913" hidden="1"/>
    <cellStyle name="20% - 강조색4 4" xfId="16953" hidden="1"/>
    <cellStyle name="20% - 강조색4 4" xfId="16994" hidden="1"/>
    <cellStyle name="20% - 강조색4 4" xfId="17034" hidden="1"/>
    <cellStyle name="20% - 강조색4 4" xfId="17074" hidden="1"/>
    <cellStyle name="20% - 강조색4 4" xfId="17114" hidden="1"/>
    <cellStyle name="20% - 강조색4 4" xfId="17154" hidden="1"/>
    <cellStyle name="20% - 강조색4 4" xfId="17194" hidden="1"/>
    <cellStyle name="20% - 강조색4 4" xfId="17234" hidden="1"/>
    <cellStyle name="20% - 강조색4 4" xfId="17274" hidden="1"/>
    <cellStyle name="20% - 강조색4 4" xfId="17314" hidden="1"/>
    <cellStyle name="20% - 강조색4 4" xfId="17354" hidden="1"/>
    <cellStyle name="20% - 강조색4 4" xfId="17438" hidden="1"/>
    <cellStyle name="20% - 강조색4 4" xfId="17479" hidden="1"/>
    <cellStyle name="20% - 강조색4 4" xfId="17521" hidden="1"/>
    <cellStyle name="20% - 강조색4 4" xfId="17563" hidden="1"/>
    <cellStyle name="20% - 강조색4 4" xfId="17605" hidden="1"/>
    <cellStyle name="20% - 강조색4 4" xfId="17647" hidden="1"/>
    <cellStyle name="20% - 강조색4 4" xfId="17689" hidden="1"/>
    <cellStyle name="20% - 강조색4 4" xfId="17731" hidden="1"/>
    <cellStyle name="20% - 강조색4 4" xfId="17773" hidden="1"/>
    <cellStyle name="20% - 강조색4 4" xfId="17815" hidden="1"/>
    <cellStyle name="20% - 강조색4 4" xfId="17857" hidden="1"/>
    <cellStyle name="20% - 강조색4 4" xfId="17899" hidden="1"/>
    <cellStyle name="20% - 강조색4 4" xfId="17395" hidden="1"/>
    <cellStyle name="20% - 강조색4 4" xfId="18078" hidden="1"/>
    <cellStyle name="20% - 강조색4 4" xfId="18118" hidden="1"/>
    <cellStyle name="20% - 강조색4 4" xfId="18158" hidden="1"/>
    <cellStyle name="20% - 강조색4 4" xfId="18198" hidden="1"/>
    <cellStyle name="20% - 강조색4 4" xfId="18238" hidden="1"/>
    <cellStyle name="20% - 강조색4 4" xfId="18278" hidden="1"/>
    <cellStyle name="20% - 강조색4 4" xfId="18318" hidden="1"/>
    <cellStyle name="20% - 강조색4 4" xfId="18358" hidden="1"/>
    <cellStyle name="20% - 강조색4 4" xfId="18398" hidden="1"/>
    <cellStyle name="20% - 강조색4 4" xfId="18438" hidden="1"/>
    <cellStyle name="20% - 강조색4 4" xfId="18478" hidden="1"/>
    <cellStyle name="20% - 강조색4 4" xfId="18518" hidden="1"/>
    <cellStyle name="20% - 강조색4 4" xfId="17962" hidden="1"/>
    <cellStyle name="20% - 강조색4 4" xfId="17913" hidden="1"/>
    <cellStyle name="20% - 강조색4 4" xfId="18560" hidden="1"/>
    <cellStyle name="20% - 강조색4 4" xfId="18602" hidden="1"/>
    <cellStyle name="20% - 강조색4 4" xfId="18644" hidden="1"/>
    <cellStyle name="20% - 강조색4 4" xfId="18686" hidden="1"/>
    <cellStyle name="20% - 강조색4 4" xfId="18728" hidden="1"/>
    <cellStyle name="20% - 강조색4 4" xfId="18770" hidden="1"/>
    <cellStyle name="20% - 강조색4 4" xfId="18812" hidden="1"/>
    <cellStyle name="20% - 강조색4 4" xfId="18854" hidden="1"/>
    <cellStyle name="20% - 강조색4 4" xfId="18896" hidden="1"/>
    <cellStyle name="20% - 강조색4 4" xfId="18938" hidden="1"/>
    <cellStyle name="20% - 강조색4 4" xfId="18015" hidden="1"/>
    <cellStyle name="20% - 강조색4 4" xfId="18966" hidden="1"/>
    <cellStyle name="20% - 강조색4 4" xfId="19006" hidden="1"/>
    <cellStyle name="20% - 강조색4 4" xfId="19046" hidden="1"/>
    <cellStyle name="20% - 강조색4 4" xfId="19086" hidden="1"/>
    <cellStyle name="20% - 강조색4 4" xfId="19126" hidden="1"/>
    <cellStyle name="20% - 강조색4 4" xfId="19166" hidden="1"/>
    <cellStyle name="20% - 강조색4 4" xfId="19206" hidden="1"/>
    <cellStyle name="20% - 강조색4 4" xfId="19246" hidden="1"/>
    <cellStyle name="20% - 강조색4 4" xfId="19286" hidden="1"/>
    <cellStyle name="20% - 강조색4 4" xfId="19326" hidden="1"/>
    <cellStyle name="20% - 강조색4 4" xfId="19366" hidden="1"/>
    <cellStyle name="20% - 강조색4 4" xfId="19406" hidden="1"/>
    <cellStyle name="20% - 강조색4 4" xfId="14380" hidden="1"/>
    <cellStyle name="20% - 강조색4 4" xfId="19456" hidden="1"/>
    <cellStyle name="20% - 강조색4 4" xfId="19496" hidden="1"/>
    <cellStyle name="20% - 강조색4 4" xfId="19536" hidden="1"/>
    <cellStyle name="20% - 강조색4 4" xfId="19576" hidden="1"/>
    <cellStyle name="20% - 강조색4 4" xfId="19616" hidden="1"/>
    <cellStyle name="20% - 강조색4 4" xfId="19656" hidden="1"/>
    <cellStyle name="20% - 강조색4 4" xfId="19696" hidden="1"/>
    <cellStyle name="20% - 강조색4 4" xfId="19736" hidden="1"/>
    <cellStyle name="20% - 강조색4 4" xfId="19776" hidden="1"/>
    <cellStyle name="20% - 강조색4 4" xfId="19816" hidden="1"/>
    <cellStyle name="20% - 강조색4 4" xfId="19856" hidden="1"/>
    <cellStyle name="20% - 강조색4 4" xfId="19940" hidden="1"/>
    <cellStyle name="20% - 강조색4 4" xfId="19981" hidden="1"/>
    <cellStyle name="20% - 강조색4 4" xfId="20023" hidden="1"/>
    <cellStyle name="20% - 강조색4 4" xfId="20065" hidden="1"/>
    <cellStyle name="20% - 강조색4 4" xfId="20107" hidden="1"/>
    <cellStyle name="20% - 강조색4 4" xfId="20149" hidden="1"/>
    <cellStyle name="20% - 강조색4 4" xfId="20191" hidden="1"/>
    <cellStyle name="20% - 강조색4 4" xfId="20233" hidden="1"/>
    <cellStyle name="20% - 강조색4 4" xfId="20275" hidden="1"/>
    <cellStyle name="20% - 강조색4 4" xfId="20317" hidden="1"/>
    <cellStyle name="20% - 강조색4 4" xfId="20359" hidden="1"/>
    <cellStyle name="20% - 강조색4 4" xfId="20401" hidden="1"/>
    <cellStyle name="20% - 강조색4 4" xfId="19897" hidden="1"/>
    <cellStyle name="20% - 강조색4 4" xfId="20580" hidden="1"/>
    <cellStyle name="20% - 강조색4 4" xfId="20620" hidden="1"/>
    <cellStyle name="20% - 강조색4 4" xfId="20660" hidden="1"/>
    <cellStyle name="20% - 강조색4 4" xfId="20700" hidden="1"/>
    <cellStyle name="20% - 강조색4 4" xfId="20740" hidden="1"/>
    <cellStyle name="20% - 강조색4 4" xfId="20780" hidden="1"/>
    <cellStyle name="20% - 강조색4 4" xfId="20820" hidden="1"/>
    <cellStyle name="20% - 강조색4 4" xfId="20860" hidden="1"/>
    <cellStyle name="20% - 강조색4 4" xfId="20900" hidden="1"/>
    <cellStyle name="20% - 강조색4 4" xfId="20940" hidden="1"/>
    <cellStyle name="20% - 강조색4 4" xfId="20980" hidden="1"/>
    <cellStyle name="20% - 강조색4 4" xfId="21020" hidden="1"/>
    <cellStyle name="20% - 강조색4 4" xfId="20464" hidden="1"/>
    <cellStyle name="20% - 강조색4 4" xfId="20415" hidden="1"/>
    <cellStyle name="20% - 강조색4 4" xfId="21062" hidden="1"/>
    <cellStyle name="20% - 강조색4 4" xfId="21104" hidden="1"/>
    <cellStyle name="20% - 강조색4 4" xfId="21146" hidden="1"/>
    <cellStyle name="20% - 강조색4 4" xfId="21188" hidden="1"/>
    <cellStyle name="20% - 강조색4 4" xfId="21230" hidden="1"/>
    <cellStyle name="20% - 강조색4 4" xfId="21272" hidden="1"/>
    <cellStyle name="20% - 강조색4 4" xfId="21314" hidden="1"/>
    <cellStyle name="20% - 강조색4 4" xfId="21356" hidden="1"/>
    <cellStyle name="20% - 강조색4 4" xfId="21398" hidden="1"/>
    <cellStyle name="20% - 강조색4 4" xfId="21440" hidden="1"/>
    <cellStyle name="20% - 강조색4 4" xfId="20517" hidden="1"/>
    <cellStyle name="20% - 강조색4 4" xfId="21468" hidden="1"/>
    <cellStyle name="20% - 강조색4 4" xfId="21508" hidden="1"/>
    <cellStyle name="20% - 강조색4 4" xfId="21548" hidden="1"/>
    <cellStyle name="20% - 강조색4 4" xfId="21588" hidden="1"/>
    <cellStyle name="20% - 강조색4 4" xfId="21628" hidden="1"/>
    <cellStyle name="20% - 강조색4 4" xfId="21668" hidden="1"/>
    <cellStyle name="20% - 강조색4 4" xfId="21708" hidden="1"/>
    <cellStyle name="20% - 강조색4 4" xfId="21748" hidden="1"/>
    <cellStyle name="20% - 강조색4 4" xfId="21788" hidden="1"/>
    <cellStyle name="20% - 강조색4 4" xfId="21828" hidden="1"/>
    <cellStyle name="20% - 강조색4 4" xfId="21868" hidden="1"/>
    <cellStyle name="20% - 강조색4 4" xfId="21908" hidden="1"/>
    <cellStyle name="20% - 강조색4 4" xfId="21976" hidden="1"/>
    <cellStyle name="20% - 강조색4 4" xfId="22016" hidden="1"/>
    <cellStyle name="20% - 강조색4 4" xfId="22056" hidden="1"/>
    <cellStyle name="20% - 강조색4 4" xfId="22096" hidden="1"/>
    <cellStyle name="20% - 강조색4 4" xfId="22136" hidden="1"/>
    <cellStyle name="20% - 강조색4 4" xfId="22176" hidden="1"/>
    <cellStyle name="20% - 강조색4 4" xfId="22216" hidden="1"/>
    <cellStyle name="20% - 강조색4 4" xfId="22256" hidden="1"/>
    <cellStyle name="20% - 강조색4 4" xfId="22296" hidden="1"/>
    <cellStyle name="20% - 강조색4 4" xfId="22336" hidden="1"/>
    <cellStyle name="20% - 강조색4 4" xfId="22376" hidden="1"/>
    <cellStyle name="20% - 강조색4 4" xfId="22416" hidden="1"/>
    <cellStyle name="20% - 강조색4 4" xfId="22500" hidden="1"/>
    <cellStyle name="20% - 강조색4 4" xfId="22541" hidden="1"/>
    <cellStyle name="20% - 강조색4 4" xfId="22583" hidden="1"/>
    <cellStyle name="20% - 강조색4 4" xfId="22625" hidden="1"/>
    <cellStyle name="20% - 강조색4 4" xfId="22667" hidden="1"/>
    <cellStyle name="20% - 강조색4 4" xfId="22709" hidden="1"/>
    <cellStyle name="20% - 강조색4 4" xfId="22751" hidden="1"/>
    <cellStyle name="20% - 강조색4 4" xfId="22793" hidden="1"/>
    <cellStyle name="20% - 강조색4 4" xfId="22835" hidden="1"/>
    <cellStyle name="20% - 강조색4 4" xfId="22877" hidden="1"/>
    <cellStyle name="20% - 강조색4 4" xfId="22919" hidden="1"/>
    <cellStyle name="20% - 강조색4 4" xfId="22961" hidden="1"/>
    <cellStyle name="20% - 강조색4 4" xfId="22457" hidden="1"/>
    <cellStyle name="20% - 강조색4 4" xfId="23140" hidden="1"/>
    <cellStyle name="20% - 강조색4 4" xfId="23180" hidden="1"/>
    <cellStyle name="20% - 강조색4 4" xfId="23220" hidden="1"/>
    <cellStyle name="20% - 강조색4 4" xfId="23260" hidden="1"/>
    <cellStyle name="20% - 강조색4 4" xfId="23300" hidden="1"/>
    <cellStyle name="20% - 강조색4 4" xfId="23340" hidden="1"/>
    <cellStyle name="20% - 강조색4 4" xfId="23380" hidden="1"/>
    <cellStyle name="20% - 강조색4 4" xfId="23420" hidden="1"/>
    <cellStyle name="20% - 강조색4 4" xfId="23460" hidden="1"/>
    <cellStyle name="20% - 강조색4 4" xfId="23500" hidden="1"/>
    <cellStyle name="20% - 강조색4 4" xfId="23540" hidden="1"/>
    <cellStyle name="20% - 강조색4 4" xfId="23580" hidden="1"/>
    <cellStyle name="20% - 강조색4 4" xfId="23024" hidden="1"/>
    <cellStyle name="20% - 강조색4 4" xfId="22975" hidden="1"/>
    <cellStyle name="20% - 강조색4 4" xfId="23622" hidden="1"/>
    <cellStyle name="20% - 강조색4 4" xfId="23664" hidden="1"/>
    <cellStyle name="20% - 강조색4 4" xfId="23706" hidden="1"/>
    <cellStyle name="20% - 강조색4 4" xfId="23748" hidden="1"/>
    <cellStyle name="20% - 강조색4 4" xfId="23790" hidden="1"/>
    <cellStyle name="20% - 강조색4 4" xfId="23832" hidden="1"/>
    <cellStyle name="20% - 강조색4 4" xfId="23874" hidden="1"/>
    <cellStyle name="20% - 강조색4 4" xfId="23916" hidden="1"/>
    <cellStyle name="20% - 강조색4 4" xfId="23958" hidden="1"/>
    <cellStyle name="20% - 강조색4 4" xfId="24000" hidden="1"/>
    <cellStyle name="20% - 강조색4 4" xfId="23077" hidden="1"/>
    <cellStyle name="20% - 강조색4 4" xfId="24028" hidden="1"/>
    <cellStyle name="20% - 강조색4 4" xfId="24068" hidden="1"/>
    <cellStyle name="20% - 강조색4 4" xfId="24108" hidden="1"/>
    <cellStyle name="20% - 강조색4 4" xfId="24148" hidden="1"/>
    <cellStyle name="20% - 강조색4 4" xfId="24188" hidden="1"/>
    <cellStyle name="20% - 강조색4 4" xfId="24228" hidden="1"/>
    <cellStyle name="20% - 강조색4 4" xfId="24268" hidden="1"/>
    <cellStyle name="20% - 강조색4 4" xfId="24308" hidden="1"/>
    <cellStyle name="20% - 강조색4 4" xfId="24348" hidden="1"/>
    <cellStyle name="20% - 강조색4 4" xfId="24388" hidden="1"/>
    <cellStyle name="20% - 강조색4 4" xfId="24428" hidden="1"/>
    <cellStyle name="20% - 강조색4 4" xfId="24468" hidden="1"/>
    <cellStyle name="20% - 강조색4 4" xfId="24566" hidden="1"/>
    <cellStyle name="20% - 강조색4 4" xfId="24606" hidden="1"/>
    <cellStyle name="20% - 강조색4 4" xfId="24648" hidden="1"/>
    <cellStyle name="20% - 강조색4 4" xfId="24689" hidden="1"/>
    <cellStyle name="20% - 강조색4 4" xfId="24729" hidden="1"/>
    <cellStyle name="20% - 강조색4 4" xfId="24769" hidden="1"/>
    <cellStyle name="20% - 강조색4 4" xfId="24809" hidden="1"/>
    <cellStyle name="20% - 강조색4 4" xfId="24849" hidden="1"/>
    <cellStyle name="20% - 강조색4 4" xfId="24889" hidden="1"/>
    <cellStyle name="20% - 강조색4 4" xfId="24929" hidden="1"/>
    <cellStyle name="20% - 강조색4 4" xfId="24969" hidden="1"/>
    <cellStyle name="20% - 강조색4 4" xfId="25009" hidden="1"/>
    <cellStyle name="20% - 강조색4 4" xfId="25093" hidden="1"/>
    <cellStyle name="20% - 강조색4 4" xfId="25134" hidden="1"/>
    <cellStyle name="20% - 강조색4 4" xfId="25176" hidden="1"/>
    <cellStyle name="20% - 강조색4 4" xfId="25218" hidden="1"/>
    <cellStyle name="20% - 강조색4 4" xfId="25260" hidden="1"/>
    <cellStyle name="20% - 강조색4 4" xfId="25302" hidden="1"/>
    <cellStyle name="20% - 강조색4 4" xfId="25344" hidden="1"/>
    <cellStyle name="20% - 강조색4 4" xfId="25386" hidden="1"/>
    <cellStyle name="20% - 강조색4 4" xfId="25428" hidden="1"/>
    <cellStyle name="20% - 강조색4 4" xfId="25470" hidden="1"/>
    <cellStyle name="20% - 강조색4 4" xfId="25512" hidden="1"/>
    <cellStyle name="20% - 강조색4 4" xfId="25554" hidden="1"/>
    <cellStyle name="20% - 강조색4 4" xfId="25050" hidden="1"/>
    <cellStyle name="20% - 강조색4 4" xfId="25733" hidden="1"/>
    <cellStyle name="20% - 강조색4 4" xfId="25773" hidden="1"/>
    <cellStyle name="20% - 강조색4 4" xfId="25813" hidden="1"/>
    <cellStyle name="20% - 강조색4 4" xfId="25853" hidden="1"/>
    <cellStyle name="20% - 강조색4 4" xfId="25893" hidden="1"/>
    <cellStyle name="20% - 강조색4 4" xfId="25933" hidden="1"/>
    <cellStyle name="20% - 강조색4 4" xfId="25973" hidden="1"/>
    <cellStyle name="20% - 강조색4 4" xfId="26013" hidden="1"/>
    <cellStyle name="20% - 강조색4 4" xfId="26053" hidden="1"/>
    <cellStyle name="20% - 강조색4 4" xfId="26093" hidden="1"/>
    <cellStyle name="20% - 강조색4 4" xfId="26133" hidden="1"/>
    <cellStyle name="20% - 강조색4 4" xfId="26173" hidden="1"/>
    <cellStyle name="20% - 강조색4 4" xfId="25617" hidden="1"/>
    <cellStyle name="20% - 강조색4 4" xfId="25568" hidden="1"/>
    <cellStyle name="20% - 강조색4 4" xfId="26215" hidden="1"/>
    <cellStyle name="20% - 강조색4 4" xfId="26257" hidden="1"/>
    <cellStyle name="20% - 강조색4 4" xfId="26299" hidden="1"/>
    <cellStyle name="20% - 강조색4 4" xfId="26341" hidden="1"/>
    <cellStyle name="20% - 강조색4 4" xfId="26383" hidden="1"/>
    <cellStyle name="20% - 강조색4 4" xfId="26425" hidden="1"/>
    <cellStyle name="20% - 강조색4 4" xfId="26467" hidden="1"/>
    <cellStyle name="20% - 강조색4 4" xfId="26509" hidden="1"/>
    <cellStyle name="20% - 강조색4 4" xfId="26551" hidden="1"/>
    <cellStyle name="20% - 강조색4 4" xfId="26593" hidden="1"/>
    <cellStyle name="20% - 강조색4 4" xfId="25670" hidden="1"/>
    <cellStyle name="20% - 강조색4 4" xfId="26621" hidden="1"/>
    <cellStyle name="20% - 강조색4 4" xfId="26661" hidden="1"/>
    <cellStyle name="20% - 강조색4 4" xfId="26701" hidden="1"/>
    <cellStyle name="20% - 강조색4 4" xfId="26741" hidden="1"/>
    <cellStyle name="20% - 강조색4 4" xfId="26781" hidden="1"/>
    <cellStyle name="20% - 강조색4 4" xfId="26821" hidden="1"/>
    <cellStyle name="20% - 강조색4 4" xfId="26861" hidden="1"/>
    <cellStyle name="20% - 강조색4 4" xfId="26901" hidden="1"/>
    <cellStyle name="20% - 강조색4 4" xfId="26941" hidden="1"/>
    <cellStyle name="20% - 강조색4 4" xfId="26981" hidden="1"/>
    <cellStyle name="20% - 강조색4 4" xfId="27021" hidden="1"/>
    <cellStyle name="20% - 강조색4 4" xfId="27061" hidden="1"/>
    <cellStyle name="20% - 강조색4 4" xfId="27072" hidden="1"/>
    <cellStyle name="20% - 강조색4 4" xfId="27112" hidden="1"/>
    <cellStyle name="20% - 강조색4 4" xfId="27152" hidden="1"/>
    <cellStyle name="20% - 강조색4 4" xfId="27192" hidden="1"/>
    <cellStyle name="20% - 강조색4 4" xfId="27232" hidden="1"/>
    <cellStyle name="20% - 강조색4 4" xfId="27272" hidden="1"/>
    <cellStyle name="20% - 강조색4 4" xfId="27312" hidden="1"/>
    <cellStyle name="20% - 강조색4 4" xfId="27352" hidden="1"/>
    <cellStyle name="20% - 강조색4 4" xfId="27392" hidden="1"/>
    <cellStyle name="20% - 강조색4 4" xfId="27432" hidden="1"/>
    <cellStyle name="20% - 강조색4 4" xfId="27472" hidden="1"/>
    <cellStyle name="20% - 강조색4 4" xfId="27512" hidden="1"/>
    <cellStyle name="20% - 강조색4 4" xfId="27596" hidden="1"/>
    <cellStyle name="20% - 강조색4 4" xfId="27637" hidden="1"/>
    <cellStyle name="20% - 강조색4 4" xfId="27679" hidden="1"/>
    <cellStyle name="20% - 강조색4 4" xfId="27721" hidden="1"/>
    <cellStyle name="20% - 강조색4 4" xfId="27763" hidden="1"/>
    <cellStyle name="20% - 강조색4 4" xfId="27805" hidden="1"/>
    <cellStyle name="20% - 강조색4 4" xfId="27847" hidden="1"/>
    <cellStyle name="20% - 강조색4 4" xfId="27889" hidden="1"/>
    <cellStyle name="20% - 강조색4 4" xfId="27931" hidden="1"/>
    <cellStyle name="20% - 강조색4 4" xfId="27973" hidden="1"/>
    <cellStyle name="20% - 강조색4 4" xfId="28015" hidden="1"/>
    <cellStyle name="20% - 강조색4 4" xfId="28057" hidden="1"/>
    <cellStyle name="20% - 강조색4 4" xfId="27553" hidden="1"/>
    <cellStyle name="20% - 강조색4 4" xfId="28236" hidden="1"/>
    <cellStyle name="20% - 강조색4 4" xfId="28276" hidden="1"/>
    <cellStyle name="20% - 강조색4 4" xfId="28316" hidden="1"/>
    <cellStyle name="20% - 강조색4 4" xfId="28356" hidden="1"/>
    <cellStyle name="20% - 강조색4 4" xfId="28396" hidden="1"/>
    <cellStyle name="20% - 강조색4 4" xfId="28436" hidden="1"/>
    <cellStyle name="20% - 강조색4 4" xfId="28476" hidden="1"/>
    <cellStyle name="20% - 강조색4 4" xfId="28516" hidden="1"/>
    <cellStyle name="20% - 강조색4 4" xfId="28556" hidden="1"/>
    <cellStyle name="20% - 강조색4 4" xfId="28596" hidden="1"/>
    <cellStyle name="20% - 강조색4 4" xfId="28636" hidden="1"/>
    <cellStyle name="20% - 강조색4 4" xfId="28676" hidden="1"/>
    <cellStyle name="20% - 강조색4 4" xfId="28120" hidden="1"/>
    <cellStyle name="20% - 강조색4 4" xfId="28071" hidden="1"/>
    <cellStyle name="20% - 강조색4 4" xfId="28718" hidden="1"/>
    <cellStyle name="20% - 강조색4 4" xfId="28760" hidden="1"/>
    <cellStyle name="20% - 강조색4 4" xfId="28802" hidden="1"/>
    <cellStyle name="20% - 강조색4 4" xfId="28844" hidden="1"/>
    <cellStyle name="20% - 강조색4 4" xfId="28886" hidden="1"/>
    <cellStyle name="20% - 강조색4 4" xfId="28928" hidden="1"/>
    <cellStyle name="20% - 강조색4 4" xfId="28970" hidden="1"/>
    <cellStyle name="20% - 강조색4 4" xfId="29012" hidden="1"/>
    <cellStyle name="20% - 강조색4 4" xfId="29054" hidden="1"/>
    <cellStyle name="20% - 강조색4 4" xfId="29096" hidden="1"/>
    <cellStyle name="20% - 강조색4 4" xfId="28173" hidden="1"/>
    <cellStyle name="20% - 강조색4 4" xfId="29124" hidden="1"/>
    <cellStyle name="20% - 강조색4 4" xfId="29164" hidden="1"/>
    <cellStyle name="20% - 강조색4 4" xfId="29204" hidden="1"/>
    <cellStyle name="20% - 강조색4 4" xfId="29244" hidden="1"/>
    <cellStyle name="20% - 강조색4 4" xfId="29284" hidden="1"/>
    <cellStyle name="20% - 강조색4 4" xfId="29324" hidden="1"/>
    <cellStyle name="20% - 강조색4 4" xfId="29364" hidden="1"/>
    <cellStyle name="20% - 강조색4 4" xfId="29404" hidden="1"/>
    <cellStyle name="20% - 강조색4 4" xfId="29444" hidden="1"/>
    <cellStyle name="20% - 강조색4 4" xfId="29484" hidden="1"/>
    <cellStyle name="20% - 강조색4 4" xfId="29524" hidden="1"/>
    <cellStyle name="20% - 강조색4 4" xfId="29564" hidden="1"/>
    <cellStyle name="20% - 강조색4 4" xfId="24536" hidden="1"/>
    <cellStyle name="20% - 강조색4 4" xfId="29614" hidden="1"/>
    <cellStyle name="20% - 강조색4 4" xfId="29654" hidden="1"/>
    <cellStyle name="20% - 강조색4 4" xfId="29694" hidden="1"/>
    <cellStyle name="20% - 강조색4 4" xfId="29734" hidden="1"/>
    <cellStyle name="20% - 강조색4 4" xfId="29774" hidden="1"/>
    <cellStyle name="20% - 강조색4 4" xfId="29814" hidden="1"/>
    <cellStyle name="20% - 강조색4 4" xfId="29854" hidden="1"/>
    <cellStyle name="20% - 강조색4 4" xfId="29894" hidden="1"/>
    <cellStyle name="20% - 강조색4 4" xfId="29934" hidden="1"/>
    <cellStyle name="20% - 강조색4 4" xfId="29974" hidden="1"/>
    <cellStyle name="20% - 강조색4 4" xfId="30014" hidden="1"/>
    <cellStyle name="20% - 강조색4 4" xfId="30098" hidden="1"/>
    <cellStyle name="20% - 강조색4 4" xfId="30139" hidden="1"/>
    <cellStyle name="20% - 강조색4 4" xfId="30181" hidden="1"/>
    <cellStyle name="20% - 강조색4 4" xfId="30223" hidden="1"/>
    <cellStyle name="20% - 강조색4 4" xfId="30265" hidden="1"/>
    <cellStyle name="20% - 강조색4 4" xfId="30307" hidden="1"/>
    <cellStyle name="20% - 강조색4 4" xfId="30349" hidden="1"/>
    <cellStyle name="20% - 강조색4 4" xfId="30391" hidden="1"/>
    <cellStyle name="20% - 강조색4 4" xfId="30433" hidden="1"/>
    <cellStyle name="20% - 강조색4 4" xfId="30475" hidden="1"/>
    <cellStyle name="20% - 강조색4 4" xfId="30517" hidden="1"/>
    <cellStyle name="20% - 강조색4 4" xfId="30559" hidden="1"/>
    <cellStyle name="20% - 강조색4 4" xfId="30055" hidden="1"/>
    <cellStyle name="20% - 강조색4 4" xfId="30738" hidden="1"/>
    <cellStyle name="20% - 강조색4 4" xfId="30778" hidden="1"/>
    <cellStyle name="20% - 강조색4 4" xfId="30818" hidden="1"/>
    <cellStyle name="20% - 강조색4 4" xfId="30858" hidden="1"/>
    <cellStyle name="20% - 강조색4 4" xfId="30898" hidden="1"/>
    <cellStyle name="20% - 강조색4 4" xfId="30938" hidden="1"/>
    <cellStyle name="20% - 강조색4 4" xfId="30978" hidden="1"/>
    <cellStyle name="20% - 강조색4 4" xfId="31018" hidden="1"/>
    <cellStyle name="20% - 강조색4 4" xfId="31058" hidden="1"/>
    <cellStyle name="20% - 강조색4 4" xfId="31098" hidden="1"/>
    <cellStyle name="20% - 강조색4 4" xfId="31138" hidden="1"/>
    <cellStyle name="20% - 강조색4 4" xfId="31178" hidden="1"/>
    <cellStyle name="20% - 강조색4 4" xfId="30622" hidden="1"/>
    <cellStyle name="20% - 강조색4 4" xfId="30573" hidden="1"/>
    <cellStyle name="20% - 강조색4 4" xfId="31220" hidden="1"/>
    <cellStyle name="20% - 강조색4 4" xfId="31262" hidden="1"/>
    <cellStyle name="20% - 강조색4 4" xfId="31304" hidden="1"/>
    <cellStyle name="20% - 강조색4 4" xfId="31346" hidden="1"/>
    <cellStyle name="20% - 강조색4 4" xfId="31388" hidden="1"/>
    <cellStyle name="20% - 강조색4 4" xfId="31430" hidden="1"/>
    <cellStyle name="20% - 강조색4 4" xfId="31472" hidden="1"/>
    <cellStyle name="20% - 강조색4 4" xfId="31514" hidden="1"/>
    <cellStyle name="20% - 강조색4 4" xfId="31556" hidden="1"/>
    <cellStyle name="20% - 강조색4 4" xfId="31598" hidden="1"/>
    <cellStyle name="20% - 강조색4 4" xfId="30675" hidden="1"/>
    <cellStyle name="20% - 강조색4 4" xfId="31626" hidden="1"/>
    <cellStyle name="20% - 강조색4 4" xfId="31666" hidden="1"/>
    <cellStyle name="20% - 강조색4 4" xfId="31706" hidden="1"/>
    <cellStyle name="20% - 강조색4 4" xfId="31746" hidden="1"/>
    <cellStyle name="20% - 강조색4 4" xfId="31786" hidden="1"/>
    <cellStyle name="20% - 강조색4 4" xfId="31826" hidden="1"/>
    <cellStyle name="20% - 강조색4 4" xfId="31866" hidden="1"/>
    <cellStyle name="20% - 강조색4 4" xfId="31906" hidden="1"/>
    <cellStyle name="20% - 강조색4 4" xfId="31946" hidden="1"/>
    <cellStyle name="20% - 강조색4 4" xfId="31986" hidden="1"/>
    <cellStyle name="20% - 강조색4 4" xfId="32026" hidden="1"/>
    <cellStyle name="20% - 강조색4 4" xfId="32066" hidden="1"/>
    <cellStyle name="20% - 강조색4 4" xfId="32128" hidden="1"/>
    <cellStyle name="20% - 강조색4 4" xfId="32168" hidden="1"/>
    <cellStyle name="20% - 강조색4 4" xfId="32208" hidden="1"/>
    <cellStyle name="20% - 강조색4 4" xfId="32248" hidden="1"/>
    <cellStyle name="20% - 강조색4 4" xfId="32288" hidden="1"/>
    <cellStyle name="20% - 강조색4 4" xfId="32328" hidden="1"/>
    <cellStyle name="20% - 강조색4 4" xfId="32368" hidden="1"/>
    <cellStyle name="20% - 강조색4 4" xfId="32408" hidden="1"/>
    <cellStyle name="20% - 강조색4 4" xfId="32448" hidden="1"/>
    <cellStyle name="20% - 강조색4 4" xfId="32488" hidden="1"/>
    <cellStyle name="20% - 강조색4 4" xfId="32528" hidden="1"/>
    <cellStyle name="20% - 강조색4 4" xfId="32568" hidden="1"/>
    <cellStyle name="20% - 강조색4 4" xfId="32653" hidden="1"/>
    <cellStyle name="20% - 강조색4 4" xfId="32694" hidden="1"/>
    <cellStyle name="20% - 강조색4 4" xfId="32736" hidden="1"/>
    <cellStyle name="20% - 강조색4 4" xfId="32778" hidden="1"/>
    <cellStyle name="20% - 강조색4 4" xfId="32820" hidden="1"/>
    <cellStyle name="20% - 강조색4 4" xfId="32862" hidden="1"/>
    <cellStyle name="20% - 강조색4 4" xfId="32904" hidden="1"/>
    <cellStyle name="20% - 강조색4 4" xfId="32946" hidden="1"/>
    <cellStyle name="20% - 강조색4 4" xfId="32988" hidden="1"/>
    <cellStyle name="20% - 강조색4 4" xfId="33030" hidden="1"/>
    <cellStyle name="20% - 강조색4 4" xfId="33072" hidden="1"/>
    <cellStyle name="20% - 강조색4 4" xfId="33114" hidden="1"/>
    <cellStyle name="20% - 강조색4 4" xfId="32610" hidden="1"/>
    <cellStyle name="20% - 강조색4 4" xfId="33293" hidden="1"/>
    <cellStyle name="20% - 강조색4 4" xfId="33333" hidden="1"/>
    <cellStyle name="20% - 강조색4 4" xfId="33373" hidden="1"/>
    <cellStyle name="20% - 강조색4 4" xfId="33413" hidden="1"/>
    <cellStyle name="20% - 강조색4 4" xfId="33453" hidden="1"/>
    <cellStyle name="20% - 강조색4 4" xfId="33493" hidden="1"/>
    <cellStyle name="20% - 강조색4 4" xfId="33533" hidden="1"/>
    <cellStyle name="20% - 강조색4 4" xfId="33573" hidden="1"/>
    <cellStyle name="20% - 강조색4 4" xfId="33613" hidden="1"/>
    <cellStyle name="20% - 강조색4 4" xfId="33653" hidden="1"/>
    <cellStyle name="20% - 강조색4 4" xfId="33693" hidden="1"/>
    <cellStyle name="20% - 강조색4 4" xfId="33733" hidden="1"/>
    <cellStyle name="20% - 강조색4 4" xfId="33177" hidden="1"/>
    <cellStyle name="20% - 강조색4 4" xfId="33128" hidden="1"/>
    <cellStyle name="20% - 강조색4 4" xfId="33775" hidden="1"/>
    <cellStyle name="20% - 강조색4 4" xfId="33817" hidden="1"/>
    <cellStyle name="20% - 강조색4 4" xfId="33859" hidden="1"/>
    <cellStyle name="20% - 강조색4 4" xfId="33901" hidden="1"/>
    <cellStyle name="20% - 강조색4 4" xfId="33943" hidden="1"/>
    <cellStyle name="20% - 강조색4 4" xfId="33985" hidden="1"/>
    <cellStyle name="20% - 강조색4 4" xfId="34027" hidden="1"/>
    <cellStyle name="20% - 강조색4 4" xfId="34069" hidden="1"/>
    <cellStyle name="20% - 강조색4 4" xfId="34111" hidden="1"/>
    <cellStyle name="20% - 강조색4 4" xfId="34153" hidden="1"/>
    <cellStyle name="20% - 강조색4 4" xfId="33230" hidden="1"/>
    <cellStyle name="20% - 강조색4 4" xfId="34181" hidden="1"/>
    <cellStyle name="20% - 강조색4 4" xfId="34221" hidden="1"/>
    <cellStyle name="20% - 강조색4 4" xfId="34261" hidden="1"/>
    <cellStyle name="20% - 강조색4 4" xfId="34301" hidden="1"/>
    <cellStyle name="20% - 강조색4 4" xfId="34341" hidden="1"/>
    <cellStyle name="20% - 강조색4 4" xfId="34381" hidden="1"/>
    <cellStyle name="20% - 강조색4 4" xfId="34421" hidden="1"/>
    <cellStyle name="20% - 강조색4 4" xfId="34461" hidden="1"/>
    <cellStyle name="20% - 강조색4 4" xfId="34501" hidden="1"/>
    <cellStyle name="20% - 강조색4 4" xfId="34541" hidden="1"/>
    <cellStyle name="20% - 강조색4 4" xfId="34581" hidden="1"/>
    <cellStyle name="20% - 강조색4 4" xfId="34621" hidden="1"/>
    <cellStyle name="20% - 강조색4 4" xfId="34718" hidden="1"/>
    <cellStyle name="20% - 강조색4 4" xfId="34758" hidden="1"/>
    <cellStyle name="20% - 강조색4 4" xfId="34798" hidden="1"/>
    <cellStyle name="20% - 강조색4 4" xfId="34838" hidden="1"/>
    <cellStyle name="20% - 강조색4 4" xfId="34878" hidden="1"/>
    <cellStyle name="20% - 강조색4 4" xfId="34918" hidden="1"/>
    <cellStyle name="20% - 강조색4 4" xfId="34958" hidden="1"/>
    <cellStyle name="20% - 강조색4 4" xfId="34998" hidden="1"/>
    <cellStyle name="20% - 강조색4 4" xfId="35038" hidden="1"/>
    <cellStyle name="20% - 강조색4 4" xfId="35078" hidden="1"/>
    <cellStyle name="20% - 강조색4 4" xfId="35118" hidden="1"/>
    <cellStyle name="20% - 강조색4 4" xfId="35158" hidden="1"/>
    <cellStyle name="20% - 강조색4 4" xfId="35242" hidden="1"/>
    <cellStyle name="20% - 강조색4 4" xfId="35283" hidden="1"/>
    <cellStyle name="20% - 강조색4 4" xfId="35325" hidden="1"/>
    <cellStyle name="20% - 강조색4 4" xfId="35367" hidden="1"/>
    <cellStyle name="20% - 강조색4 4" xfId="35409" hidden="1"/>
    <cellStyle name="20% - 강조색4 4" xfId="35451" hidden="1"/>
    <cellStyle name="20% - 강조색4 4" xfId="35493" hidden="1"/>
    <cellStyle name="20% - 강조색4 4" xfId="35535" hidden="1"/>
    <cellStyle name="20% - 강조색4 4" xfId="35577" hidden="1"/>
    <cellStyle name="20% - 강조색4 4" xfId="35619" hidden="1"/>
    <cellStyle name="20% - 강조색4 4" xfId="35661" hidden="1"/>
    <cellStyle name="20% - 강조색4 4" xfId="35703" hidden="1"/>
    <cellStyle name="20% - 강조색4 4" xfId="35199" hidden="1"/>
    <cellStyle name="20% - 강조색4 4" xfId="35882" hidden="1"/>
    <cellStyle name="20% - 강조색4 4" xfId="35922" hidden="1"/>
    <cellStyle name="20% - 강조색4 4" xfId="35962" hidden="1"/>
    <cellStyle name="20% - 강조색4 4" xfId="36002" hidden="1"/>
    <cellStyle name="20% - 강조색4 4" xfId="36042" hidden="1"/>
    <cellStyle name="20% - 강조색4 4" xfId="36082" hidden="1"/>
    <cellStyle name="20% - 강조색4 4" xfId="36122" hidden="1"/>
    <cellStyle name="20% - 강조색4 4" xfId="36162" hidden="1"/>
    <cellStyle name="20% - 강조색4 4" xfId="36202" hidden="1"/>
    <cellStyle name="20% - 강조색4 4" xfId="36242" hidden="1"/>
    <cellStyle name="20% - 강조색4 4" xfId="36282" hidden="1"/>
    <cellStyle name="20% - 강조색4 4" xfId="36322" hidden="1"/>
    <cellStyle name="20% - 강조색4 4" xfId="35766" hidden="1"/>
    <cellStyle name="20% - 강조색4 4" xfId="35717" hidden="1"/>
    <cellStyle name="20% - 강조색4 4" xfId="36364" hidden="1"/>
    <cellStyle name="20% - 강조색4 4" xfId="36406" hidden="1"/>
    <cellStyle name="20% - 강조색4 4" xfId="36448" hidden="1"/>
    <cellStyle name="20% - 강조색4 4" xfId="36490" hidden="1"/>
    <cellStyle name="20% - 강조색4 4" xfId="36532" hidden="1"/>
    <cellStyle name="20% - 강조색4 4" xfId="36574" hidden="1"/>
    <cellStyle name="20% - 강조색4 4" xfId="36616" hidden="1"/>
    <cellStyle name="20% - 강조색4 4" xfId="36658" hidden="1"/>
    <cellStyle name="20% - 강조색4 4" xfId="36700" hidden="1"/>
    <cellStyle name="20% - 강조색4 4" xfId="36742" hidden="1"/>
    <cellStyle name="20% - 강조색4 4" xfId="35819" hidden="1"/>
    <cellStyle name="20% - 강조색4 4" xfId="36770" hidden="1"/>
    <cellStyle name="20% - 강조색4 4" xfId="36810" hidden="1"/>
    <cellStyle name="20% - 강조색4 4" xfId="36850" hidden="1"/>
    <cellStyle name="20% - 강조색4 4" xfId="36890" hidden="1"/>
    <cellStyle name="20% - 강조색4 4" xfId="36930" hidden="1"/>
    <cellStyle name="20% - 강조색4 4" xfId="36970" hidden="1"/>
    <cellStyle name="20% - 강조색4 4" xfId="37010" hidden="1"/>
    <cellStyle name="20% - 강조색4 4" xfId="37050" hidden="1"/>
    <cellStyle name="20% - 강조색4 4" xfId="37090" hidden="1"/>
    <cellStyle name="20% - 강조색4 4" xfId="37130" hidden="1"/>
    <cellStyle name="20% - 강조색4 4" xfId="37170" hidden="1"/>
    <cellStyle name="20% - 강조색4 4" xfId="37210" hidden="1"/>
    <cellStyle name="20% - 강조색4 4" xfId="37221" hidden="1"/>
    <cellStyle name="20% - 강조색4 4" xfId="37261" hidden="1"/>
    <cellStyle name="20% - 강조색4 4" xfId="37302" hidden="1"/>
    <cellStyle name="20% - 강조색4 4" xfId="37342" hidden="1"/>
    <cellStyle name="20% - 강조색4 4" xfId="37382" hidden="1"/>
    <cellStyle name="20% - 강조색4 4" xfId="37422" hidden="1"/>
    <cellStyle name="20% - 강조색4 4" xfId="37462" hidden="1"/>
    <cellStyle name="20% - 강조색4 4" xfId="37502" hidden="1"/>
    <cellStyle name="20% - 강조색4 4" xfId="37542" hidden="1"/>
    <cellStyle name="20% - 강조색4 4" xfId="37582" hidden="1"/>
    <cellStyle name="20% - 강조색4 4" xfId="37622" hidden="1"/>
    <cellStyle name="20% - 강조색4 4" xfId="37662" hidden="1"/>
    <cellStyle name="20% - 강조색4 4" xfId="37746" hidden="1"/>
    <cellStyle name="20% - 강조색4 4" xfId="37787" hidden="1"/>
    <cellStyle name="20% - 강조색4 4" xfId="37829" hidden="1"/>
    <cellStyle name="20% - 강조색4 4" xfId="37871" hidden="1"/>
    <cellStyle name="20% - 강조색4 4" xfId="37913" hidden="1"/>
    <cellStyle name="20% - 강조색4 4" xfId="37955" hidden="1"/>
    <cellStyle name="20% - 강조색4 4" xfId="37997" hidden="1"/>
    <cellStyle name="20% - 강조색4 4" xfId="38039" hidden="1"/>
    <cellStyle name="20% - 강조색4 4" xfId="38081" hidden="1"/>
    <cellStyle name="20% - 강조색4 4" xfId="38123" hidden="1"/>
    <cellStyle name="20% - 강조색4 4" xfId="38165" hidden="1"/>
    <cellStyle name="20% - 강조색4 4" xfId="38207" hidden="1"/>
    <cellStyle name="20% - 강조색4 4" xfId="37703" hidden="1"/>
    <cellStyle name="20% - 강조색4 4" xfId="38386" hidden="1"/>
    <cellStyle name="20% - 강조색4 4" xfId="38426" hidden="1"/>
    <cellStyle name="20% - 강조색4 4" xfId="38466" hidden="1"/>
    <cellStyle name="20% - 강조색4 4" xfId="38506" hidden="1"/>
    <cellStyle name="20% - 강조색4 4" xfId="38546" hidden="1"/>
    <cellStyle name="20% - 강조색4 4" xfId="38586" hidden="1"/>
    <cellStyle name="20% - 강조색4 4" xfId="38626" hidden="1"/>
    <cellStyle name="20% - 강조색4 4" xfId="38666" hidden="1"/>
    <cellStyle name="20% - 강조색4 4" xfId="38706" hidden="1"/>
    <cellStyle name="20% - 강조색4 4" xfId="38746" hidden="1"/>
    <cellStyle name="20% - 강조색4 4" xfId="38786" hidden="1"/>
    <cellStyle name="20% - 강조색4 4" xfId="38826" hidden="1"/>
    <cellStyle name="20% - 강조색4 4" xfId="38270" hidden="1"/>
    <cellStyle name="20% - 강조색4 4" xfId="38221" hidden="1"/>
    <cellStyle name="20% - 강조색4 4" xfId="38868" hidden="1"/>
    <cellStyle name="20% - 강조색4 4" xfId="38910" hidden="1"/>
    <cellStyle name="20% - 강조색4 4" xfId="38952" hidden="1"/>
    <cellStyle name="20% - 강조색4 4" xfId="38994" hidden="1"/>
    <cellStyle name="20% - 강조색4 4" xfId="39036" hidden="1"/>
    <cellStyle name="20% - 강조색4 4" xfId="39078" hidden="1"/>
    <cellStyle name="20% - 강조색4 4" xfId="39120" hidden="1"/>
    <cellStyle name="20% - 강조색4 4" xfId="39162" hidden="1"/>
    <cellStyle name="20% - 강조색4 4" xfId="39204" hidden="1"/>
    <cellStyle name="20% - 강조색4 4" xfId="39246" hidden="1"/>
    <cellStyle name="20% - 강조색4 4" xfId="38323" hidden="1"/>
    <cellStyle name="20% - 강조색4 4" xfId="39274" hidden="1"/>
    <cellStyle name="20% - 강조색4 4" xfId="39314" hidden="1"/>
    <cellStyle name="20% - 강조색4 4" xfId="39354" hidden="1"/>
    <cellStyle name="20% - 강조색4 4" xfId="39394" hidden="1"/>
    <cellStyle name="20% - 강조색4 4" xfId="39434" hidden="1"/>
    <cellStyle name="20% - 강조색4 4" xfId="39474" hidden="1"/>
    <cellStyle name="20% - 강조색4 4" xfId="39514" hidden="1"/>
    <cellStyle name="20% - 강조색4 4" xfId="39554" hidden="1"/>
    <cellStyle name="20% - 강조색4 4" xfId="39594" hidden="1"/>
    <cellStyle name="20% - 강조색4 4" xfId="39634" hidden="1"/>
    <cellStyle name="20% - 강조색4 4" xfId="39674" hidden="1"/>
    <cellStyle name="20% - 강조색4 4" xfId="39714" hidden="1"/>
    <cellStyle name="20% - 강조색4 4" xfId="34688" hidden="1"/>
    <cellStyle name="20% - 강조색4 4" xfId="39764" hidden="1"/>
    <cellStyle name="20% - 강조색4 4" xfId="39804" hidden="1"/>
    <cellStyle name="20% - 강조색4 4" xfId="39844" hidden="1"/>
    <cellStyle name="20% - 강조색4 4" xfId="39884" hidden="1"/>
    <cellStyle name="20% - 강조색4 4" xfId="39924" hidden="1"/>
    <cellStyle name="20% - 강조색4 4" xfId="39964" hidden="1"/>
    <cellStyle name="20% - 강조색4 4" xfId="40004" hidden="1"/>
    <cellStyle name="20% - 강조색4 4" xfId="40044" hidden="1"/>
    <cellStyle name="20% - 강조색4 4" xfId="40084" hidden="1"/>
    <cellStyle name="20% - 강조색4 4" xfId="40124" hidden="1"/>
    <cellStyle name="20% - 강조색4 4" xfId="40164" hidden="1"/>
    <cellStyle name="20% - 강조색4 4" xfId="40248" hidden="1"/>
    <cellStyle name="20% - 강조색4 4" xfId="40289" hidden="1"/>
    <cellStyle name="20% - 강조색4 4" xfId="40331" hidden="1"/>
    <cellStyle name="20% - 강조색4 4" xfId="40373" hidden="1"/>
    <cellStyle name="20% - 강조색4 4" xfId="40415" hidden="1"/>
    <cellStyle name="20% - 강조색4 4" xfId="40457" hidden="1"/>
    <cellStyle name="20% - 강조색4 4" xfId="40499" hidden="1"/>
    <cellStyle name="20% - 강조색4 4" xfId="40541" hidden="1"/>
    <cellStyle name="20% - 강조색4 4" xfId="40583" hidden="1"/>
    <cellStyle name="20% - 강조색4 4" xfId="40625" hidden="1"/>
    <cellStyle name="20% - 강조색4 4" xfId="40667" hidden="1"/>
    <cellStyle name="20% - 강조색4 4" xfId="40709" hidden="1"/>
    <cellStyle name="20% - 강조색4 4" xfId="40205" hidden="1"/>
    <cellStyle name="20% - 강조색4 4" xfId="40888" hidden="1"/>
    <cellStyle name="20% - 강조색4 4" xfId="40928" hidden="1"/>
    <cellStyle name="20% - 강조색4 4" xfId="40968" hidden="1"/>
    <cellStyle name="20% - 강조색4 4" xfId="41008" hidden="1"/>
    <cellStyle name="20% - 강조색4 4" xfId="41048" hidden="1"/>
    <cellStyle name="20% - 강조색4 4" xfId="41088" hidden="1"/>
    <cellStyle name="20% - 강조색4 4" xfId="41128" hidden="1"/>
    <cellStyle name="20% - 강조색4 4" xfId="41168" hidden="1"/>
    <cellStyle name="20% - 강조색4 4" xfId="41208" hidden="1"/>
    <cellStyle name="20% - 강조색4 4" xfId="41248" hidden="1"/>
    <cellStyle name="20% - 강조색4 4" xfId="41288" hidden="1"/>
    <cellStyle name="20% - 강조색4 4" xfId="41328" hidden="1"/>
    <cellStyle name="20% - 강조색4 4" xfId="40772" hidden="1"/>
    <cellStyle name="20% - 강조색4 4" xfId="40723" hidden="1"/>
    <cellStyle name="20% - 강조색4 4" xfId="41370" hidden="1"/>
    <cellStyle name="20% - 강조색4 4" xfId="41412" hidden="1"/>
    <cellStyle name="20% - 강조색4 4" xfId="41454" hidden="1"/>
    <cellStyle name="20% - 강조색4 4" xfId="41496" hidden="1"/>
    <cellStyle name="20% - 강조색4 4" xfId="41538" hidden="1"/>
    <cellStyle name="20% - 강조색4 4" xfId="41580" hidden="1"/>
    <cellStyle name="20% - 강조색4 4" xfId="41622" hidden="1"/>
    <cellStyle name="20% - 강조색4 4" xfId="41664" hidden="1"/>
    <cellStyle name="20% - 강조색4 4" xfId="41706" hidden="1"/>
    <cellStyle name="20% - 강조색4 4" xfId="41748" hidden="1"/>
    <cellStyle name="20% - 강조색4 4" xfId="40825" hidden="1"/>
    <cellStyle name="20% - 강조색4 4" xfId="41776" hidden="1"/>
    <cellStyle name="20% - 강조색4 4" xfId="41816" hidden="1"/>
    <cellStyle name="20% - 강조색4 4" xfId="41856" hidden="1"/>
    <cellStyle name="20% - 강조색4 4" xfId="41896" hidden="1"/>
    <cellStyle name="20% - 강조색4 4" xfId="41936" hidden="1"/>
    <cellStyle name="20% - 강조색4 4" xfId="41976" hidden="1"/>
    <cellStyle name="20% - 강조색4 4" xfId="42016" hidden="1"/>
    <cellStyle name="20% - 강조색4 4" xfId="42056" hidden="1"/>
    <cellStyle name="20% - 강조색4 4" xfId="42096" hidden="1"/>
    <cellStyle name="20% - 강조색4 4" xfId="42136" hidden="1"/>
    <cellStyle name="20% - 강조색4 4" xfId="42176" hidden="1"/>
    <cellStyle name="20% - 강조색4 4" xfId="42216" hidden="1"/>
    <cellStyle name="20% - 강조색4 4" xfId="42259" hidden="1"/>
    <cellStyle name="20% - 강조색4 4" xfId="42299" hidden="1"/>
    <cellStyle name="20% - 강조색4 4" xfId="42339" hidden="1"/>
    <cellStyle name="20% - 강조색4 4" xfId="42379" hidden="1"/>
    <cellStyle name="20% - 강조색4 4" xfId="42419" hidden="1"/>
    <cellStyle name="20% - 강조색4 4" xfId="42459" hidden="1"/>
    <cellStyle name="20% - 강조색4 4" xfId="42499" hidden="1"/>
    <cellStyle name="20% - 강조색4 4" xfId="42539" hidden="1"/>
    <cellStyle name="20% - 강조색4 4" xfId="42579" hidden="1"/>
    <cellStyle name="20% - 강조색4 4" xfId="42619" hidden="1"/>
    <cellStyle name="20% - 강조색4 4" xfId="42659" hidden="1"/>
    <cellStyle name="20% - 강조색4 4" xfId="42699" hidden="1"/>
    <cellStyle name="20% - 강조색4 4" xfId="42783" hidden="1"/>
    <cellStyle name="20% - 강조색4 4" xfId="42824" hidden="1"/>
    <cellStyle name="20% - 강조색4 4" xfId="42866" hidden="1"/>
    <cellStyle name="20% - 강조색4 4" xfId="42908" hidden="1"/>
    <cellStyle name="20% - 강조색4 4" xfId="42950" hidden="1"/>
    <cellStyle name="20% - 강조색4 4" xfId="42992" hidden="1"/>
    <cellStyle name="20% - 강조색4 4" xfId="43034" hidden="1"/>
    <cellStyle name="20% - 강조색4 4" xfId="43076" hidden="1"/>
    <cellStyle name="20% - 강조색4 4" xfId="43118" hidden="1"/>
    <cellStyle name="20% - 강조색4 4" xfId="43160" hidden="1"/>
    <cellStyle name="20% - 강조색4 4" xfId="43202" hidden="1"/>
    <cellStyle name="20% - 강조색4 4" xfId="43244" hidden="1"/>
    <cellStyle name="20% - 강조색4 4" xfId="42740" hidden="1"/>
    <cellStyle name="20% - 강조색4 4" xfId="43423" hidden="1"/>
    <cellStyle name="20% - 강조색4 4" xfId="43463" hidden="1"/>
    <cellStyle name="20% - 강조색4 4" xfId="43503" hidden="1"/>
    <cellStyle name="20% - 강조색4 4" xfId="43543" hidden="1"/>
    <cellStyle name="20% - 강조색4 4" xfId="43583" hidden="1"/>
    <cellStyle name="20% - 강조색4 4" xfId="43623" hidden="1"/>
    <cellStyle name="20% - 강조색4 4" xfId="43663" hidden="1"/>
    <cellStyle name="20% - 강조색4 4" xfId="43703" hidden="1"/>
    <cellStyle name="20% - 강조색4 4" xfId="43743" hidden="1"/>
    <cellStyle name="20% - 강조색4 4" xfId="43783" hidden="1"/>
    <cellStyle name="20% - 강조색4 4" xfId="43823" hidden="1"/>
    <cellStyle name="20% - 강조색4 4" xfId="43863" hidden="1"/>
    <cellStyle name="20% - 강조색4 4" xfId="43307" hidden="1"/>
    <cellStyle name="20% - 강조색4 4" xfId="43258" hidden="1"/>
    <cellStyle name="20% - 강조색4 4" xfId="43905" hidden="1"/>
    <cellStyle name="20% - 강조색4 4" xfId="43947" hidden="1"/>
    <cellStyle name="20% - 강조색4 4" xfId="43989" hidden="1"/>
    <cellStyle name="20% - 강조색4 4" xfId="44031" hidden="1"/>
    <cellStyle name="20% - 강조색4 4" xfId="44073" hidden="1"/>
    <cellStyle name="20% - 강조색4 4" xfId="44115" hidden="1"/>
    <cellStyle name="20% - 강조색4 4" xfId="44157" hidden="1"/>
    <cellStyle name="20% - 강조색4 4" xfId="44199" hidden="1"/>
    <cellStyle name="20% - 강조색4 4" xfId="44241" hidden="1"/>
    <cellStyle name="20% - 강조색4 4" xfId="44283" hidden="1"/>
    <cellStyle name="20% - 강조색4 4" xfId="43360" hidden="1"/>
    <cellStyle name="20% - 강조색4 4" xfId="44311" hidden="1"/>
    <cellStyle name="20% - 강조색4 4" xfId="44351" hidden="1"/>
    <cellStyle name="20% - 강조색4 4" xfId="44391" hidden="1"/>
    <cellStyle name="20% - 강조색4 4" xfId="44431" hidden="1"/>
    <cellStyle name="20% - 강조색4 4" xfId="44471" hidden="1"/>
    <cellStyle name="20% - 강조색4 4" xfId="44511" hidden="1"/>
    <cellStyle name="20% - 강조색4 4" xfId="44551" hidden="1"/>
    <cellStyle name="20% - 강조색4 4" xfId="44591" hidden="1"/>
    <cellStyle name="20% - 강조색4 4" xfId="44631" hidden="1"/>
    <cellStyle name="20% - 강조색4 4" xfId="44671" hidden="1"/>
    <cellStyle name="20% - 강조색4 4" xfId="44711" hidden="1"/>
    <cellStyle name="20% - 강조색4 4" xfId="44751" hidden="1"/>
    <cellStyle name="20% - 강조색4 4" xfId="44847" hidden="1"/>
    <cellStyle name="20% - 강조색4 4" xfId="44887" hidden="1"/>
    <cellStyle name="20% - 강조색4 4" xfId="44929" hidden="1"/>
    <cellStyle name="20% - 강조색4 4" xfId="44970" hidden="1"/>
    <cellStyle name="20% - 강조색4 4" xfId="45010" hidden="1"/>
    <cellStyle name="20% - 강조색4 4" xfId="45050" hidden="1"/>
    <cellStyle name="20% - 강조색4 4" xfId="45090" hidden="1"/>
    <cellStyle name="20% - 강조색4 4" xfId="45130" hidden="1"/>
    <cellStyle name="20% - 강조색4 4" xfId="45170" hidden="1"/>
    <cellStyle name="20% - 강조색4 4" xfId="45210" hidden="1"/>
    <cellStyle name="20% - 강조색4 4" xfId="45250" hidden="1"/>
    <cellStyle name="20% - 강조색4 4" xfId="45290" hidden="1"/>
    <cellStyle name="20% - 강조색4 4" xfId="45374" hidden="1"/>
    <cellStyle name="20% - 강조색4 4" xfId="45415" hidden="1"/>
    <cellStyle name="20% - 강조색4 4" xfId="45457" hidden="1"/>
    <cellStyle name="20% - 강조색4 4" xfId="45499" hidden="1"/>
    <cellStyle name="20% - 강조색4 4" xfId="45541" hidden="1"/>
    <cellStyle name="20% - 강조색4 4" xfId="45583" hidden="1"/>
    <cellStyle name="20% - 강조색4 4" xfId="45625" hidden="1"/>
    <cellStyle name="20% - 강조색4 4" xfId="45667" hidden="1"/>
    <cellStyle name="20% - 강조색4 4" xfId="45709" hidden="1"/>
    <cellStyle name="20% - 강조색4 4" xfId="45751" hidden="1"/>
    <cellStyle name="20% - 강조색4 4" xfId="45793" hidden="1"/>
    <cellStyle name="20% - 강조색4 4" xfId="45835" hidden="1"/>
    <cellStyle name="20% - 강조색4 4" xfId="45331" hidden="1"/>
    <cellStyle name="20% - 강조색4 4" xfId="46014" hidden="1"/>
    <cellStyle name="20% - 강조색4 4" xfId="46054" hidden="1"/>
    <cellStyle name="20% - 강조색4 4" xfId="46094" hidden="1"/>
    <cellStyle name="20% - 강조색4 4" xfId="46134" hidden="1"/>
    <cellStyle name="20% - 강조색4 4" xfId="46174" hidden="1"/>
    <cellStyle name="20% - 강조색4 4" xfId="46214" hidden="1"/>
    <cellStyle name="20% - 강조색4 4" xfId="46254" hidden="1"/>
    <cellStyle name="20% - 강조색4 4" xfId="46294" hidden="1"/>
    <cellStyle name="20% - 강조색4 4" xfId="46334" hidden="1"/>
    <cellStyle name="20% - 강조색4 4" xfId="46374" hidden="1"/>
    <cellStyle name="20% - 강조색4 4" xfId="46414" hidden="1"/>
    <cellStyle name="20% - 강조색4 4" xfId="46454" hidden="1"/>
    <cellStyle name="20% - 강조색4 4" xfId="45898" hidden="1"/>
    <cellStyle name="20% - 강조색4 4" xfId="45849" hidden="1"/>
    <cellStyle name="20% - 강조색4 4" xfId="46496" hidden="1"/>
    <cellStyle name="20% - 강조색4 4" xfId="46538" hidden="1"/>
    <cellStyle name="20% - 강조색4 4" xfId="46580" hidden="1"/>
    <cellStyle name="20% - 강조색4 4" xfId="46622" hidden="1"/>
    <cellStyle name="20% - 강조색4 4" xfId="46664" hidden="1"/>
    <cellStyle name="20% - 강조색4 4" xfId="46706" hidden="1"/>
    <cellStyle name="20% - 강조색4 4" xfId="46748" hidden="1"/>
    <cellStyle name="20% - 강조색4 4" xfId="46790" hidden="1"/>
    <cellStyle name="20% - 강조색4 4" xfId="46832" hidden="1"/>
    <cellStyle name="20% - 강조색4 4" xfId="46874" hidden="1"/>
    <cellStyle name="20% - 강조색4 4" xfId="45951" hidden="1"/>
    <cellStyle name="20% - 강조색4 4" xfId="46902" hidden="1"/>
    <cellStyle name="20% - 강조색4 4" xfId="46942" hidden="1"/>
    <cellStyle name="20% - 강조색4 4" xfId="46982" hidden="1"/>
    <cellStyle name="20% - 강조색4 4" xfId="47022" hidden="1"/>
    <cellStyle name="20% - 강조색4 4" xfId="47062" hidden="1"/>
    <cellStyle name="20% - 강조색4 4" xfId="47102" hidden="1"/>
    <cellStyle name="20% - 강조색4 4" xfId="47142" hidden="1"/>
    <cellStyle name="20% - 강조색4 4" xfId="47182" hidden="1"/>
    <cellStyle name="20% - 강조색4 4" xfId="47222" hidden="1"/>
    <cellStyle name="20% - 강조색4 4" xfId="47262" hidden="1"/>
    <cellStyle name="20% - 강조색4 4" xfId="47302" hidden="1"/>
    <cellStyle name="20% - 강조색4 4" xfId="47342" hidden="1"/>
    <cellStyle name="20% - 강조색4 4" xfId="47353" hidden="1"/>
    <cellStyle name="20% - 강조색4 4" xfId="47393" hidden="1"/>
    <cellStyle name="20% - 강조색4 4" xfId="47433" hidden="1"/>
    <cellStyle name="20% - 강조색4 4" xfId="47473" hidden="1"/>
    <cellStyle name="20% - 강조색4 4" xfId="47513" hidden="1"/>
    <cellStyle name="20% - 강조색4 4" xfId="47553" hidden="1"/>
    <cellStyle name="20% - 강조색4 4" xfId="47593" hidden="1"/>
    <cellStyle name="20% - 강조색4 4" xfId="47633" hidden="1"/>
    <cellStyle name="20% - 강조색4 4" xfId="47673" hidden="1"/>
    <cellStyle name="20% - 강조색4 4" xfId="47713" hidden="1"/>
    <cellStyle name="20% - 강조색4 4" xfId="47753" hidden="1"/>
    <cellStyle name="20% - 강조색4 4" xfId="47793" hidden="1"/>
    <cellStyle name="20% - 강조색4 4" xfId="47877" hidden="1"/>
    <cellStyle name="20% - 강조색4 4" xfId="47918" hidden="1"/>
    <cellStyle name="20% - 강조색4 4" xfId="47960" hidden="1"/>
    <cellStyle name="20% - 강조색4 4" xfId="48002" hidden="1"/>
    <cellStyle name="20% - 강조색4 4" xfId="48044" hidden="1"/>
    <cellStyle name="20% - 강조색4 4" xfId="48086" hidden="1"/>
    <cellStyle name="20% - 강조색4 4" xfId="48128" hidden="1"/>
    <cellStyle name="20% - 강조색4 4" xfId="48170" hidden="1"/>
    <cellStyle name="20% - 강조색4 4" xfId="48212" hidden="1"/>
    <cellStyle name="20% - 강조색4 4" xfId="48254" hidden="1"/>
    <cellStyle name="20% - 강조색4 4" xfId="48296" hidden="1"/>
    <cellStyle name="20% - 강조색4 4" xfId="48338" hidden="1"/>
    <cellStyle name="20% - 강조색4 4" xfId="47834" hidden="1"/>
    <cellStyle name="20% - 강조색4 4" xfId="48517" hidden="1"/>
    <cellStyle name="20% - 강조색4 4" xfId="48557" hidden="1"/>
    <cellStyle name="20% - 강조색4 4" xfId="48597" hidden="1"/>
    <cellStyle name="20% - 강조색4 4" xfId="48637" hidden="1"/>
    <cellStyle name="20% - 강조색4 4" xfId="48677" hidden="1"/>
    <cellStyle name="20% - 강조색4 4" xfId="48717" hidden="1"/>
    <cellStyle name="20% - 강조색4 4" xfId="48757" hidden="1"/>
    <cellStyle name="20% - 강조색4 4" xfId="48797" hidden="1"/>
    <cellStyle name="20% - 강조색4 4" xfId="48837" hidden="1"/>
    <cellStyle name="20% - 강조색4 4" xfId="48877" hidden="1"/>
    <cellStyle name="20% - 강조색4 4" xfId="48917" hidden="1"/>
    <cellStyle name="20% - 강조색4 4" xfId="48957" hidden="1"/>
    <cellStyle name="20% - 강조색4 4" xfId="48401" hidden="1"/>
    <cellStyle name="20% - 강조색4 4" xfId="48352" hidden="1"/>
    <cellStyle name="20% - 강조색4 4" xfId="48999" hidden="1"/>
    <cellStyle name="20% - 강조색4 4" xfId="49041" hidden="1"/>
    <cellStyle name="20% - 강조색4 4" xfId="49083" hidden="1"/>
    <cellStyle name="20% - 강조색4 4" xfId="49125" hidden="1"/>
    <cellStyle name="20% - 강조색4 4" xfId="49167" hidden="1"/>
    <cellStyle name="20% - 강조색4 4" xfId="49209" hidden="1"/>
    <cellStyle name="20% - 강조색4 4" xfId="49251" hidden="1"/>
    <cellStyle name="20% - 강조색4 4" xfId="49293" hidden="1"/>
    <cellStyle name="20% - 강조색4 4" xfId="49335" hidden="1"/>
    <cellStyle name="20% - 강조색4 4" xfId="49377" hidden="1"/>
    <cellStyle name="20% - 강조색4 4" xfId="48454" hidden="1"/>
    <cellStyle name="20% - 강조색4 4" xfId="49405" hidden="1"/>
    <cellStyle name="20% - 강조색4 4" xfId="49445" hidden="1"/>
    <cellStyle name="20% - 강조색4 4" xfId="49485" hidden="1"/>
    <cellStyle name="20% - 강조색4 4" xfId="49525" hidden="1"/>
    <cellStyle name="20% - 강조색4 4" xfId="49565" hidden="1"/>
    <cellStyle name="20% - 강조색4 4" xfId="49605" hidden="1"/>
    <cellStyle name="20% - 강조색4 4" xfId="49645" hidden="1"/>
    <cellStyle name="20% - 강조색4 4" xfId="49685" hidden="1"/>
    <cellStyle name="20% - 강조색4 4" xfId="49725" hidden="1"/>
    <cellStyle name="20% - 강조색4 4" xfId="49765" hidden="1"/>
    <cellStyle name="20% - 강조색4 4" xfId="49805" hidden="1"/>
    <cellStyle name="20% - 강조색4 4" xfId="49845" hidden="1"/>
    <cellStyle name="20% - 강조색4 4" xfId="44817" hidden="1"/>
    <cellStyle name="20% - 강조색4 4" xfId="49895" hidden="1"/>
    <cellStyle name="20% - 강조색4 4" xfId="49935" hidden="1"/>
    <cellStyle name="20% - 강조색4 4" xfId="49975" hidden="1"/>
    <cellStyle name="20% - 강조색4 4" xfId="50015" hidden="1"/>
    <cellStyle name="20% - 강조색4 4" xfId="50055" hidden="1"/>
    <cellStyle name="20% - 강조색4 4" xfId="50095" hidden="1"/>
    <cellStyle name="20% - 강조색4 4" xfId="50135" hidden="1"/>
    <cellStyle name="20% - 강조색4 4" xfId="50175" hidden="1"/>
    <cellStyle name="20% - 강조색4 4" xfId="50215" hidden="1"/>
    <cellStyle name="20% - 강조색4 4" xfId="50255" hidden="1"/>
    <cellStyle name="20% - 강조색4 4" xfId="50295" hidden="1"/>
    <cellStyle name="20% - 강조색4 4" xfId="50379" hidden="1"/>
    <cellStyle name="20% - 강조색4 4" xfId="50420" hidden="1"/>
    <cellStyle name="20% - 강조색4 4" xfId="50462" hidden="1"/>
    <cellStyle name="20% - 강조색4 4" xfId="50504" hidden="1"/>
    <cellStyle name="20% - 강조색4 4" xfId="50546" hidden="1"/>
    <cellStyle name="20% - 강조색4 4" xfId="50588" hidden="1"/>
    <cellStyle name="20% - 강조색4 4" xfId="50630" hidden="1"/>
    <cellStyle name="20% - 강조색4 4" xfId="50672" hidden="1"/>
    <cellStyle name="20% - 강조색4 4" xfId="50714" hidden="1"/>
    <cellStyle name="20% - 강조색4 4" xfId="50756" hidden="1"/>
    <cellStyle name="20% - 강조색4 4" xfId="50798" hidden="1"/>
    <cellStyle name="20% - 강조색4 4" xfId="50840" hidden="1"/>
    <cellStyle name="20% - 강조색4 4" xfId="50336" hidden="1"/>
    <cellStyle name="20% - 강조색4 4" xfId="51019" hidden="1"/>
    <cellStyle name="20% - 강조색4 4" xfId="51059" hidden="1"/>
    <cellStyle name="20% - 강조색4 4" xfId="51099" hidden="1"/>
    <cellStyle name="20% - 강조색4 4" xfId="51139" hidden="1"/>
    <cellStyle name="20% - 강조색4 4" xfId="51179" hidden="1"/>
    <cellStyle name="20% - 강조색4 4" xfId="51219" hidden="1"/>
    <cellStyle name="20% - 강조색4 4" xfId="51259" hidden="1"/>
    <cellStyle name="20% - 강조색4 4" xfId="51299" hidden="1"/>
    <cellStyle name="20% - 강조색4 4" xfId="51339" hidden="1"/>
    <cellStyle name="20% - 강조색4 4" xfId="51379" hidden="1"/>
    <cellStyle name="20% - 강조색4 4" xfId="51419" hidden="1"/>
    <cellStyle name="20% - 강조색4 4" xfId="51459" hidden="1"/>
    <cellStyle name="20% - 강조색4 4" xfId="50903" hidden="1"/>
    <cellStyle name="20% - 강조색4 4" xfId="50854" hidden="1"/>
    <cellStyle name="20% - 강조색4 4" xfId="51501" hidden="1"/>
    <cellStyle name="20% - 강조색4 4" xfId="51543" hidden="1"/>
    <cellStyle name="20% - 강조색4 4" xfId="51585" hidden="1"/>
    <cellStyle name="20% - 강조색4 4" xfId="51627" hidden="1"/>
    <cellStyle name="20% - 강조색4 4" xfId="51669" hidden="1"/>
    <cellStyle name="20% - 강조색4 4" xfId="51711" hidden="1"/>
    <cellStyle name="20% - 강조색4 4" xfId="51753" hidden="1"/>
    <cellStyle name="20% - 강조색4 4" xfId="51795" hidden="1"/>
    <cellStyle name="20% - 강조색4 4" xfId="51837" hidden="1"/>
    <cellStyle name="20% - 강조색4 4" xfId="51879" hidden="1"/>
    <cellStyle name="20% - 강조색4 4" xfId="50956" hidden="1"/>
    <cellStyle name="20% - 강조색4 4" xfId="51907" hidden="1"/>
    <cellStyle name="20% - 강조색4 4" xfId="51947" hidden="1"/>
    <cellStyle name="20% - 강조색4 4" xfId="51987" hidden="1"/>
    <cellStyle name="20% - 강조색4 4" xfId="52027" hidden="1"/>
    <cellStyle name="20% - 강조색4 4" xfId="52067" hidden="1"/>
    <cellStyle name="20% - 강조색4 4" xfId="52107" hidden="1"/>
    <cellStyle name="20% - 강조색4 4" xfId="52147" hidden="1"/>
    <cellStyle name="20% - 강조색4 4" xfId="52187" hidden="1"/>
    <cellStyle name="20% - 강조색4 4" xfId="52227" hidden="1"/>
    <cellStyle name="20% - 강조색4 4" xfId="52267" hidden="1"/>
    <cellStyle name="20% - 강조색4 4" xfId="52307" hidden="1"/>
    <cellStyle name="20% - 강조색4 4" xfId="52347" hidden="1"/>
    <cellStyle name="20% - 강조색4 4 2" xfId="1145"/>
    <cellStyle name="20% - 강조색4 4 3" xfId="1146"/>
    <cellStyle name="20% - 강조색4 4 4" xfId="1147"/>
    <cellStyle name="20% - 강조색4 4 5" xfId="1148"/>
    <cellStyle name="20% - 강조색4 40" xfId="1149"/>
    <cellStyle name="20% - 강조색4 41" xfId="1150"/>
    <cellStyle name="20% - 강조색4 42" xfId="1151"/>
    <cellStyle name="20% - 강조색4 43" xfId="1152"/>
    <cellStyle name="20% - 강조색4 44" xfId="1153"/>
    <cellStyle name="20% - 강조색4 45" xfId="1154"/>
    <cellStyle name="20% - 강조색4 46" xfId="1155"/>
    <cellStyle name="20% - 강조색4 47" xfId="1156"/>
    <cellStyle name="20% - 강조색4 48" xfId="1157"/>
    <cellStyle name="20% - 강조색4 49" xfId="1158"/>
    <cellStyle name="20% - 강조색4 5" xfId="1159"/>
    <cellStyle name="20% - 강조색4 50" xfId="1160"/>
    <cellStyle name="20% - 강조색4 51" xfId="1161"/>
    <cellStyle name="20% - 강조색4 52" xfId="1162"/>
    <cellStyle name="20% - 강조색4 6" xfId="1163"/>
    <cellStyle name="20% - 강조색4 7" xfId="1164"/>
    <cellStyle name="20% - 강조색4 8" xfId="1165"/>
    <cellStyle name="20% - 강조색4 9" xfId="1166"/>
    <cellStyle name="20% - 강조색5 10" xfId="1167"/>
    <cellStyle name="20% - 강조색5 11" xfId="1168"/>
    <cellStyle name="20% - 강조색5 12" xfId="1169"/>
    <cellStyle name="20% - 강조색5 13" xfId="1170"/>
    <cellStyle name="20% - 강조색5 14" xfId="1171"/>
    <cellStyle name="20% - 강조색5 15" xfId="1172"/>
    <cellStyle name="20% - 강조색5 16" xfId="1173"/>
    <cellStyle name="20% - 강조색5 17" xfId="1174"/>
    <cellStyle name="20% - 강조색5 18" xfId="1175"/>
    <cellStyle name="20% - 강조색5 19" xfId="1176"/>
    <cellStyle name="20% - 강조색5 2" xfId="110"/>
    <cellStyle name="20% - 강조색5 2 10" xfId="1177"/>
    <cellStyle name="20% - 강조색5 2 100" xfId="1178"/>
    <cellStyle name="20% - 강조색5 2 101" xfId="1179"/>
    <cellStyle name="20% - 강조색5 2 102" xfId="1180"/>
    <cellStyle name="20% - 강조색5 2 103" xfId="1181"/>
    <cellStyle name="20% - 강조색5 2 104" xfId="1182"/>
    <cellStyle name="20% - 강조색5 2 105" xfId="1183"/>
    <cellStyle name="20% - 강조색5 2 106" xfId="1184"/>
    <cellStyle name="20% - 강조색5 2 107" xfId="1185"/>
    <cellStyle name="20% - 강조색5 2 108" xfId="1186"/>
    <cellStyle name="20% - 강조색5 2 109" xfId="1187"/>
    <cellStyle name="20% - 강조색5 2 11" xfId="1188"/>
    <cellStyle name="20% - 강조색5 2 110" xfId="1189"/>
    <cellStyle name="20% - 강조색5 2 111" xfId="1190"/>
    <cellStyle name="20% - 강조색5 2 112" xfId="1191"/>
    <cellStyle name="20% - 강조색5 2 12" xfId="1192"/>
    <cellStyle name="20% - 강조색5 2 13" xfId="1193"/>
    <cellStyle name="20% - 강조색5 2 14" xfId="1194"/>
    <cellStyle name="20% - 강조색5 2 15" xfId="1195"/>
    <cellStyle name="20% - 강조색5 2 16" xfId="1196"/>
    <cellStyle name="20% - 강조색5 2 17" xfId="1197"/>
    <cellStyle name="20% - 강조색5 2 18" xfId="1198"/>
    <cellStyle name="20% - 강조색5 2 19" xfId="1199"/>
    <cellStyle name="20% - 강조색5 2 2" xfId="111"/>
    <cellStyle name="20% - 강조색5 2 2 10" xfId="1200"/>
    <cellStyle name="20% - 강조색5 2 2 11" xfId="1201"/>
    <cellStyle name="20% - 강조색5 2 2 12" xfId="1202"/>
    <cellStyle name="20% - 강조색5 2 2 13" xfId="1203"/>
    <cellStyle name="20% - 강조색5 2 2 14" xfId="1204"/>
    <cellStyle name="20% - 강조색5 2 2 15" xfId="1205"/>
    <cellStyle name="20% - 강조색5 2 2 2" xfId="1206"/>
    <cellStyle name="20% - 강조색5 2 2 2 2" xfId="1207"/>
    <cellStyle name="20% - 강조색5 2 2 2 3" xfId="1208"/>
    <cellStyle name="20% - 강조색5 2 2 2 4" xfId="1209"/>
    <cellStyle name="20% - 강조색5 2 2 2 5" xfId="1210"/>
    <cellStyle name="20% - 강조색5 2 2 3" xfId="1211"/>
    <cellStyle name="20% - 강조색5 2 2 4" xfId="1212"/>
    <cellStyle name="20% - 강조색5 2 2 5" xfId="1213"/>
    <cellStyle name="20% - 강조색5 2 2 6" xfId="1214"/>
    <cellStyle name="20% - 강조색5 2 2 7" xfId="1215"/>
    <cellStyle name="20% - 강조색5 2 2 8" xfId="1216"/>
    <cellStyle name="20% - 강조색5 2 2 9" xfId="1217"/>
    <cellStyle name="20% - 강조색5 2 20" xfId="1218"/>
    <cellStyle name="20% - 강조색5 2 21" xfId="1219"/>
    <cellStyle name="20% - 강조색5 2 22" xfId="1220"/>
    <cellStyle name="20% - 강조색5 2 23" xfId="1221"/>
    <cellStyle name="20% - 강조색5 2 24" xfId="1222"/>
    <cellStyle name="20% - 강조색5 2 25" xfId="1223"/>
    <cellStyle name="20% - 강조색5 2 26" xfId="1224"/>
    <cellStyle name="20% - 강조색5 2 27" xfId="1225"/>
    <cellStyle name="20% - 강조색5 2 28" xfId="1226"/>
    <cellStyle name="20% - 강조색5 2 29" xfId="1227"/>
    <cellStyle name="20% - 강조색5 2 3" xfId="1228"/>
    <cellStyle name="20% - 강조색5 2 3 2" xfId="1229"/>
    <cellStyle name="20% - 강조색5 2 3 3" xfId="1230"/>
    <cellStyle name="20% - 강조색5 2 3 4" xfId="1231"/>
    <cellStyle name="20% - 강조색5 2 3 5" xfId="1232"/>
    <cellStyle name="20% - 강조색5 2 30" xfId="1233"/>
    <cellStyle name="20% - 강조색5 2 31" xfId="1234"/>
    <cellStyle name="20% - 강조색5 2 32" xfId="1235"/>
    <cellStyle name="20% - 강조색5 2 33" xfId="1236"/>
    <cellStyle name="20% - 강조색5 2 34" xfId="1237"/>
    <cellStyle name="20% - 강조색5 2 35" xfId="1238"/>
    <cellStyle name="20% - 강조색5 2 36" xfId="1239"/>
    <cellStyle name="20% - 강조색5 2 37" xfId="1240"/>
    <cellStyle name="20% - 강조색5 2 38" xfId="1241"/>
    <cellStyle name="20% - 강조색5 2 39" xfId="1242"/>
    <cellStyle name="20% - 강조색5 2 4" xfId="1243"/>
    <cellStyle name="20% - 강조색5 2 40" xfId="1244"/>
    <cellStyle name="20% - 강조색5 2 41" xfId="1245"/>
    <cellStyle name="20% - 강조색5 2 42" xfId="1246"/>
    <cellStyle name="20% - 강조색5 2 43" xfId="1247"/>
    <cellStyle name="20% - 강조색5 2 44" xfId="1248"/>
    <cellStyle name="20% - 강조색5 2 45" xfId="1249"/>
    <cellStyle name="20% - 강조색5 2 46" xfId="1250"/>
    <cellStyle name="20% - 강조색5 2 47" xfId="1251"/>
    <cellStyle name="20% - 강조색5 2 48" xfId="1252"/>
    <cellStyle name="20% - 강조색5 2 49" xfId="1253"/>
    <cellStyle name="20% - 강조색5 2 5" xfId="1254"/>
    <cellStyle name="20% - 강조색5 2 50" xfId="1255"/>
    <cellStyle name="20% - 강조색5 2 51" xfId="1256"/>
    <cellStyle name="20% - 강조색5 2 52" xfId="1257"/>
    <cellStyle name="20% - 강조색5 2 53" xfId="1258"/>
    <cellStyle name="20% - 강조색5 2 54" xfId="1259"/>
    <cellStyle name="20% - 강조색5 2 55" xfId="1260"/>
    <cellStyle name="20% - 강조색5 2 56" xfId="1261"/>
    <cellStyle name="20% - 강조색5 2 57" xfId="1262"/>
    <cellStyle name="20% - 강조색5 2 58" xfId="1263"/>
    <cellStyle name="20% - 강조색5 2 59" xfId="1264"/>
    <cellStyle name="20% - 강조색5 2 6" xfId="1265"/>
    <cellStyle name="20% - 강조색5 2 60" xfId="1266"/>
    <cellStyle name="20% - 강조색5 2 61" xfId="1267"/>
    <cellStyle name="20% - 강조색5 2 62" xfId="1268"/>
    <cellStyle name="20% - 강조색5 2 63" xfId="1269"/>
    <cellStyle name="20% - 강조색5 2 64" xfId="1270"/>
    <cellStyle name="20% - 강조색5 2 65" xfId="1271"/>
    <cellStyle name="20% - 강조색5 2 66" xfId="1272"/>
    <cellStyle name="20% - 강조색5 2 67" xfId="1273"/>
    <cellStyle name="20% - 강조색5 2 68" xfId="1274"/>
    <cellStyle name="20% - 강조색5 2 69" xfId="1275"/>
    <cellStyle name="20% - 강조색5 2 7" xfId="1276"/>
    <cellStyle name="20% - 강조색5 2 70" xfId="1277"/>
    <cellStyle name="20% - 강조색5 2 71" xfId="1278"/>
    <cellStyle name="20% - 강조색5 2 72" xfId="1279"/>
    <cellStyle name="20% - 강조색5 2 73" xfId="1280"/>
    <cellStyle name="20% - 강조색5 2 74" xfId="1281"/>
    <cellStyle name="20% - 강조색5 2 75" xfId="1282"/>
    <cellStyle name="20% - 강조색5 2 76" xfId="1283"/>
    <cellStyle name="20% - 강조색5 2 77" xfId="1284"/>
    <cellStyle name="20% - 강조색5 2 78" xfId="1285"/>
    <cellStyle name="20% - 강조색5 2 79" xfId="1286"/>
    <cellStyle name="20% - 강조색5 2 8" xfId="1287"/>
    <cellStyle name="20% - 강조색5 2 80" xfId="1288"/>
    <cellStyle name="20% - 강조색5 2 81" xfId="1289"/>
    <cellStyle name="20% - 강조색5 2 82" xfId="1290"/>
    <cellStyle name="20% - 강조색5 2 83" xfId="1291"/>
    <cellStyle name="20% - 강조색5 2 84" xfId="1292"/>
    <cellStyle name="20% - 강조색5 2 85" xfId="1293"/>
    <cellStyle name="20% - 강조색5 2 86" xfId="1294"/>
    <cellStyle name="20% - 강조색5 2 87" xfId="1295"/>
    <cellStyle name="20% - 강조색5 2 88" xfId="1296"/>
    <cellStyle name="20% - 강조색5 2 89" xfId="1297"/>
    <cellStyle name="20% - 강조색5 2 9" xfId="1298"/>
    <cellStyle name="20% - 강조색5 2 90" xfId="1299"/>
    <cellStyle name="20% - 강조색5 2 91" xfId="1300"/>
    <cellStyle name="20% - 강조색5 2 92" xfId="1301"/>
    <cellStyle name="20% - 강조색5 2 93" xfId="1302"/>
    <cellStyle name="20% - 강조색5 2 94" xfId="1303"/>
    <cellStyle name="20% - 강조색5 2 95" xfId="1304"/>
    <cellStyle name="20% - 강조색5 2 96" xfId="1305"/>
    <cellStyle name="20% - 강조색5 2 97" xfId="1306"/>
    <cellStyle name="20% - 강조색5 2 98" xfId="1307"/>
    <cellStyle name="20% - 강조색5 2 99" xfId="1308"/>
    <cellStyle name="20% - 강조색5 20" xfId="1309"/>
    <cellStyle name="20% - 강조색5 21" xfId="1310"/>
    <cellStyle name="20% - 강조색5 22" xfId="1311"/>
    <cellStyle name="20% - 강조색5 23" xfId="1312"/>
    <cellStyle name="20% - 강조색5 24" xfId="1313"/>
    <cellStyle name="20% - 강조색5 25" xfId="1314"/>
    <cellStyle name="20% - 강조색5 26" xfId="1315"/>
    <cellStyle name="20% - 강조색5 27" xfId="1316"/>
    <cellStyle name="20% - 강조색5 28" xfId="1317"/>
    <cellStyle name="20% - 강조색5 29" xfId="1318"/>
    <cellStyle name="20% - 강조색5 3" xfId="112"/>
    <cellStyle name="20% - 강조색5 30" xfId="1319"/>
    <cellStyle name="20% - 강조색5 31" xfId="1320"/>
    <cellStyle name="20% - 강조색5 32" xfId="1321"/>
    <cellStyle name="20% - 강조색5 33" xfId="1322"/>
    <cellStyle name="20% - 강조색5 34" xfId="1323"/>
    <cellStyle name="20% - 강조색5 35" xfId="1324"/>
    <cellStyle name="20% - 강조색5 36" xfId="1325"/>
    <cellStyle name="20% - 강조색5 37" xfId="1326"/>
    <cellStyle name="20% - 강조색5 38" xfId="1327"/>
    <cellStyle name="20% - 강조색5 39" xfId="1328"/>
    <cellStyle name="20% - 강조색5 4" xfId="11741" hidden="1"/>
    <cellStyle name="20% - 강조색5 4" xfId="11787" hidden="1"/>
    <cellStyle name="20% - 강조색5 4" xfId="11833" hidden="1"/>
    <cellStyle name="20% - 강조색5 4" xfId="11879" hidden="1"/>
    <cellStyle name="20% - 강조색5 4" xfId="11925" hidden="1"/>
    <cellStyle name="20% - 강조색5 4" xfId="11971" hidden="1"/>
    <cellStyle name="20% - 강조색5 4" xfId="12017" hidden="1"/>
    <cellStyle name="20% - 강조색5 4" xfId="12063" hidden="1"/>
    <cellStyle name="20% - 강조색5 4" xfId="12109" hidden="1"/>
    <cellStyle name="20% - 강조색5 4" xfId="12155" hidden="1"/>
    <cellStyle name="20% - 강조색5 4" xfId="12201" hidden="1"/>
    <cellStyle name="20% - 강조색5 4" xfId="12247" hidden="1"/>
    <cellStyle name="20% - 강조색5 4" xfId="12337" hidden="1"/>
    <cellStyle name="20% - 강조색5 4" xfId="12378" hidden="1"/>
    <cellStyle name="20% - 강조색5 4" xfId="12420" hidden="1"/>
    <cellStyle name="20% - 강조색5 4" xfId="12462" hidden="1"/>
    <cellStyle name="20% - 강조색5 4" xfId="12504" hidden="1"/>
    <cellStyle name="20% - 강조색5 4" xfId="12546" hidden="1"/>
    <cellStyle name="20% - 강조색5 4" xfId="12588" hidden="1"/>
    <cellStyle name="20% - 강조색5 4" xfId="12630" hidden="1"/>
    <cellStyle name="20% - 강조색5 4" xfId="12672" hidden="1"/>
    <cellStyle name="20% - 강조색5 4" xfId="12714" hidden="1"/>
    <cellStyle name="20% - 강조색5 4" xfId="12756" hidden="1"/>
    <cellStyle name="20% - 강조색5 4" xfId="12798" hidden="1"/>
    <cellStyle name="20% - 강조색5 4" xfId="12292" hidden="1"/>
    <cellStyle name="20% - 강조색5 4" xfId="12980" hidden="1"/>
    <cellStyle name="20% - 강조색5 4" xfId="13020" hidden="1"/>
    <cellStyle name="20% - 강조색5 4" xfId="13060" hidden="1"/>
    <cellStyle name="20% - 강조색5 4" xfId="13100" hidden="1"/>
    <cellStyle name="20% - 강조색5 4" xfId="13140" hidden="1"/>
    <cellStyle name="20% - 강조색5 4" xfId="13180" hidden="1"/>
    <cellStyle name="20% - 강조색5 4" xfId="13220" hidden="1"/>
    <cellStyle name="20% - 강조색5 4" xfId="13260" hidden="1"/>
    <cellStyle name="20% - 강조색5 4" xfId="13300" hidden="1"/>
    <cellStyle name="20% - 강조색5 4" xfId="13340" hidden="1"/>
    <cellStyle name="20% - 강조색5 4" xfId="13380" hidden="1"/>
    <cellStyle name="20% - 강조색5 4" xfId="13420" hidden="1"/>
    <cellStyle name="20% - 강조색5 4" xfId="12854" hidden="1"/>
    <cellStyle name="20% - 강조색5 4" xfId="12815" hidden="1"/>
    <cellStyle name="20% - 강조색5 4" xfId="13462" hidden="1"/>
    <cellStyle name="20% - 강조색5 4" xfId="13504" hidden="1"/>
    <cellStyle name="20% - 강조색5 4" xfId="13546" hidden="1"/>
    <cellStyle name="20% - 강조색5 4" xfId="13588" hidden="1"/>
    <cellStyle name="20% - 강조색5 4" xfId="13630" hidden="1"/>
    <cellStyle name="20% - 강조색5 4" xfId="13672" hidden="1"/>
    <cellStyle name="20% - 강조색5 4" xfId="13714" hidden="1"/>
    <cellStyle name="20% - 강조색5 4" xfId="13756" hidden="1"/>
    <cellStyle name="20% - 강조색5 4" xfId="13798" hidden="1"/>
    <cellStyle name="20% - 강조색5 4" xfId="13840" hidden="1"/>
    <cellStyle name="20% - 강조색5 4" xfId="12908" hidden="1"/>
    <cellStyle name="20% - 강조색5 4" xfId="13868" hidden="1"/>
    <cellStyle name="20% - 강조색5 4" xfId="13908" hidden="1"/>
    <cellStyle name="20% - 강조색5 4" xfId="13948" hidden="1"/>
    <cellStyle name="20% - 강조색5 4" xfId="13988" hidden="1"/>
    <cellStyle name="20% - 강조색5 4" xfId="14028" hidden="1"/>
    <cellStyle name="20% - 강조색5 4" xfId="14068" hidden="1"/>
    <cellStyle name="20% - 강조색5 4" xfId="14108" hidden="1"/>
    <cellStyle name="20% - 강조색5 4" xfId="14148" hidden="1"/>
    <cellStyle name="20% - 강조색5 4" xfId="14188" hidden="1"/>
    <cellStyle name="20% - 강조색5 4" xfId="14228" hidden="1"/>
    <cellStyle name="20% - 강조색5 4" xfId="14268" hidden="1"/>
    <cellStyle name="20% - 강조색5 4" xfId="14308" hidden="1"/>
    <cellStyle name="20% - 강조색5 4" xfId="14414" hidden="1"/>
    <cellStyle name="20% - 강조색5 4" xfId="14454" hidden="1"/>
    <cellStyle name="20% - 강조색5 4" xfId="14494" hidden="1"/>
    <cellStyle name="20% - 강조색5 4" xfId="14534" hidden="1"/>
    <cellStyle name="20% - 강조색5 4" xfId="14574" hidden="1"/>
    <cellStyle name="20% - 강조색5 4" xfId="14614" hidden="1"/>
    <cellStyle name="20% - 강조색5 4" xfId="14654" hidden="1"/>
    <cellStyle name="20% - 강조색5 4" xfId="14694" hidden="1"/>
    <cellStyle name="20% - 강조색5 4" xfId="14734" hidden="1"/>
    <cellStyle name="20% - 강조색5 4" xfId="14774" hidden="1"/>
    <cellStyle name="20% - 강조색5 4" xfId="14814" hidden="1"/>
    <cellStyle name="20% - 강조색5 4" xfId="14854" hidden="1"/>
    <cellStyle name="20% - 강조색5 4" xfId="14938" hidden="1"/>
    <cellStyle name="20% - 강조색5 4" xfId="14979" hidden="1"/>
    <cellStyle name="20% - 강조색5 4" xfId="15021" hidden="1"/>
    <cellStyle name="20% - 강조색5 4" xfId="15063" hidden="1"/>
    <cellStyle name="20% - 강조색5 4" xfId="15105" hidden="1"/>
    <cellStyle name="20% - 강조색5 4" xfId="15147" hidden="1"/>
    <cellStyle name="20% - 강조색5 4" xfId="15189" hidden="1"/>
    <cellStyle name="20% - 강조색5 4" xfId="15231" hidden="1"/>
    <cellStyle name="20% - 강조색5 4" xfId="15273" hidden="1"/>
    <cellStyle name="20% - 강조색5 4" xfId="15315" hidden="1"/>
    <cellStyle name="20% - 강조색5 4" xfId="15357" hidden="1"/>
    <cellStyle name="20% - 강조색5 4" xfId="15399" hidden="1"/>
    <cellStyle name="20% - 강조색5 4" xfId="14895" hidden="1"/>
    <cellStyle name="20% - 강조색5 4" xfId="15578" hidden="1"/>
    <cellStyle name="20% - 강조색5 4" xfId="15618" hidden="1"/>
    <cellStyle name="20% - 강조색5 4" xfId="15658" hidden="1"/>
    <cellStyle name="20% - 강조색5 4" xfId="15698" hidden="1"/>
    <cellStyle name="20% - 강조색5 4" xfId="15738" hidden="1"/>
    <cellStyle name="20% - 강조색5 4" xfId="15778" hidden="1"/>
    <cellStyle name="20% - 강조색5 4" xfId="15818" hidden="1"/>
    <cellStyle name="20% - 강조색5 4" xfId="15858" hidden="1"/>
    <cellStyle name="20% - 강조색5 4" xfId="15898" hidden="1"/>
    <cellStyle name="20% - 강조색5 4" xfId="15938" hidden="1"/>
    <cellStyle name="20% - 강조색5 4" xfId="15978" hidden="1"/>
    <cellStyle name="20% - 강조색5 4" xfId="16018" hidden="1"/>
    <cellStyle name="20% - 강조색5 4" xfId="15454" hidden="1"/>
    <cellStyle name="20% - 강조색5 4" xfId="15415" hidden="1"/>
    <cellStyle name="20% - 강조색5 4" xfId="16060" hidden="1"/>
    <cellStyle name="20% - 강조색5 4" xfId="16102" hidden="1"/>
    <cellStyle name="20% - 강조색5 4" xfId="16144" hidden="1"/>
    <cellStyle name="20% - 강조색5 4" xfId="16186" hidden="1"/>
    <cellStyle name="20% - 강조색5 4" xfId="16228" hidden="1"/>
    <cellStyle name="20% - 강조색5 4" xfId="16270" hidden="1"/>
    <cellStyle name="20% - 강조색5 4" xfId="16312" hidden="1"/>
    <cellStyle name="20% - 강조색5 4" xfId="16354" hidden="1"/>
    <cellStyle name="20% - 강조색5 4" xfId="16396" hidden="1"/>
    <cellStyle name="20% - 강조색5 4" xfId="16438" hidden="1"/>
    <cellStyle name="20% - 강조색5 4" xfId="15507" hidden="1"/>
    <cellStyle name="20% - 강조색5 4" xfId="16466" hidden="1"/>
    <cellStyle name="20% - 강조색5 4" xfId="16506" hidden="1"/>
    <cellStyle name="20% - 강조색5 4" xfId="16546" hidden="1"/>
    <cellStyle name="20% - 강조색5 4" xfId="16586" hidden="1"/>
    <cellStyle name="20% - 강조색5 4" xfId="16626" hidden="1"/>
    <cellStyle name="20% - 강조색5 4" xfId="16666" hidden="1"/>
    <cellStyle name="20% - 강조색5 4" xfId="16706" hidden="1"/>
    <cellStyle name="20% - 강조색5 4" xfId="16746" hidden="1"/>
    <cellStyle name="20% - 강조색5 4" xfId="16786" hidden="1"/>
    <cellStyle name="20% - 강조색5 4" xfId="16826" hidden="1"/>
    <cellStyle name="20% - 강조색5 4" xfId="16866" hidden="1"/>
    <cellStyle name="20% - 강조색5 4" xfId="16906" hidden="1"/>
    <cellStyle name="20% - 강조색5 4" xfId="16917" hidden="1"/>
    <cellStyle name="20% - 강조색5 4" xfId="16957" hidden="1"/>
    <cellStyle name="20% - 강조색5 4" xfId="16998" hidden="1"/>
    <cellStyle name="20% - 강조색5 4" xfId="17038" hidden="1"/>
    <cellStyle name="20% - 강조색5 4" xfId="17078" hidden="1"/>
    <cellStyle name="20% - 강조색5 4" xfId="17118" hidden="1"/>
    <cellStyle name="20% - 강조색5 4" xfId="17158" hidden="1"/>
    <cellStyle name="20% - 강조색5 4" xfId="17198" hidden="1"/>
    <cellStyle name="20% - 강조색5 4" xfId="17238" hidden="1"/>
    <cellStyle name="20% - 강조색5 4" xfId="17278" hidden="1"/>
    <cellStyle name="20% - 강조색5 4" xfId="17318" hidden="1"/>
    <cellStyle name="20% - 강조색5 4" xfId="17358" hidden="1"/>
    <cellStyle name="20% - 강조색5 4" xfId="17442" hidden="1"/>
    <cellStyle name="20% - 강조색5 4" xfId="17483" hidden="1"/>
    <cellStyle name="20% - 강조색5 4" xfId="17525" hidden="1"/>
    <cellStyle name="20% - 강조색5 4" xfId="17567" hidden="1"/>
    <cellStyle name="20% - 강조색5 4" xfId="17609" hidden="1"/>
    <cellStyle name="20% - 강조색5 4" xfId="17651" hidden="1"/>
    <cellStyle name="20% - 강조색5 4" xfId="17693" hidden="1"/>
    <cellStyle name="20% - 강조색5 4" xfId="17735" hidden="1"/>
    <cellStyle name="20% - 강조색5 4" xfId="17777" hidden="1"/>
    <cellStyle name="20% - 강조색5 4" xfId="17819" hidden="1"/>
    <cellStyle name="20% - 강조색5 4" xfId="17861" hidden="1"/>
    <cellStyle name="20% - 강조색5 4" xfId="17903" hidden="1"/>
    <cellStyle name="20% - 강조색5 4" xfId="17399" hidden="1"/>
    <cellStyle name="20% - 강조색5 4" xfId="18082" hidden="1"/>
    <cellStyle name="20% - 강조색5 4" xfId="18122" hidden="1"/>
    <cellStyle name="20% - 강조색5 4" xfId="18162" hidden="1"/>
    <cellStyle name="20% - 강조색5 4" xfId="18202" hidden="1"/>
    <cellStyle name="20% - 강조색5 4" xfId="18242" hidden="1"/>
    <cellStyle name="20% - 강조색5 4" xfId="18282" hidden="1"/>
    <cellStyle name="20% - 강조색5 4" xfId="18322" hidden="1"/>
    <cellStyle name="20% - 강조색5 4" xfId="18362" hidden="1"/>
    <cellStyle name="20% - 강조색5 4" xfId="18402" hidden="1"/>
    <cellStyle name="20% - 강조색5 4" xfId="18442" hidden="1"/>
    <cellStyle name="20% - 강조색5 4" xfId="18482" hidden="1"/>
    <cellStyle name="20% - 강조색5 4" xfId="18522" hidden="1"/>
    <cellStyle name="20% - 강조색5 4" xfId="17958" hidden="1"/>
    <cellStyle name="20% - 강조색5 4" xfId="17919" hidden="1"/>
    <cellStyle name="20% - 강조색5 4" xfId="18564" hidden="1"/>
    <cellStyle name="20% - 강조색5 4" xfId="18606" hidden="1"/>
    <cellStyle name="20% - 강조색5 4" xfId="18648" hidden="1"/>
    <cellStyle name="20% - 강조색5 4" xfId="18690" hidden="1"/>
    <cellStyle name="20% - 강조색5 4" xfId="18732" hidden="1"/>
    <cellStyle name="20% - 강조색5 4" xfId="18774" hidden="1"/>
    <cellStyle name="20% - 강조색5 4" xfId="18816" hidden="1"/>
    <cellStyle name="20% - 강조색5 4" xfId="18858" hidden="1"/>
    <cellStyle name="20% - 강조색5 4" xfId="18900" hidden="1"/>
    <cellStyle name="20% - 강조색5 4" xfId="18942" hidden="1"/>
    <cellStyle name="20% - 강조색5 4" xfId="18011" hidden="1"/>
    <cellStyle name="20% - 강조색5 4" xfId="18970" hidden="1"/>
    <cellStyle name="20% - 강조색5 4" xfId="19010" hidden="1"/>
    <cellStyle name="20% - 강조색5 4" xfId="19050" hidden="1"/>
    <cellStyle name="20% - 강조색5 4" xfId="19090" hidden="1"/>
    <cellStyle name="20% - 강조색5 4" xfId="19130" hidden="1"/>
    <cellStyle name="20% - 강조색5 4" xfId="19170" hidden="1"/>
    <cellStyle name="20% - 강조색5 4" xfId="19210" hidden="1"/>
    <cellStyle name="20% - 강조색5 4" xfId="19250" hidden="1"/>
    <cellStyle name="20% - 강조색5 4" xfId="19290" hidden="1"/>
    <cellStyle name="20% - 강조색5 4" xfId="19330" hidden="1"/>
    <cellStyle name="20% - 강조색5 4" xfId="19370" hidden="1"/>
    <cellStyle name="20% - 강조색5 4" xfId="19410" hidden="1"/>
    <cellStyle name="20% - 강조색5 4" xfId="19420" hidden="1"/>
    <cellStyle name="20% - 강조색5 4" xfId="19460" hidden="1"/>
    <cellStyle name="20% - 강조색5 4" xfId="19500" hidden="1"/>
    <cellStyle name="20% - 강조색5 4" xfId="19540" hidden="1"/>
    <cellStyle name="20% - 강조색5 4" xfId="19580" hidden="1"/>
    <cellStyle name="20% - 강조색5 4" xfId="19620" hidden="1"/>
    <cellStyle name="20% - 강조색5 4" xfId="19660" hidden="1"/>
    <cellStyle name="20% - 강조색5 4" xfId="19700" hidden="1"/>
    <cellStyle name="20% - 강조색5 4" xfId="19740" hidden="1"/>
    <cellStyle name="20% - 강조색5 4" xfId="19780" hidden="1"/>
    <cellStyle name="20% - 강조색5 4" xfId="19820" hidden="1"/>
    <cellStyle name="20% - 강조색5 4" xfId="19860" hidden="1"/>
    <cellStyle name="20% - 강조색5 4" xfId="19944" hidden="1"/>
    <cellStyle name="20% - 강조색5 4" xfId="19985" hidden="1"/>
    <cellStyle name="20% - 강조색5 4" xfId="20027" hidden="1"/>
    <cellStyle name="20% - 강조색5 4" xfId="20069" hidden="1"/>
    <cellStyle name="20% - 강조색5 4" xfId="20111" hidden="1"/>
    <cellStyle name="20% - 강조색5 4" xfId="20153" hidden="1"/>
    <cellStyle name="20% - 강조색5 4" xfId="20195" hidden="1"/>
    <cellStyle name="20% - 강조색5 4" xfId="20237" hidden="1"/>
    <cellStyle name="20% - 강조색5 4" xfId="20279" hidden="1"/>
    <cellStyle name="20% - 강조색5 4" xfId="20321" hidden="1"/>
    <cellStyle name="20% - 강조색5 4" xfId="20363" hidden="1"/>
    <cellStyle name="20% - 강조색5 4" xfId="20405" hidden="1"/>
    <cellStyle name="20% - 강조색5 4" xfId="19901" hidden="1"/>
    <cellStyle name="20% - 강조색5 4" xfId="20584" hidden="1"/>
    <cellStyle name="20% - 강조색5 4" xfId="20624" hidden="1"/>
    <cellStyle name="20% - 강조색5 4" xfId="20664" hidden="1"/>
    <cellStyle name="20% - 강조색5 4" xfId="20704" hidden="1"/>
    <cellStyle name="20% - 강조색5 4" xfId="20744" hidden="1"/>
    <cellStyle name="20% - 강조색5 4" xfId="20784" hidden="1"/>
    <cellStyle name="20% - 강조색5 4" xfId="20824" hidden="1"/>
    <cellStyle name="20% - 강조색5 4" xfId="20864" hidden="1"/>
    <cellStyle name="20% - 강조색5 4" xfId="20904" hidden="1"/>
    <cellStyle name="20% - 강조색5 4" xfId="20944" hidden="1"/>
    <cellStyle name="20% - 강조색5 4" xfId="20984" hidden="1"/>
    <cellStyle name="20% - 강조색5 4" xfId="21024" hidden="1"/>
    <cellStyle name="20% - 강조색5 4" xfId="20460" hidden="1"/>
    <cellStyle name="20% - 강조색5 4" xfId="20421" hidden="1"/>
    <cellStyle name="20% - 강조색5 4" xfId="21066" hidden="1"/>
    <cellStyle name="20% - 강조색5 4" xfId="21108" hidden="1"/>
    <cellStyle name="20% - 강조색5 4" xfId="21150" hidden="1"/>
    <cellStyle name="20% - 강조색5 4" xfId="21192" hidden="1"/>
    <cellStyle name="20% - 강조색5 4" xfId="21234" hidden="1"/>
    <cellStyle name="20% - 강조색5 4" xfId="21276" hidden="1"/>
    <cellStyle name="20% - 강조색5 4" xfId="21318" hidden="1"/>
    <cellStyle name="20% - 강조색5 4" xfId="21360" hidden="1"/>
    <cellStyle name="20% - 강조색5 4" xfId="21402" hidden="1"/>
    <cellStyle name="20% - 강조색5 4" xfId="21444" hidden="1"/>
    <cellStyle name="20% - 강조색5 4" xfId="20513" hidden="1"/>
    <cellStyle name="20% - 강조색5 4" xfId="21472" hidden="1"/>
    <cellStyle name="20% - 강조색5 4" xfId="21512" hidden="1"/>
    <cellStyle name="20% - 강조색5 4" xfId="21552" hidden="1"/>
    <cellStyle name="20% - 강조색5 4" xfId="21592" hidden="1"/>
    <cellStyle name="20% - 강조색5 4" xfId="21632" hidden="1"/>
    <cellStyle name="20% - 강조색5 4" xfId="21672" hidden="1"/>
    <cellStyle name="20% - 강조색5 4" xfId="21712" hidden="1"/>
    <cellStyle name="20% - 강조색5 4" xfId="21752" hidden="1"/>
    <cellStyle name="20% - 강조색5 4" xfId="21792" hidden="1"/>
    <cellStyle name="20% - 강조색5 4" xfId="21832" hidden="1"/>
    <cellStyle name="20% - 강조색5 4" xfId="21872" hidden="1"/>
    <cellStyle name="20% - 강조색5 4" xfId="21912" hidden="1"/>
    <cellStyle name="20% - 강조색5 4" xfId="21980" hidden="1"/>
    <cellStyle name="20% - 강조색5 4" xfId="22020" hidden="1"/>
    <cellStyle name="20% - 강조색5 4" xfId="22060" hidden="1"/>
    <cellStyle name="20% - 강조색5 4" xfId="22100" hidden="1"/>
    <cellStyle name="20% - 강조색5 4" xfId="22140" hidden="1"/>
    <cellStyle name="20% - 강조색5 4" xfId="22180" hidden="1"/>
    <cellStyle name="20% - 강조색5 4" xfId="22220" hidden="1"/>
    <cellStyle name="20% - 강조색5 4" xfId="22260" hidden="1"/>
    <cellStyle name="20% - 강조색5 4" xfId="22300" hidden="1"/>
    <cellStyle name="20% - 강조색5 4" xfId="22340" hidden="1"/>
    <cellStyle name="20% - 강조색5 4" xfId="22380" hidden="1"/>
    <cellStyle name="20% - 강조색5 4" xfId="22420" hidden="1"/>
    <cellStyle name="20% - 강조색5 4" xfId="22504" hidden="1"/>
    <cellStyle name="20% - 강조색5 4" xfId="22545" hidden="1"/>
    <cellStyle name="20% - 강조색5 4" xfId="22587" hidden="1"/>
    <cellStyle name="20% - 강조색5 4" xfId="22629" hidden="1"/>
    <cellStyle name="20% - 강조색5 4" xfId="22671" hidden="1"/>
    <cellStyle name="20% - 강조색5 4" xfId="22713" hidden="1"/>
    <cellStyle name="20% - 강조색5 4" xfId="22755" hidden="1"/>
    <cellStyle name="20% - 강조색5 4" xfId="22797" hidden="1"/>
    <cellStyle name="20% - 강조색5 4" xfId="22839" hidden="1"/>
    <cellStyle name="20% - 강조색5 4" xfId="22881" hidden="1"/>
    <cellStyle name="20% - 강조색5 4" xfId="22923" hidden="1"/>
    <cellStyle name="20% - 강조색5 4" xfId="22965" hidden="1"/>
    <cellStyle name="20% - 강조색5 4" xfId="22461" hidden="1"/>
    <cellStyle name="20% - 강조색5 4" xfId="23144" hidden="1"/>
    <cellStyle name="20% - 강조색5 4" xfId="23184" hidden="1"/>
    <cellStyle name="20% - 강조색5 4" xfId="23224" hidden="1"/>
    <cellStyle name="20% - 강조색5 4" xfId="23264" hidden="1"/>
    <cellStyle name="20% - 강조색5 4" xfId="23304" hidden="1"/>
    <cellStyle name="20% - 강조색5 4" xfId="23344" hidden="1"/>
    <cellStyle name="20% - 강조색5 4" xfId="23384" hidden="1"/>
    <cellStyle name="20% - 강조색5 4" xfId="23424" hidden="1"/>
    <cellStyle name="20% - 강조색5 4" xfId="23464" hidden="1"/>
    <cellStyle name="20% - 강조색5 4" xfId="23504" hidden="1"/>
    <cellStyle name="20% - 강조색5 4" xfId="23544" hidden="1"/>
    <cellStyle name="20% - 강조색5 4" xfId="23584" hidden="1"/>
    <cellStyle name="20% - 강조색5 4" xfId="23020" hidden="1"/>
    <cellStyle name="20% - 강조색5 4" xfId="22981" hidden="1"/>
    <cellStyle name="20% - 강조색5 4" xfId="23626" hidden="1"/>
    <cellStyle name="20% - 강조색5 4" xfId="23668" hidden="1"/>
    <cellStyle name="20% - 강조색5 4" xfId="23710" hidden="1"/>
    <cellStyle name="20% - 강조색5 4" xfId="23752" hidden="1"/>
    <cellStyle name="20% - 강조색5 4" xfId="23794" hidden="1"/>
    <cellStyle name="20% - 강조색5 4" xfId="23836" hidden="1"/>
    <cellStyle name="20% - 강조색5 4" xfId="23878" hidden="1"/>
    <cellStyle name="20% - 강조색5 4" xfId="23920" hidden="1"/>
    <cellStyle name="20% - 강조색5 4" xfId="23962" hidden="1"/>
    <cellStyle name="20% - 강조색5 4" xfId="24004" hidden="1"/>
    <cellStyle name="20% - 강조색5 4" xfId="23073" hidden="1"/>
    <cellStyle name="20% - 강조색5 4" xfId="24032" hidden="1"/>
    <cellStyle name="20% - 강조색5 4" xfId="24072" hidden="1"/>
    <cellStyle name="20% - 강조색5 4" xfId="24112" hidden="1"/>
    <cellStyle name="20% - 강조색5 4" xfId="24152" hidden="1"/>
    <cellStyle name="20% - 강조색5 4" xfId="24192" hidden="1"/>
    <cellStyle name="20% - 강조색5 4" xfId="24232" hidden="1"/>
    <cellStyle name="20% - 강조색5 4" xfId="24272" hidden="1"/>
    <cellStyle name="20% - 강조색5 4" xfId="24312" hidden="1"/>
    <cellStyle name="20% - 강조색5 4" xfId="24352" hidden="1"/>
    <cellStyle name="20% - 강조색5 4" xfId="24392" hidden="1"/>
    <cellStyle name="20% - 강조색5 4" xfId="24432" hidden="1"/>
    <cellStyle name="20% - 강조색5 4" xfId="24472" hidden="1"/>
    <cellStyle name="20% - 강조색5 4" xfId="24570" hidden="1"/>
    <cellStyle name="20% - 강조색5 4" xfId="24610" hidden="1"/>
    <cellStyle name="20% - 강조색5 4" xfId="24652" hidden="1"/>
    <cellStyle name="20% - 강조색5 4" xfId="24693" hidden="1"/>
    <cellStyle name="20% - 강조색5 4" xfId="24733" hidden="1"/>
    <cellStyle name="20% - 강조색5 4" xfId="24773" hidden="1"/>
    <cellStyle name="20% - 강조색5 4" xfId="24813" hidden="1"/>
    <cellStyle name="20% - 강조색5 4" xfId="24853" hidden="1"/>
    <cellStyle name="20% - 강조색5 4" xfId="24893" hidden="1"/>
    <cellStyle name="20% - 강조색5 4" xfId="24933" hidden="1"/>
    <cellStyle name="20% - 강조색5 4" xfId="24973" hidden="1"/>
    <cellStyle name="20% - 강조색5 4" xfId="25013" hidden="1"/>
    <cellStyle name="20% - 강조색5 4" xfId="25097" hidden="1"/>
    <cellStyle name="20% - 강조색5 4" xfId="25138" hidden="1"/>
    <cellStyle name="20% - 강조색5 4" xfId="25180" hidden="1"/>
    <cellStyle name="20% - 강조색5 4" xfId="25222" hidden="1"/>
    <cellStyle name="20% - 강조색5 4" xfId="25264" hidden="1"/>
    <cellStyle name="20% - 강조색5 4" xfId="25306" hidden="1"/>
    <cellStyle name="20% - 강조색5 4" xfId="25348" hidden="1"/>
    <cellStyle name="20% - 강조색5 4" xfId="25390" hidden="1"/>
    <cellStyle name="20% - 강조색5 4" xfId="25432" hidden="1"/>
    <cellStyle name="20% - 강조색5 4" xfId="25474" hidden="1"/>
    <cellStyle name="20% - 강조색5 4" xfId="25516" hidden="1"/>
    <cellStyle name="20% - 강조색5 4" xfId="25558" hidden="1"/>
    <cellStyle name="20% - 강조색5 4" xfId="25054" hidden="1"/>
    <cellStyle name="20% - 강조색5 4" xfId="25737" hidden="1"/>
    <cellStyle name="20% - 강조색5 4" xfId="25777" hidden="1"/>
    <cellStyle name="20% - 강조색5 4" xfId="25817" hidden="1"/>
    <cellStyle name="20% - 강조색5 4" xfId="25857" hidden="1"/>
    <cellStyle name="20% - 강조색5 4" xfId="25897" hidden="1"/>
    <cellStyle name="20% - 강조색5 4" xfId="25937" hidden="1"/>
    <cellStyle name="20% - 강조색5 4" xfId="25977" hidden="1"/>
    <cellStyle name="20% - 강조색5 4" xfId="26017" hidden="1"/>
    <cellStyle name="20% - 강조색5 4" xfId="26057" hidden="1"/>
    <cellStyle name="20% - 강조색5 4" xfId="26097" hidden="1"/>
    <cellStyle name="20% - 강조색5 4" xfId="26137" hidden="1"/>
    <cellStyle name="20% - 강조색5 4" xfId="26177" hidden="1"/>
    <cellStyle name="20% - 강조색5 4" xfId="25613" hidden="1"/>
    <cellStyle name="20% - 강조색5 4" xfId="25574" hidden="1"/>
    <cellStyle name="20% - 강조색5 4" xfId="26219" hidden="1"/>
    <cellStyle name="20% - 강조색5 4" xfId="26261" hidden="1"/>
    <cellStyle name="20% - 강조색5 4" xfId="26303" hidden="1"/>
    <cellStyle name="20% - 강조색5 4" xfId="26345" hidden="1"/>
    <cellStyle name="20% - 강조색5 4" xfId="26387" hidden="1"/>
    <cellStyle name="20% - 강조색5 4" xfId="26429" hidden="1"/>
    <cellStyle name="20% - 강조색5 4" xfId="26471" hidden="1"/>
    <cellStyle name="20% - 강조색5 4" xfId="26513" hidden="1"/>
    <cellStyle name="20% - 강조색5 4" xfId="26555" hidden="1"/>
    <cellStyle name="20% - 강조색5 4" xfId="26597" hidden="1"/>
    <cellStyle name="20% - 강조색5 4" xfId="25666" hidden="1"/>
    <cellStyle name="20% - 강조색5 4" xfId="26625" hidden="1"/>
    <cellStyle name="20% - 강조색5 4" xfId="26665" hidden="1"/>
    <cellStyle name="20% - 강조색5 4" xfId="26705" hidden="1"/>
    <cellStyle name="20% - 강조색5 4" xfId="26745" hidden="1"/>
    <cellStyle name="20% - 강조색5 4" xfId="26785" hidden="1"/>
    <cellStyle name="20% - 강조색5 4" xfId="26825" hidden="1"/>
    <cellStyle name="20% - 강조색5 4" xfId="26865" hidden="1"/>
    <cellStyle name="20% - 강조색5 4" xfId="26905" hidden="1"/>
    <cellStyle name="20% - 강조색5 4" xfId="26945" hidden="1"/>
    <cellStyle name="20% - 강조색5 4" xfId="26985" hidden="1"/>
    <cellStyle name="20% - 강조색5 4" xfId="27025" hidden="1"/>
    <cellStyle name="20% - 강조색5 4" xfId="27065" hidden="1"/>
    <cellStyle name="20% - 강조색5 4" xfId="27076" hidden="1"/>
    <cellStyle name="20% - 강조색5 4" xfId="27116" hidden="1"/>
    <cellStyle name="20% - 강조색5 4" xfId="27156" hidden="1"/>
    <cellStyle name="20% - 강조색5 4" xfId="27196" hidden="1"/>
    <cellStyle name="20% - 강조색5 4" xfId="27236" hidden="1"/>
    <cellStyle name="20% - 강조색5 4" xfId="27276" hidden="1"/>
    <cellStyle name="20% - 강조색5 4" xfId="27316" hidden="1"/>
    <cellStyle name="20% - 강조색5 4" xfId="27356" hidden="1"/>
    <cellStyle name="20% - 강조색5 4" xfId="27396" hidden="1"/>
    <cellStyle name="20% - 강조색5 4" xfId="27436" hidden="1"/>
    <cellStyle name="20% - 강조색5 4" xfId="27476" hidden="1"/>
    <cellStyle name="20% - 강조색5 4" xfId="27516" hidden="1"/>
    <cellStyle name="20% - 강조색5 4" xfId="27600" hidden="1"/>
    <cellStyle name="20% - 강조색5 4" xfId="27641" hidden="1"/>
    <cellStyle name="20% - 강조색5 4" xfId="27683" hidden="1"/>
    <cellStyle name="20% - 강조색5 4" xfId="27725" hidden="1"/>
    <cellStyle name="20% - 강조색5 4" xfId="27767" hidden="1"/>
    <cellStyle name="20% - 강조색5 4" xfId="27809" hidden="1"/>
    <cellStyle name="20% - 강조색5 4" xfId="27851" hidden="1"/>
    <cellStyle name="20% - 강조색5 4" xfId="27893" hidden="1"/>
    <cellStyle name="20% - 강조색5 4" xfId="27935" hidden="1"/>
    <cellStyle name="20% - 강조색5 4" xfId="27977" hidden="1"/>
    <cellStyle name="20% - 강조색5 4" xfId="28019" hidden="1"/>
    <cellStyle name="20% - 강조색5 4" xfId="28061" hidden="1"/>
    <cellStyle name="20% - 강조색5 4" xfId="27557" hidden="1"/>
    <cellStyle name="20% - 강조색5 4" xfId="28240" hidden="1"/>
    <cellStyle name="20% - 강조색5 4" xfId="28280" hidden="1"/>
    <cellStyle name="20% - 강조색5 4" xfId="28320" hidden="1"/>
    <cellStyle name="20% - 강조색5 4" xfId="28360" hidden="1"/>
    <cellStyle name="20% - 강조색5 4" xfId="28400" hidden="1"/>
    <cellStyle name="20% - 강조색5 4" xfId="28440" hidden="1"/>
    <cellStyle name="20% - 강조색5 4" xfId="28480" hidden="1"/>
    <cellStyle name="20% - 강조색5 4" xfId="28520" hidden="1"/>
    <cellStyle name="20% - 강조색5 4" xfId="28560" hidden="1"/>
    <cellStyle name="20% - 강조색5 4" xfId="28600" hidden="1"/>
    <cellStyle name="20% - 강조색5 4" xfId="28640" hidden="1"/>
    <cellStyle name="20% - 강조색5 4" xfId="28680" hidden="1"/>
    <cellStyle name="20% - 강조색5 4" xfId="28116" hidden="1"/>
    <cellStyle name="20% - 강조색5 4" xfId="28077" hidden="1"/>
    <cellStyle name="20% - 강조색5 4" xfId="28722" hidden="1"/>
    <cellStyle name="20% - 강조색5 4" xfId="28764" hidden="1"/>
    <cellStyle name="20% - 강조색5 4" xfId="28806" hidden="1"/>
    <cellStyle name="20% - 강조색5 4" xfId="28848" hidden="1"/>
    <cellStyle name="20% - 강조색5 4" xfId="28890" hidden="1"/>
    <cellStyle name="20% - 강조색5 4" xfId="28932" hidden="1"/>
    <cellStyle name="20% - 강조색5 4" xfId="28974" hidden="1"/>
    <cellStyle name="20% - 강조색5 4" xfId="29016" hidden="1"/>
    <cellStyle name="20% - 강조색5 4" xfId="29058" hidden="1"/>
    <cellStyle name="20% - 강조색5 4" xfId="29100" hidden="1"/>
    <cellStyle name="20% - 강조색5 4" xfId="28169" hidden="1"/>
    <cellStyle name="20% - 강조색5 4" xfId="29128" hidden="1"/>
    <cellStyle name="20% - 강조색5 4" xfId="29168" hidden="1"/>
    <cellStyle name="20% - 강조색5 4" xfId="29208" hidden="1"/>
    <cellStyle name="20% - 강조색5 4" xfId="29248" hidden="1"/>
    <cellStyle name="20% - 강조색5 4" xfId="29288" hidden="1"/>
    <cellStyle name="20% - 강조색5 4" xfId="29328" hidden="1"/>
    <cellStyle name="20% - 강조색5 4" xfId="29368" hidden="1"/>
    <cellStyle name="20% - 강조색5 4" xfId="29408" hidden="1"/>
    <cellStyle name="20% - 강조색5 4" xfId="29448" hidden="1"/>
    <cellStyle name="20% - 강조색5 4" xfId="29488" hidden="1"/>
    <cellStyle name="20% - 강조색5 4" xfId="29528" hidden="1"/>
    <cellStyle name="20% - 강조색5 4" xfId="29568" hidden="1"/>
    <cellStyle name="20% - 강조색5 4" xfId="29578" hidden="1"/>
    <cellStyle name="20% - 강조색5 4" xfId="29618" hidden="1"/>
    <cellStyle name="20% - 강조색5 4" xfId="29658" hidden="1"/>
    <cellStyle name="20% - 강조색5 4" xfId="29698" hidden="1"/>
    <cellStyle name="20% - 강조색5 4" xfId="29738" hidden="1"/>
    <cellStyle name="20% - 강조색5 4" xfId="29778" hidden="1"/>
    <cellStyle name="20% - 강조색5 4" xfId="29818" hidden="1"/>
    <cellStyle name="20% - 강조색5 4" xfId="29858" hidden="1"/>
    <cellStyle name="20% - 강조색5 4" xfId="29898" hidden="1"/>
    <cellStyle name="20% - 강조색5 4" xfId="29938" hidden="1"/>
    <cellStyle name="20% - 강조색5 4" xfId="29978" hidden="1"/>
    <cellStyle name="20% - 강조색5 4" xfId="30018" hidden="1"/>
    <cellStyle name="20% - 강조색5 4" xfId="30102" hidden="1"/>
    <cellStyle name="20% - 강조색5 4" xfId="30143" hidden="1"/>
    <cellStyle name="20% - 강조색5 4" xfId="30185" hidden="1"/>
    <cellStyle name="20% - 강조색5 4" xfId="30227" hidden="1"/>
    <cellStyle name="20% - 강조색5 4" xfId="30269" hidden="1"/>
    <cellStyle name="20% - 강조색5 4" xfId="30311" hidden="1"/>
    <cellStyle name="20% - 강조색5 4" xfId="30353" hidden="1"/>
    <cellStyle name="20% - 강조색5 4" xfId="30395" hidden="1"/>
    <cellStyle name="20% - 강조색5 4" xfId="30437" hidden="1"/>
    <cellStyle name="20% - 강조색5 4" xfId="30479" hidden="1"/>
    <cellStyle name="20% - 강조색5 4" xfId="30521" hidden="1"/>
    <cellStyle name="20% - 강조색5 4" xfId="30563" hidden="1"/>
    <cellStyle name="20% - 강조색5 4" xfId="30059" hidden="1"/>
    <cellStyle name="20% - 강조색5 4" xfId="30742" hidden="1"/>
    <cellStyle name="20% - 강조색5 4" xfId="30782" hidden="1"/>
    <cellStyle name="20% - 강조색5 4" xfId="30822" hidden="1"/>
    <cellStyle name="20% - 강조색5 4" xfId="30862" hidden="1"/>
    <cellStyle name="20% - 강조색5 4" xfId="30902" hidden="1"/>
    <cellStyle name="20% - 강조색5 4" xfId="30942" hidden="1"/>
    <cellStyle name="20% - 강조색5 4" xfId="30982" hidden="1"/>
    <cellStyle name="20% - 강조색5 4" xfId="31022" hidden="1"/>
    <cellStyle name="20% - 강조색5 4" xfId="31062" hidden="1"/>
    <cellStyle name="20% - 강조색5 4" xfId="31102" hidden="1"/>
    <cellStyle name="20% - 강조색5 4" xfId="31142" hidden="1"/>
    <cellStyle name="20% - 강조색5 4" xfId="31182" hidden="1"/>
    <cellStyle name="20% - 강조색5 4" xfId="30618" hidden="1"/>
    <cellStyle name="20% - 강조색5 4" xfId="30579" hidden="1"/>
    <cellStyle name="20% - 강조색5 4" xfId="31224" hidden="1"/>
    <cellStyle name="20% - 강조색5 4" xfId="31266" hidden="1"/>
    <cellStyle name="20% - 강조색5 4" xfId="31308" hidden="1"/>
    <cellStyle name="20% - 강조색5 4" xfId="31350" hidden="1"/>
    <cellStyle name="20% - 강조색5 4" xfId="31392" hidden="1"/>
    <cellStyle name="20% - 강조색5 4" xfId="31434" hidden="1"/>
    <cellStyle name="20% - 강조색5 4" xfId="31476" hidden="1"/>
    <cellStyle name="20% - 강조색5 4" xfId="31518" hidden="1"/>
    <cellStyle name="20% - 강조색5 4" xfId="31560" hidden="1"/>
    <cellStyle name="20% - 강조색5 4" xfId="31602" hidden="1"/>
    <cellStyle name="20% - 강조색5 4" xfId="30671" hidden="1"/>
    <cellStyle name="20% - 강조색5 4" xfId="31630" hidden="1"/>
    <cellStyle name="20% - 강조색5 4" xfId="31670" hidden="1"/>
    <cellStyle name="20% - 강조색5 4" xfId="31710" hidden="1"/>
    <cellStyle name="20% - 강조색5 4" xfId="31750" hidden="1"/>
    <cellStyle name="20% - 강조색5 4" xfId="31790" hidden="1"/>
    <cellStyle name="20% - 강조색5 4" xfId="31830" hidden="1"/>
    <cellStyle name="20% - 강조색5 4" xfId="31870" hidden="1"/>
    <cellStyle name="20% - 강조색5 4" xfId="31910" hidden="1"/>
    <cellStyle name="20% - 강조색5 4" xfId="31950" hidden="1"/>
    <cellStyle name="20% - 강조색5 4" xfId="31990" hidden="1"/>
    <cellStyle name="20% - 강조색5 4" xfId="32030" hidden="1"/>
    <cellStyle name="20% - 강조색5 4" xfId="32070" hidden="1"/>
    <cellStyle name="20% - 강조색5 4" xfId="32132" hidden="1"/>
    <cellStyle name="20% - 강조색5 4" xfId="32172" hidden="1"/>
    <cellStyle name="20% - 강조색5 4" xfId="32212" hidden="1"/>
    <cellStyle name="20% - 강조색5 4" xfId="32252" hidden="1"/>
    <cellStyle name="20% - 강조색5 4" xfId="32292" hidden="1"/>
    <cellStyle name="20% - 강조색5 4" xfId="32332" hidden="1"/>
    <cellStyle name="20% - 강조색5 4" xfId="32372" hidden="1"/>
    <cellStyle name="20% - 강조색5 4" xfId="32412" hidden="1"/>
    <cellStyle name="20% - 강조색5 4" xfId="32452" hidden="1"/>
    <cellStyle name="20% - 강조색5 4" xfId="32492" hidden="1"/>
    <cellStyle name="20% - 강조색5 4" xfId="32532" hidden="1"/>
    <cellStyle name="20% - 강조색5 4" xfId="32572" hidden="1"/>
    <cellStyle name="20% - 강조색5 4" xfId="32657" hidden="1"/>
    <cellStyle name="20% - 강조색5 4" xfId="32698" hidden="1"/>
    <cellStyle name="20% - 강조색5 4" xfId="32740" hidden="1"/>
    <cellStyle name="20% - 강조색5 4" xfId="32782" hidden="1"/>
    <cellStyle name="20% - 강조색5 4" xfId="32824" hidden="1"/>
    <cellStyle name="20% - 강조색5 4" xfId="32866" hidden="1"/>
    <cellStyle name="20% - 강조색5 4" xfId="32908" hidden="1"/>
    <cellStyle name="20% - 강조색5 4" xfId="32950" hidden="1"/>
    <cellStyle name="20% - 강조색5 4" xfId="32992" hidden="1"/>
    <cellStyle name="20% - 강조색5 4" xfId="33034" hidden="1"/>
    <cellStyle name="20% - 강조색5 4" xfId="33076" hidden="1"/>
    <cellStyle name="20% - 강조색5 4" xfId="33118" hidden="1"/>
    <cellStyle name="20% - 강조색5 4" xfId="32614" hidden="1"/>
    <cellStyle name="20% - 강조색5 4" xfId="33297" hidden="1"/>
    <cellStyle name="20% - 강조색5 4" xfId="33337" hidden="1"/>
    <cellStyle name="20% - 강조색5 4" xfId="33377" hidden="1"/>
    <cellStyle name="20% - 강조색5 4" xfId="33417" hidden="1"/>
    <cellStyle name="20% - 강조색5 4" xfId="33457" hidden="1"/>
    <cellStyle name="20% - 강조색5 4" xfId="33497" hidden="1"/>
    <cellStyle name="20% - 강조색5 4" xfId="33537" hidden="1"/>
    <cellStyle name="20% - 강조색5 4" xfId="33577" hidden="1"/>
    <cellStyle name="20% - 강조색5 4" xfId="33617" hidden="1"/>
    <cellStyle name="20% - 강조색5 4" xfId="33657" hidden="1"/>
    <cellStyle name="20% - 강조색5 4" xfId="33697" hidden="1"/>
    <cellStyle name="20% - 강조색5 4" xfId="33737" hidden="1"/>
    <cellStyle name="20% - 강조색5 4" xfId="33173" hidden="1"/>
    <cellStyle name="20% - 강조색5 4" xfId="33134" hidden="1"/>
    <cellStyle name="20% - 강조색5 4" xfId="33779" hidden="1"/>
    <cellStyle name="20% - 강조색5 4" xfId="33821" hidden="1"/>
    <cellStyle name="20% - 강조색5 4" xfId="33863" hidden="1"/>
    <cellStyle name="20% - 강조색5 4" xfId="33905" hidden="1"/>
    <cellStyle name="20% - 강조색5 4" xfId="33947" hidden="1"/>
    <cellStyle name="20% - 강조색5 4" xfId="33989" hidden="1"/>
    <cellStyle name="20% - 강조색5 4" xfId="34031" hidden="1"/>
    <cellStyle name="20% - 강조색5 4" xfId="34073" hidden="1"/>
    <cellStyle name="20% - 강조색5 4" xfId="34115" hidden="1"/>
    <cellStyle name="20% - 강조색5 4" xfId="34157" hidden="1"/>
    <cellStyle name="20% - 강조색5 4" xfId="33226" hidden="1"/>
    <cellStyle name="20% - 강조색5 4" xfId="34185" hidden="1"/>
    <cellStyle name="20% - 강조색5 4" xfId="34225" hidden="1"/>
    <cellStyle name="20% - 강조색5 4" xfId="34265" hidden="1"/>
    <cellStyle name="20% - 강조색5 4" xfId="34305" hidden="1"/>
    <cellStyle name="20% - 강조색5 4" xfId="34345" hidden="1"/>
    <cellStyle name="20% - 강조색5 4" xfId="34385" hidden="1"/>
    <cellStyle name="20% - 강조색5 4" xfId="34425" hidden="1"/>
    <cellStyle name="20% - 강조색5 4" xfId="34465" hidden="1"/>
    <cellStyle name="20% - 강조색5 4" xfId="34505" hidden="1"/>
    <cellStyle name="20% - 강조색5 4" xfId="34545" hidden="1"/>
    <cellStyle name="20% - 강조색5 4" xfId="34585" hidden="1"/>
    <cellStyle name="20% - 강조색5 4" xfId="34625" hidden="1"/>
    <cellStyle name="20% - 강조색5 4" xfId="34722" hidden="1"/>
    <cellStyle name="20% - 강조색5 4" xfId="34762" hidden="1"/>
    <cellStyle name="20% - 강조색5 4" xfId="34802" hidden="1"/>
    <cellStyle name="20% - 강조색5 4" xfId="34842" hidden="1"/>
    <cellStyle name="20% - 강조색5 4" xfId="34882" hidden="1"/>
    <cellStyle name="20% - 강조색5 4" xfId="34922" hidden="1"/>
    <cellStyle name="20% - 강조색5 4" xfId="34962" hidden="1"/>
    <cellStyle name="20% - 강조색5 4" xfId="35002" hidden="1"/>
    <cellStyle name="20% - 강조색5 4" xfId="35042" hidden="1"/>
    <cellStyle name="20% - 강조색5 4" xfId="35082" hidden="1"/>
    <cellStyle name="20% - 강조색5 4" xfId="35122" hidden="1"/>
    <cellStyle name="20% - 강조색5 4" xfId="35162" hidden="1"/>
    <cellStyle name="20% - 강조색5 4" xfId="35246" hidden="1"/>
    <cellStyle name="20% - 강조색5 4" xfId="35287" hidden="1"/>
    <cellStyle name="20% - 강조색5 4" xfId="35329" hidden="1"/>
    <cellStyle name="20% - 강조색5 4" xfId="35371" hidden="1"/>
    <cellStyle name="20% - 강조색5 4" xfId="35413" hidden="1"/>
    <cellStyle name="20% - 강조색5 4" xfId="35455" hidden="1"/>
    <cellStyle name="20% - 강조색5 4" xfId="35497" hidden="1"/>
    <cellStyle name="20% - 강조색5 4" xfId="35539" hidden="1"/>
    <cellStyle name="20% - 강조색5 4" xfId="35581" hidden="1"/>
    <cellStyle name="20% - 강조색5 4" xfId="35623" hidden="1"/>
    <cellStyle name="20% - 강조색5 4" xfId="35665" hidden="1"/>
    <cellStyle name="20% - 강조색5 4" xfId="35707" hidden="1"/>
    <cellStyle name="20% - 강조색5 4" xfId="35203" hidden="1"/>
    <cellStyle name="20% - 강조색5 4" xfId="35886" hidden="1"/>
    <cellStyle name="20% - 강조색5 4" xfId="35926" hidden="1"/>
    <cellStyle name="20% - 강조색5 4" xfId="35966" hidden="1"/>
    <cellStyle name="20% - 강조색5 4" xfId="36006" hidden="1"/>
    <cellStyle name="20% - 강조색5 4" xfId="36046" hidden="1"/>
    <cellStyle name="20% - 강조색5 4" xfId="36086" hidden="1"/>
    <cellStyle name="20% - 강조색5 4" xfId="36126" hidden="1"/>
    <cellStyle name="20% - 강조색5 4" xfId="36166" hidden="1"/>
    <cellStyle name="20% - 강조색5 4" xfId="36206" hidden="1"/>
    <cellStyle name="20% - 강조색5 4" xfId="36246" hidden="1"/>
    <cellStyle name="20% - 강조색5 4" xfId="36286" hidden="1"/>
    <cellStyle name="20% - 강조색5 4" xfId="36326" hidden="1"/>
    <cellStyle name="20% - 강조색5 4" xfId="35762" hidden="1"/>
    <cellStyle name="20% - 강조색5 4" xfId="35723" hidden="1"/>
    <cellStyle name="20% - 강조색5 4" xfId="36368" hidden="1"/>
    <cellStyle name="20% - 강조색5 4" xfId="36410" hidden="1"/>
    <cellStyle name="20% - 강조색5 4" xfId="36452" hidden="1"/>
    <cellStyle name="20% - 강조색5 4" xfId="36494" hidden="1"/>
    <cellStyle name="20% - 강조색5 4" xfId="36536" hidden="1"/>
    <cellStyle name="20% - 강조색5 4" xfId="36578" hidden="1"/>
    <cellStyle name="20% - 강조색5 4" xfId="36620" hidden="1"/>
    <cellStyle name="20% - 강조색5 4" xfId="36662" hidden="1"/>
    <cellStyle name="20% - 강조색5 4" xfId="36704" hidden="1"/>
    <cellStyle name="20% - 강조색5 4" xfId="36746" hidden="1"/>
    <cellStyle name="20% - 강조색5 4" xfId="35815" hidden="1"/>
    <cellStyle name="20% - 강조색5 4" xfId="36774" hidden="1"/>
    <cellStyle name="20% - 강조색5 4" xfId="36814" hidden="1"/>
    <cellStyle name="20% - 강조색5 4" xfId="36854" hidden="1"/>
    <cellStyle name="20% - 강조색5 4" xfId="36894" hidden="1"/>
    <cellStyle name="20% - 강조색5 4" xfId="36934" hidden="1"/>
    <cellStyle name="20% - 강조색5 4" xfId="36974" hidden="1"/>
    <cellStyle name="20% - 강조색5 4" xfId="37014" hidden="1"/>
    <cellStyle name="20% - 강조색5 4" xfId="37054" hidden="1"/>
    <cellStyle name="20% - 강조색5 4" xfId="37094" hidden="1"/>
    <cellStyle name="20% - 강조색5 4" xfId="37134" hidden="1"/>
    <cellStyle name="20% - 강조색5 4" xfId="37174" hidden="1"/>
    <cellStyle name="20% - 강조색5 4" xfId="37214" hidden="1"/>
    <cellStyle name="20% - 강조색5 4" xfId="37225" hidden="1"/>
    <cellStyle name="20% - 강조색5 4" xfId="37265" hidden="1"/>
    <cellStyle name="20% - 강조색5 4" xfId="37306" hidden="1"/>
    <cellStyle name="20% - 강조색5 4" xfId="37346" hidden="1"/>
    <cellStyle name="20% - 강조색5 4" xfId="37386" hidden="1"/>
    <cellStyle name="20% - 강조색5 4" xfId="37426" hidden="1"/>
    <cellStyle name="20% - 강조색5 4" xfId="37466" hidden="1"/>
    <cellStyle name="20% - 강조색5 4" xfId="37506" hidden="1"/>
    <cellStyle name="20% - 강조색5 4" xfId="37546" hidden="1"/>
    <cellStyle name="20% - 강조색5 4" xfId="37586" hidden="1"/>
    <cellStyle name="20% - 강조색5 4" xfId="37626" hidden="1"/>
    <cellStyle name="20% - 강조색5 4" xfId="37666" hidden="1"/>
    <cellStyle name="20% - 강조색5 4" xfId="37750" hidden="1"/>
    <cellStyle name="20% - 강조색5 4" xfId="37791" hidden="1"/>
    <cellStyle name="20% - 강조색5 4" xfId="37833" hidden="1"/>
    <cellStyle name="20% - 강조색5 4" xfId="37875" hidden="1"/>
    <cellStyle name="20% - 강조색5 4" xfId="37917" hidden="1"/>
    <cellStyle name="20% - 강조색5 4" xfId="37959" hidden="1"/>
    <cellStyle name="20% - 강조색5 4" xfId="38001" hidden="1"/>
    <cellStyle name="20% - 강조색5 4" xfId="38043" hidden="1"/>
    <cellStyle name="20% - 강조색5 4" xfId="38085" hidden="1"/>
    <cellStyle name="20% - 강조색5 4" xfId="38127" hidden="1"/>
    <cellStyle name="20% - 강조색5 4" xfId="38169" hidden="1"/>
    <cellStyle name="20% - 강조색5 4" xfId="38211" hidden="1"/>
    <cellStyle name="20% - 강조색5 4" xfId="37707" hidden="1"/>
    <cellStyle name="20% - 강조색5 4" xfId="38390" hidden="1"/>
    <cellStyle name="20% - 강조색5 4" xfId="38430" hidden="1"/>
    <cellStyle name="20% - 강조색5 4" xfId="38470" hidden="1"/>
    <cellStyle name="20% - 강조색5 4" xfId="38510" hidden="1"/>
    <cellStyle name="20% - 강조색5 4" xfId="38550" hidden="1"/>
    <cellStyle name="20% - 강조색5 4" xfId="38590" hidden="1"/>
    <cellStyle name="20% - 강조색5 4" xfId="38630" hidden="1"/>
    <cellStyle name="20% - 강조색5 4" xfId="38670" hidden="1"/>
    <cellStyle name="20% - 강조색5 4" xfId="38710" hidden="1"/>
    <cellStyle name="20% - 강조색5 4" xfId="38750" hidden="1"/>
    <cellStyle name="20% - 강조색5 4" xfId="38790" hidden="1"/>
    <cellStyle name="20% - 강조색5 4" xfId="38830" hidden="1"/>
    <cellStyle name="20% - 강조색5 4" xfId="38266" hidden="1"/>
    <cellStyle name="20% - 강조색5 4" xfId="38227" hidden="1"/>
    <cellStyle name="20% - 강조색5 4" xfId="38872" hidden="1"/>
    <cellStyle name="20% - 강조색5 4" xfId="38914" hidden="1"/>
    <cellStyle name="20% - 강조색5 4" xfId="38956" hidden="1"/>
    <cellStyle name="20% - 강조색5 4" xfId="38998" hidden="1"/>
    <cellStyle name="20% - 강조색5 4" xfId="39040" hidden="1"/>
    <cellStyle name="20% - 강조색5 4" xfId="39082" hidden="1"/>
    <cellStyle name="20% - 강조색5 4" xfId="39124" hidden="1"/>
    <cellStyle name="20% - 강조색5 4" xfId="39166" hidden="1"/>
    <cellStyle name="20% - 강조색5 4" xfId="39208" hidden="1"/>
    <cellStyle name="20% - 강조색5 4" xfId="39250" hidden="1"/>
    <cellStyle name="20% - 강조색5 4" xfId="38319" hidden="1"/>
    <cellStyle name="20% - 강조색5 4" xfId="39278" hidden="1"/>
    <cellStyle name="20% - 강조색5 4" xfId="39318" hidden="1"/>
    <cellStyle name="20% - 강조색5 4" xfId="39358" hidden="1"/>
    <cellStyle name="20% - 강조색5 4" xfId="39398" hidden="1"/>
    <cellStyle name="20% - 강조색5 4" xfId="39438" hidden="1"/>
    <cellStyle name="20% - 강조색5 4" xfId="39478" hidden="1"/>
    <cellStyle name="20% - 강조색5 4" xfId="39518" hidden="1"/>
    <cellStyle name="20% - 강조색5 4" xfId="39558" hidden="1"/>
    <cellStyle name="20% - 강조색5 4" xfId="39598" hidden="1"/>
    <cellStyle name="20% - 강조색5 4" xfId="39638" hidden="1"/>
    <cellStyle name="20% - 강조색5 4" xfId="39678" hidden="1"/>
    <cellStyle name="20% - 강조색5 4" xfId="39718" hidden="1"/>
    <cellStyle name="20% - 강조색5 4" xfId="39728" hidden="1"/>
    <cellStyle name="20% - 강조색5 4" xfId="39768" hidden="1"/>
    <cellStyle name="20% - 강조색5 4" xfId="39808" hidden="1"/>
    <cellStyle name="20% - 강조색5 4" xfId="39848" hidden="1"/>
    <cellStyle name="20% - 강조색5 4" xfId="39888" hidden="1"/>
    <cellStyle name="20% - 강조색5 4" xfId="39928" hidden="1"/>
    <cellStyle name="20% - 강조색5 4" xfId="39968" hidden="1"/>
    <cellStyle name="20% - 강조색5 4" xfId="40008" hidden="1"/>
    <cellStyle name="20% - 강조색5 4" xfId="40048" hidden="1"/>
    <cellStyle name="20% - 강조색5 4" xfId="40088" hidden="1"/>
    <cellStyle name="20% - 강조색5 4" xfId="40128" hidden="1"/>
    <cellStyle name="20% - 강조색5 4" xfId="40168" hidden="1"/>
    <cellStyle name="20% - 강조색5 4" xfId="40252" hidden="1"/>
    <cellStyle name="20% - 강조색5 4" xfId="40293" hidden="1"/>
    <cellStyle name="20% - 강조색5 4" xfId="40335" hidden="1"/>
    <cellStyle name="20% - 강조색5 4" xfId="40377" hidden="1"/>
    <cellStyle name="20% - 강조색5 4" xfId="40419" hidden="1"/>
    <cellStyle name="20% - 강조색5 4" xfId="40461" hidden="1"/>
    <cellStyle name="20% - 강조색5 4" xfId="40503" hidden="1"/>
    <cellStyle name="20% - 강조색5 4" xfId="40545" hidden="1"/>
    <cellStyle name="20% - 강조색5 4" xfId="40587" hidden="1"/>
    <cellStyle name="20% - 강조색5 4" xfId="40629" hidden="1"/>
    <cellStyle name="20% - 강조색5 4" xfId="40671" hidden="1"/>
    <cellStyle name="20% - 강조색5 4" xfId="40713" hidden="1"/>
    <cellStyle name="20% - 강조색5 4" xfId="40209" hidden="1"/>
    <cellStyle name="20% - 강조색5 4" xfId="40892" hidden="1"/>
    <cellStyle name="20% - 강조색5 4" xfId="40932" hidden="1"/>
    <cellStyle name="20% - 강조색5 4" xfId="40972" hidden="1"/>
    <cellStyle name="20% - 강조색5 4" xfId="41012" hidden="1"/>
    <cellStyle name="20% - 강조색5 4" xfId="41052" hidden="1"/>
    <cellStyle name="20% - 강조색5 4" xfId="41092" hidden="1"/>
    <cellStyle name="20% - 강조색5 4" xfId="41132" hidden="1"/>
    <cellStyle name="20% - 강조색5 4" xfId="41172" hidden="1"/>
    <cellStyle name="20% - 강조색5 4" xfId="41212" hidden="1"/>
    <cellStyle name="20% - 강조색5 4" xfId="41252" hidden="1"/>
    <cellStyle name="20% - 강조색5 4" xfId="41292" hidden="1"/>
    <cellStyle name="20% - 강조색5 4" xfId="41332" hidden="1"/>
    <cellStyle name="20% - 강조색5 4" xfId="40768" hidden="1"/>
    <cellStyle name="20% - 강조색5 4" xfId="40729" hidden="1"/>
    <cellStyle name="20% - 강조색5 4" xfId="41374" hidden="1"/>
    <cellStyle name="20% - 강조색5 4" xfId="41416" hidden="1"/>
    <cellStyle name="20% - 강조색5 4" xfId="41458" hidden="1"/>
    <cellStyle name="20% - 강조색5 4" xfId="41500" hidden="1"/>
    <cellStyle name="20% - 강조색5 4" xfId="41542" hidden="1"/>
    <cellStyle name="20% - 강조색5 4" xfId="41584" hidden="1"/>
    <cellStyle name="20% - 강조색5 4" xfId="41626" hidden="1"/>
    <cellStyle name="20% - 강조색5 4" xfId="41668" hidden="1"/>
    <cellStyle name="20% - 강조색5 4" xfId="41710" hidden="1"/>
    <cellStyle name="20% - 강조색5 4" xfId="41752" hidden="1"/>
    <cellStyle name="20% - 강조색5 4" xfId="40821" hidden="1"/>
    <cellStyle name="20% - 강조색5 4" xfId="41780" hidden="1"/>
    <cellStyle name="20% - 강조색5 4" xfId="41820" hidden="1"/>
    <cellStyle name="20% - 강조색5 4" xfId="41860" hidden="1"/>
    <cellStyle name="20% - 강조색5 4" xfId="41900" hidden="1"/>
    <cellStyle name="20% - 강조색5 4" xfId="41940" hidden="1"/>
    <cellStyle name="20% - 강조색5 4" xfId="41980" hidden="1"/>
    <cellStyle name="20% - 강조색5 4" xfId="42020" hidden="1"/>
    <cellStyle name="20% - 강조색5 4" xfId="42060" hidden="1"/>
    <cellStyle name="20% - 강조색5 4" xfId="42100" hidden="1"/>
    <cellStyle name="20% - 강조색5 4" xfId="42140" hidden="1"/>
    <cellStyle name="20% - 강조색5 4" xfId="42180" hidden="1"/>
    <cellStyle name="20% - 강조색5 4" xfId="42220" hidden="1"/>
    <cellStyle name="20% - 강조색5 4" xfId="42263" hidden="1"/>
    <cellStyle name="20% - 강조색5 4" xfId="42303" hidden="1"/>
    <cellStyle name="20% - 강조색5 4" xfId="42343" hidden="1"/>
    <cellStyle name="20% - 강조색5 4" xfId="42383" hidden="1"/>
    <cellStyle name="20% - 강조색5 4" xfId="42423" hidden="1"/>
    <cellStyle name="20% - 강조색5 4" xfId="42463" hidden="1"/>
    <cellStyle name="20% - 강조색5 4" xfId="42503" hidden="1"/>
    <cellStyle name="20% - 강조색5 4" xfId="42543" hidden="1"/>
    <cellStyle name="20% - 강조색5 4" xfId="42583" hidden="1"/>
    <cellStyle name="20% - 강조색5 4" xfId="42623" hidden="1"/>
    <cellStyle name="20% - 강조색5 4" xfId="42663" hidden="1"/>
    <cellStyle name="20% - 강조색5 4" xfId="42703" hidden="1"/>
    <cellStyle name="20% - 강조색5 4" xfId="42787" hidden="1"/>
    <cellStyle name="20% - 강조색5 4" xfId="42828" hidden="1"/>
    <cellStyle name="20% - 강조색5 4" xfId="42870" hidden="1"/>
    <cellStyle name="20% - 강조색5 4" xfId="42912" hidden="1"/>
    <cellStyle name="20% - 강조색5 4" xfId="42954" hidden="1"/>
    <cellStyle name="20% - 강조색5 4" xfId="42996" hidden="1"/>
    <cellStyle name="20% - 강조색5 4" xfId="43038" hidden="1"/>
    <cellStyle name="20% - 강조색5 4" xfId="43080" hidden="1"/>
    <cellStyle name="20% - 강조색5 4" xfId="43122" hidden="1"/>
    <cellStyle name="20% - 강조색5 4" xfId="43164" hidden="1"/>
    <cellStyle name="20% - 강조색5 4" xfId="43206" hidden="1"/>
    <cellStyle name="20% - 강조색5 4" xfId="43248" hidden="1"/>
    <cellStyle name="20% - 강조색5 4" xfId="42744" hidden="1"/>
    <cellStyle name="20% - 강조색5 4" xfId="43427" hidden="1"/>
    <cellStyle name="20% - 강조색5 4" xfId="43467" hidden="1"/>
    <cellStyle name="20% - 강조색5 4" xfId="43507" hidden="1"/>
    <cellStyle name="20% - 강조색5 4" xfId="43547" hidden="1"/>
    <cellStyle name="20% - 강조색5 4" xfId="43587" hidden="1"/>
    <cellStyle name="20% - 강조색5 4" xfId="43627" hidden="1"/>
    <cellStyle name="20% - 강조색5 4" xfId="43667" hidden="1"/>
    <cellStyle name="20% - 강조색5 4" xfId="43707" hidden="1"/>
    <cellStyle name="20% - 강조색5 4" xfId="43747" hidden="1"/>
    <cellStyle name="20% - 강조색5 4" xfId="43787" hidden="1"/>
    <cellStyle name="20% - 강조색5 4" xfId="43827" hidden="1"/>
    <cellStyle name="20% - 강조색5 4" xfId="43867" hidden="1"/>
    <cellStyle name="20% - 강조색5 4" xfId="43303" hidden="1"/>
    <cellStyle name="20% - 강조색5 4" xfId="43264" hidden="1"/>
    <cellStyle name="20% - 강조색5 4" xfId="43909" hidden="1"/>
    <cellStyle name="20% - 강조색5 4" xfId="43951" hidden="1"/>
    <cellStyle name="20% - 강조색5 4" xfId="43993" hidden="1"/>
    <cellStyle name="20% - 강조색5 4" xfId="44035" hidden="1"/>
    <cellStyle name="20% - 강조색5 4" xfId="44077" hidden="1"/>
    <cellStyle name="20% - 강조색5 4" xfId="44119" hidden="1"/>
    <cellStyle name="20% - 강조색5 4" xfId="44161" hidden="1"/>
    <cellStyle name="20% - 강조색5 4" xfId="44203" hidden="1"/>
    <cellStyle name="20% - 강조색5 4" xfId="44245" hidden="1"/>
    <cellStyle name="20% - 강조색5 4" xfId="44287" hidden="1"/>
    <cellStyle name="20% - 강조색5 4" xfId="43356" hidden="1"/>
    <cellStyle name="20% - 강조색5 4" xfId="44315" hidden="1"/>
    <cellStyle name="20% - 강조색5 4" xfId="44355" hidden="1"/>
    <cellStyle name="20% - 강조색5 4" xfId="44395" hidden="1"/>
    <cellStyle name="20% - 강조색5 4" xfId="44435" hidden="1"/>
    <cellStyle name="20% - 강조색5 4" xfId="44475" hidden="1"/>
    <cellStyle name="20% - 강조색5 4" xfId="44515" hidden="1"/>
    <cellStyle name="20% - 강조색5 4" xfId="44555" hidden="1"/>
    <cellStyle name="20% - 강조색5 4" xfId="44595" hidden="1"/>
    <cellStyle name="20% - 강조색5 4" xfId="44635" hidden="1"/>
    <cellStyle name="20% - 강조색5 4" xfId="44675" hidden="1"/>
    <cellStyle name="20% - 강조색5 4" xfId="44715" hidden="1"/>
    <cellStyle name="20% - 강조색5 4" xfId="44755" hidden="1"/>
    <cellStyle name="20% - 강조색5 4" xfId="44851" hidden="1"/>
    <cellStyle name="20% - 강조색5 4" xfId="44891" hidden="1"/>
    <cellStyle name="20% - 강조색5 4" xfId="44933" hidden="1"/>
    <cellStyle name="20% - 강조색5 4" xfId="44974" hidden="1"/>
    <cellStyle name="20% - 강조색5 4" xfId="45014" hidden="1"/>
    <cellStyle name="20% - 강조색5 4" xfId="45054" hidden="1"/>
    <cellStyle name="20% - 강조색5 4" xfId="45094" hidden="1"/>
    <cellStyle name="20% - 강조색5 4" xfId="45134" hidden="1"/>
    <cellStyle name="20% - 강조색5 4" xfId="45174" hidden="1"/>
    <cellStyle name="20% - 강조색5 4" xfId="45214" hidden="1"/>
    <cellStyle name="20% - 강조색5 4" xfId="45254" hidden="1"/>
    <cellStyle name="20% - 강조색5 4" xfId="45294" hidden="1"/>
    <cellStyle name="20% - 강조색5 4" xfId="45378" hidden="1"/>
    <cellStyle name="20% - 강조색5 4" xfId="45419" hidden="1"/>
    <cellStyle name="20% - 강조색5 4" xfId="45461" hidden="1"/>
    <cellStyle name="20% - 강조색5 4" xfId="45503" hidden="1"/>
    <cellStyle name="20% - 강조색5 4" xfId="45545" hidden="1"/>
    <cellStyle name="20% - 강조색5 4" xfId="45587" hidden="1"/>
    <cellStyle name="20% - 강조색5 4" xfId="45629" hidden="1"/>
    <cellStyle name="20% - 강조색5 4" xfId="45671" hidden="1"/>
    <cellStyle name="20% - 강조색5 4" xfId="45713" hidden="1"/>
    <cellStyle name="20% - 강조색5 4" xfId="45755" hidden="1"/>
    <cellStyle name="20% - 강조색5 4" xfId="45797" hidden="1"/>
    <cellStyle name="20% - 강조색5 4" xfId="45839" hidden="1"/>
    <cellStyle name="20% - 강조색5 4" xfId="45335" hidden="1"/>
    <cellStyle name="20% - 강조색5 4" xfId="46018" hidden="1"/>
    <cellStyle name="20% - 강조색5 4" xfId="46058" hidden="1"/>
    <cellStyle name="20% - 강조색5 4" xfId="46098" hidden="1"/>
    <cellStyle name="20% - 강조색5 4" xfId="46138" hidden="1"/>
    <cellStyle name="20% - 강조색5 4" xfId="46178" hidden="1"/>
    <cellStyle name="20% - 강조색5 4" xfId="46218" hidden="1"/>
    <cellStyle name="20% - 강조색5 4" xfId="46258" hidden="1"/>
    <cellStyle name="20% - 강조색5 4" xfId="46298" hidden="1"/>
    <cellStyle name="20% - 강조색5 4" xfId="46338" hidden="1"/>
    <cellStyle name="20% - 강조색5 4" xfId="46378" hidden="1"/>
    <cellStyle name="20% - 강조색5 4" xfId="46418" hidden="1"/>
    <cellStyle name="20% - 강조색5 4" xfId="46458" hidden="1"/>
    <cellStyle name="20% - 강조색5 4" xfId="45894" hidden="1"/>
    <cellStyle name="20% - 강조색5 4" xfId="45855" hidden="1"/>
    <cellStyle name="20% - 강조색5 4" xfId="46500" hidden="1"/>
    <cellStyle name="20% - 강조색5 4" xfId="46542" hidden="1"/>
    <cellStyle name="20% - 강조색5 4" xfId="46584" hidden="1"/>
    <cellStyle name="20% - 강조색5 4" xfId="46626" hidden="1"/>
    <cellStyle name="20% - 강조색5 4" xfId="46668" hidden="1"/>
    <cellStyle name="20% - 강조색5 4" xfId="46710" hidden="1"/>
    <cellStyle name="20% - 강조색5 4" xfId="46752" hidden="1"/>
    <cellStyle name="20% - 강조색5 4" xfId="46794" hidden="1"/>
    <cellStyle name="20% - 강조색5 4" xfId="46836" hidden="1"/>
    <cellStyle name="20% - 강조색5 4" xfId="46878" hidden="1"/>
    <cellStyle name="20% - 강조색5 4" xfId="45947" hidden="1"/>
    <cellStyle name="20% - 강조색5 4" xfId="46906" hidden="1"/>
    <cellStyle name="20% - 강조색5 4" xfId="46946" hidden="1"/>
    <cellStyle name="20% - 강조색5 4" xfId="46986" hidden="1"/>
    <cellStyle name="20% - 강조색5 4" xfId="47026" hidden="1"/>
    <cellStyle name="20% - 강조색5 4" xfId="47066" hidden="1"/>
    <cellStyle name="20% - 강조색5 4" xfId="47106" hidden="1"/>
    <cellStyle name="20% - 강조색5 4" xfId="47146" hidden="1"/>
    <cellStyle name="20% - 강조색5 4" xfId="47186" hidden="1"/>
    <cellStyle name="20% - 강조색5 4" xfId="47226" hidden="1"/>
    <cellStyle name="20% - 강조색5 4" xfId="47266" hidden="1"/>
    <cellStyle name="20% - 강조색5 4" xfId="47306" hidden="1"/>
    <cellStyle name="20% - 강조색5 4" xfId="47346" hidden="1"/>
    <cellStyle name="20% - 강조색5 4" xfId="47357" hidden="1"/>
    <cellStyle name="20% - 강조색5 4" xfId="47397" hidden="1"/>
    <cellStyle name="20% - 강조색5 4" xfId="47437" hidden="1"/>
    <cellStyle name="20% - 강조색5 4" xfId="47477" hidden="1"/>
    <cellStyle name="20% - 강조색5 4" xfId="47517" hidden="1"/>
    <cellStyle name="20% - 강조색5 4" xfId="47557" hidden="1"/>
    <cellStyle name="20% - 강조색5 4" xfId="47597" hidden="1"/>
    <cellStyle name="20% - 강조색5 4" xfId="47637" hidden="1"/>
    <cellStyle name="20% - 강조색5 4" xfId="47677" hidden="1"/>
    <cellStyle name="20% - 강조색5 4" xfId="47717" hidden="1"/>
    <cellStyle name="20% - 강조색5 4" xfId="47757" hidden="1"/>
    <cellStyle name="20% - 강조색5 4" xfId="47797" hidden="1"/>
    <cellStyle name="20% - 강조색5 4" xfId="47881" hidden="1"/>
    <cellStyle name="20% - 강조색5 4" xfId="47922" hidden="1"/>
    <cellStyle name="20% - 강조색5 4" xfId="47964" hidden="1"/>
    <cellStyle name="20% - 강조색5 4" xfId="48006" hidden="1"/>
    <cellStyle name="20% - 강조색5 4" xfId="48048" hidden="1"/>
    <cellStyle name="20% - 강조색5 4" xfId="48090" hidden="1"/>
    <cellStyle name="20% - 강조색5 4" xfId="48132" hidden="1"/>
    <cellStyle name="20% - 강조색5 4" xfId="48174" hidden="1"/>
    <cellStyle name="20% - 강조색5 4" xfId="48216" hidden="1"/>
    <cellStyle name="20% - 강조색5 4" xfId="48258" hidden="1"/>
    <cellStyle name="20% - 강조색5 4" xfId="48300" hidden="1"/>
    <cellStyle name="20% - 강조색5 4" xfId="48342" hidden="1"/>
    <cellStyle name="20% - 강조색5 4" xfId="47838" hidden="1"/>
    <cellStyle name="20% - 강조색5 4" xfId="48521" hidden="1"/>
    <cellStyle name="20% - 강조색5 4" xfId="48561" hidden="1"/>
    <cellStyle name="20% - 강조색5 4" xfId="48601" hidden="1"/>
    <cellStyle name="20% - 강조색5 4" xfId="48641" hidden="1"/>
    <cellStyle name="20% - 강조색5 4" xfId="48681" hidden="1"/>
    <cellStyle name="20% - 강조색5 4" xfId="48721" hidden="1"/>
    <cellStyle name="20% - 강조색5 4" xfId="48761" hidden="1"/>
    <cellStyle name="20% - 강조색5 4" xfId="48801" hidden="1"/>
    <cellStyle name="20% - 강조색5 4" xfId="48841" hidden="1"/>
    <cellStyle name="20% - 강조색5 4" xfId="48881" hidden="1"/>
    <cellStyle name="20% - 강조색5 4" xfId="48921" hidden="1"/>
    <cellStyle name="20% - 강조색5 4" xfId="48961" hidden="1"/>
    <cellStyle name="20% - 강조색5 4" xfId="48397" hidden="1"/>
    <cellStyle name="20% - 강조색5 4" xfId="48358" hidden="1"/>
    <cellStyle name="20% - 강조색5 4" xfId="49003" hidden="1"/>
    <cellStyle name="20% - 강조색5 4" xfId="49045" hidden="1"/>
    <cellStyle name="20% - 강조색5 4" xfId="49087" hidden="1"/>
    <cellStyle name="20% - 강조색5 4" xfId="49129" hidden="1"/>
    <cellStyle name="20% - 강조색5 4" xfId="49171" hidden="1"/>
    <cellStyle name="20% - 강조색5 4" xfId="49213" hidden="1"/>
    <cellStyle name="20% - 강조색5 4" xfId="49255" hidden="1"/>
    <cellStyle name="20% - 강조색5 4" xfId="49297" hidden="1"/>
    <cellStyle name="20% - 강조색5 4" xfId="49339" hidden="1"/>
    <cellStyle name="20% - 강조색5 4" xfId="49381" hidden="1"/>
    <cellStyle name="20% - 강조색5 4" xfId="48450" hidden="1"/>
    <cellStyle name="20% - 강조색5 4" xfId="49409" hidden="1"/>
    <cellStyle name="20% - 강조색5 4" xfId="49449" hidden="1"/>
    <cellStyle name="20% - 강조색5 4" xfId="49489" hidden="1"/>
    <cellStyle name="20% - 강조색5 4" xfId="49529" hidden="1"/>
    <cellStyle name="20% - 강조색5 4" xfId="49569" hidden="1"/>
    <cellStyle name="20% - 강조색5 4" xfId="49609" hidden="1"/>
    <cellStyle name="20% - 강조색5 4" xfId="49649" hidden="1"/>
    <cellStyle name="20% - 강조색5 4" xfId="49689" hidden="1"/>
    <cellStyle name="20% - 강조색5 4" xfId="49729" hidden="1"/>
    <cellStyle name="20% - 강조색5 4" xfId="49769" hidden="1"/>
    <cellStyle name="20% - 강조색5 4" xfId="49809" hidden="1"/>
    <cellStyle name="20% - 강조색5 4" xfId="49849" hidden="1"/>
    <cellStyle name="20% - 강조색5 4" xfId="49859" hidden="1"/>
    <cellStyle name="20% - 강조색5 4" xfId="49899" hidden="1"/>
    <cellStyle name="20% - 강조색5 4" xfId="49939" hidden="1"/>
    <cellStyle name="20% - 강조색5 4" xfId="49979" hidden="1"/>
    <cellStyle name="20% - 강조색5 4" xfId="50019" hidden="1"/>
    <cellStyle name="20% - 강조색5 4" xfId="50059" hidden="1"/>
    <cellStyle name="20% - 강조색5 4" xfId="50099" hidden="1"/>
    <cellStyle name="20% - 강조색5 4" xfId="50139" hidden="1"/>
    <cellStyle name="20% - 강조색5 4" xfId="50179" hidden="1"/>
    <cellStyle name="20% - 강조색5 4" xfId="50219" hidden="1"/>
    <cellStyle name="20% - 강조색5 4" xfId="50259" hidden="1"/>
    <cellStyle name="20% - 강조색5 4" xfId="50299" hidden="1"/>
    <cellStyle name="20% - 강조색5 4" xfId="50383" hidden="1"/>
    <cellStyle name="20% - 강조색5 4" xfId="50424" hidden="1"/>
    <cellStyle name="20% - 강조색5 4" xfId="50466" hidden="1"/>
    <cellStyle name="20% - 강조색5 4" xfId="50508" hidden="1"/>
    <cellStyle name="20% - 강조색5 4" xfId="50550" hidden="1"/>
    <cellStyle name="20% - 강조색5 4" xfId="50592" hidden="1"/>
    <cellStyle name="20% - 강조색5 4" xfId="50634" hidden="1"/>
    <cellStyle name="20% - 강조색5 4" xfId="50676" hidden="1"/>
    <cellStyle name="20% - 강조색5 4" xfId="50718" hidden="1"/>
    <cellStyle name="20% - 강조색5 4" xfId="50760" hidden="1"/>
    <cellStyle name="20% - 강조색5 4" xfId="50802" hidden="1"/>
    <cellStyle name="20% - 강조색5 4" xfId="50844" hidden="1"/>
    <cellStyle name="20% - 강조색5 4" xfId="50340" hidden="1"/>
    <cellStyle name="20% - 강조색5 4" xfId="51023" hidden="1"/>
    <cellStyle name="20% - 강조색5 4" xfId="51063" hidden="1"/>
    <cellStyle name="20% - 강조색5 4" xfId="51103" hidden="1"/>
    <cellStyle name="20% - 강조색5 4" xfId="51143" hidden="1"/>
    <cellStyle name="20% - 강조색5 4" xfId="51183" hidden="1"/>
    <cellStyle name="20% - 강조색5 4" xfId="51223" hidden="1"/>
    <cellStyle name="20% - 강조색5 4" xfId="51263" hidden="1"/>
    <cellStyle name="20% - 강조색5 4" xfId="51303" hidden="1"/>
    <cellStyle name="20% - 강조색5 4" xfId="51343" hidden="1"/>
    <cellStyle name="20% - 강조색5 4" xfId="51383" hidden="1"/>
    <cellStyle name="20% - 강조색5 4" xfId="51423" hidden="1"/>
    <cellStyle name="20% - 강조색5 4" xfId="51463" hidden="1"/>
    <cellStyle name="20% - 강조색5 4" xfId="50899" hidden="1"/>
    <cellStyle name="20% - 강조색5 4" xfId="50860" hidden="1"/>
    <cellStyle name="20% - 강조색5 4" xfId="51505" hidden="1"/>
    <cellStyle name="20% - 강조색5 4" xfId="51547" hidden="1"/>
    <cellStyle name="20% - 강조색5 4" xfId="51589" hidden="1"/>
    <cellStyle name="20% - 강조색5 4" xfId="51631" hidden="1"/>
    <cellStyle name="20% - 강조색5 4" xfId="51673" hidden="1"/>
    <cellStyle name="20% - 강조색5 4" xfId="51715" hidden="1"/>
    <cellStyle name="20% - 강조색5 4" xfId="51757" hidden="1"/>
    <cellStyle name="20% - 강조색5 4" xfId="51799" hidden="1"/>
    <cellStyle name="20% - 강조색5 4" xfId="51841" hidden="1"/>
    <cellStyle name="20% - 강조색5 4" xfId="51883" hidden="1"/>
    <cellStyle name="20% - 강조색5 4" xfId="50952" hidden="1"/>
    <cellStyle name="20% - 강조색5 4" xfId="51911" hidden="1"/>
    <cellStyle name="20% - 강조색5 4" xfId="51951" hidden="1"/>
    <cellStyle name="20% - 강조색5 4" xfId="51991" hidden="1"/>
    <cellStyle name="20% - 강조색5 4" xfId="52031" hidden="1"/>
    <cellStyle name="20% - 강조색5 4" xfId="52071" hidden="1"/>
    <cellStyle name="20% - 강조색5 4" xfId="52111" hidden="1"/>
    <cellStyle name="20% - 강조색5 4" xfId="52151" hidden="1"/>
    <cellStyle name="20% - 강조색5 4" xfId="52191" hidden="1"/>
    <cellStyle name="20% - 강조색5 4" xfId="52231" hidden="1"/>
    <cellStyle name="20% - 강조색5 4" xfId="52271" hidden="1"/>
    <cellStyle name="20% - 강조색5 4" xfId="52311" hidden="1"/>
    <cellStyle name="20% - 강조색5 4" xfId="52351" hidden="1"/>
    <cellStyle name="20% - 강조색5 4 2" xfId="1329"/>
    <cellStyle name="20% - 강조색5 4 3" xfId="1330"/>
    <cellStyle name="20% - 강조색5 4 4" xfId="1331"/>
    <cellStyle name="20% - 강조색5 4 5" xfId="1332"/>
    <cellStyle name="20% - 강조색5 40" xfId="1333"/>
    <cellStyle name="20% - 강조색5 41" xfId="1334"/>
    <cellStyle name="20% - 강조색5 42" xfId="1335"/>
    <cellStyle name="20% - 강조색5 43" xfId="1336"/>
    <cellStyle name="20% - 강조색5 44" xfId="1337"/>
    <cellStyle name="20% - 강조색5 45" xfId="1338"/>
    <cellStyle name="20% - 강조색5 46" xfId="1339"/>
    <cellStyle name="20% - 강조색5 47" xfId="1340"/>
    <cellStyle name="20% - 강조색5 48" xfId="1341"/>
    <cellStyle name="20% - 강조색5 49" xfId="1342"/>
    <cellStyle name="20% - 강조색5 5" xfId="1343"/>
    <cellStyle name="20% - 강조색5 50" xfId="1344"/>
    <cellStyle name="20% - 강조색5 51" xfId="1345"/>
    <cellStyle name="20% - 강조색5 52" xfId="1346"/>
    <cellStyle name="20% - 강조색5 6" xfId="1347"/>
    <cellStyle name="20% - 강조색5 7" xfId="1348"/>
    <cellStyle name="20% - 강조색5 8" xfId="1349"/>
    <cellStyle name="20% - 강조색5 9" xfId="1350"/>
    <cellStyle name="20% - 강조색6 10" xfId="1351"/>
    <cellStyle name="20% - 강조색6 11" xfId="1352"/>
    <cellStyle name="20% - 강조색6 12" xfId="1353"/>
    <cellStyle name="20% - 강조색6 13" xfId="1354"/>
    <cellStyle name="20% - 강조색6 14" xfId="1355"/>
    <cellStyle name="20% - 강조색6 15" xfId="1356"/>
    <cellStyle name="20% - 강조색6 16" xfId="1357"/>
    <cellStyle name="20% - 강조색6 17" xfId="1358"/>
    <cellStyle name="20% - 강조색6 18" xfId="1359"/>
    <cellStyle name="20% - 강조색6 19" xfId="1360"/>
    <cellStyle name="20% - 강조색6 2" xfId="113"/>
    <cellStyle name="20% - 강조색6 2 10" xfId="1361"/>
    <cellStyle name="20% - 강조색6 2 100" xfId="1362"/>
    <cellStyle name="20% - 강조색6 2 101" xfId="1363"/>
    <cellStyle name="20% - 강조색6 2 102" xfId="1364"/>
    <cellStyle name="20% - 강조색6 2 103" xfId="1365"/>
    <cellStyle name="20% - 강조색6 2 104" xfId="1366"/>
    <cellStyle name="20% - 강조색6 2 105" xfId="1367"/>
    <cellStyle name="20% - 강조색6 2 106" xfId="1368"/>
    <cellStyle name="20% - 강조색6 2 107" xfId="1369"/>
    <cellStyle name="20% - 강조색6 2 108" xfId="1370"/>
    <cellStyle name="20% - 강조색6 2 109" xfId="1371"/>
    <cellStyle name="20% - 강조색6 2 11" xfId="1372"/>
    <cellStyle name="20% - 강조색6 2 110" xfId="1373"/>
    <cellStyle name="20% - 강조색6 2 111" xfId="1374"/>
    <cellStyle name="20% - 강조색6 2 112" xfId="1375"/>
    <cellStyle name="20% - 강조색6 2 12" xfId="1376"/>
    <cellStyle name="20% - 강조색6 2 13" xfId="1377"/>
    <cellStyle name="20% - 강조색6 2 14" xfId="1378"/>
    <cellStyle name="20% - 강조색6 2 15" xfId="1379"/>
    <cellStyle name="20% - 강조색6 2 16" xfId="1380"/>
    <cellStyle name="20% - 강조색6 2 17" xfId="1381"/>
    <cellStyle name="20% - 강조색6 2 18" xfId="1382"/>
    <cellStyle name="20% - 강조색6 2 19" xfId="1383"/>
    <cellStyle name="20% - 강조색6 2 2" xfId="114"/>
    <cellStyle name="20% - 강조색6 2 2 10" xfId="1384"/>
    <cellStyle name="20% - 강조색6 2 2 11" xfId="1385"/>
    <cellStyle name="20% - 강조색6 2 2 12" xfId="1386"/>
    <cellStyle name="20% - 강조색6 2 2 13" xfId="1387"/>
    <cellStyle name="20% - 강조색6 2 2 14" xfId="1388"/>
    <cellStyle name="20% - 강조색6 2 2 15" xfId="1389"/>
    <cellStyle name="20% - 강조색6 2 2 2" xfId="1390"/>
    <cellStyle name="20% - 강조색6 2 2 2 2" xfId="1391"/>
    <cellStyle name="20% - 강조색6 2 2 2 3" xfId="1392"/>
    <cellStyle name="20% - 강조색6 2 2 2 4" xfId="1393"/>
    <cellStyle name="20% - 강조색6 2 2 2 5" xfId="1394"/>
    <cellStyle name="20% - 강조색6 2 2 3" xfId="1395"/>
    <cellStyle name="20% - 강조색6 2 2 4" xfId="1396"/>
    <cellStyle name="20% - 강조색6 2 2 5" xfId="1397"/>
    <cellStyle name="20% - 강조색6 2 2 6" xfId="1398"/>
    <cellStyle name="20% - 강조색6 2 2 7" xfId="1399"/>
    <cellStyle name="20% - 강조색6 2 2 8" xfId="1400"/>
    <cellStyle name="20% - 강조색6 2 2 9" xfId="1401"/>
    <cellStyle name="20% - 강조색6 2 20" xfId="1402"/>
    <cellStyle name="20% - 강조색6 2 21" xfId="1403"/>
    <cellStyle name="20% - 강조색6 2 22" xfId="1404"/>
    <cellStyle name="20% - 강조색6 2 23" xfId="1405"/>
    <cellStyle name="20% - 강조색6 2 24" xfId="1406"/>
    <cellStyle name="20% - 강조색6 2 25" xfId="1407"/>
    <cellStyle name="20% - 강조색6 2 26" xfId="1408"/>
    <cellStyle name="20% - 강조색6 2 27" xfId="1409"/>
    <cellStyle name="20% - 강조색6 2 28" xfId="1410"/>
    <cellStyle name="20% - 강조색6 2 29" xfId="1411"/>
    <cellStyle name="20% - 강조색6 2 3" xfId="1412"/>
    <cellStyle name="20% - 강조색6 2 3 2" xfId="1413"/>
    <cellStyle name="20% - 강조색6 2 3 3" xfId="1414"/>
    <cellStyle name="20% - 강조색6 2 3 4" xfId="1415"/>
    <cellStyle name="20% - 강조색6 2 3 5" xfId="1416"/>
    <cellStyle name="20% - 강조색6 2 30" xfId="1417"/>
    <cellStyle name="20% - 강조색6 2 31" xfId="1418"/>
    <cellStyle name="20% - 강조색6 2 32" xfId="1419"/>
    <cellStyle name="20% - 강조색6 2 33" xfId="1420"/>
    <cellStyle name="20% - 강조색6 2 34" xfId="1421"/>
    <cellStyle name="20% - 강조색6 2 35" xfId="1422"/>
    <cellStyle name="20% - 강조색6 2 36" xfId="1423"/>
    <cellStyle name="20% - 강조색6 2 37" xfId="1424"/>
    <cellStyle name="20% - 강조색6 2 38" xfId="1425"/>
    <cellStyle name="20% - 강조색6 2 39" xfId="1426"/>
    <cellStyle name="20% - 강조색6 2 4" xfId="1427"/>
    <cellStyle name="20% - 강조색6 2 40" xfId="1428"/>
    <cellStyle name="20% - 강조색6 2 41" xfId="1429"/>
    <cellStyle name="20% - 강조색6 2 42" xfId="1430"/>
    <cellStyle name="20% - 강조색6 2 43" xfId="1431"/>
    <cellStyle name="20% - 강조색6 2 44" xfId="1432"/>
    <cellStyle name="20% - 강조색6 2 45" xfId="1433"/>
    <cellStyle name="20% - 강조색6 2 46" xfId="1434"/>
    <cellStyle name="20% - 강조색6 2 47" xfId="1435"/>
    <cellStyle name="20% - 강조색6 2 48" xfId="1436"/>
    <cellStyle name="20% - 강조색6 2 49" xfId="1437"/>
    <cellStyle name="20% - 강조색6 2 5" xfId="1438"/>
    <cellStyle name="20% - 강조색6 2 50" xfId="1439"/>
    <cellStyle name="20% - 강조색6 2 51" xfId="1440"/>
    <cellStyle name="20% - 강조색6 2 52" xfId="1441"/>
    <cellStyle name="20% - 강조색6 2 53" xfId="1442"/>
    <cellStyle name="20% - 강조색6 2 54" xfId="1443"/>
    <cellStyle name="20% - 강조색6 2 55" xfId="1444"/>
    <cellStyle name="20% - 강조색6 2 56" xfId="1445"/>
    <cellStyle name="20% - 강조색6 2 57" xfId="1446"/>
    <cellStyle name="20% - 강조색6 2 58" xfId="1447"/>
    <cellStyle name="20% - 강조색6 2 59" xfId="1448"/>
    <cellStyle name="20% - 강조색6 2 6" xfId="1449"/>
    <cellStyle name="20% - 강조색6 2 60" xfId="1450"/>
    <cellStyle name="20% - 강조색6 2 61" xfId="1451"/>
    <cellStyle name="20% - 강조색6 2 62" xfId="1452"/>
    <cellStyle name="20% - 강조색6 2 63" xfId="1453"/>
    <cellStyle name="20% - 강조색6 2 64" xfId="1454"/>
    <cellStyle name="20% - 강조색6 2 65" xfId="1455"/>
    <cellStyle name="20% - 강조색6 2 66" xfId="1456"/>
    <cellStyle name="20% - 강조색6 2 67" xfId="1457"/>
    <cellStyle name="20% - 강조색6 2 68" xfId="1458"/>
    <cellStyle name="20% - 강조색6 2 69" xfId="1459"/>
    <cellStyle name="20% - 강조색6 2 7" xfId="1460"/>
    <cellStyle name="20% - 강조색6 2 70" xfId="1461"/>
    <cellStyle name="20% - 강조색6 2 71" xfId="1462"/>
    <cellStyle name="20% - 강조색6 2 72" xfId="1463"/>
    <cellStyle name="20% - 강조색6 2 73" xfId="1464"/>
    <cellStyle name="20% - 강조색6 2 74" xfId="1465"/>
    <cellStyle name="20% - 강조색6 2 75" xfId="1466"/>
    <cellStyle name="20% - 강조색6 2 76" xfId="1467"/>
    <cellStyle name="20% - 강조색6 2 77" xfId="1468"/>
    <cellStyle name="20% - 강조색6 2 78" xfId="1469"/>
    <cellStyle name="20% - 강조색6 2 79" xfId="1470"/>
    <cellStyle name="20% - 강조색6 2 8" xfId="1471"/>
    <cellStyle name="20% - 강조색6 2 80" xfId="1472"/>
    <cellStyle name="20% - 강조색6 2 81" xfId="1473"/>
    <cellStyle name="20% - 강조색6 2 82" xfId="1474"/>
    <cellStyle name="20% - 강조색6 2 83" xfId="1475"/>
    <cellStyle name="20% - 강조색6 2 84" xfId="1476"/>
    <cellStyle name="20% - 강조색6 2 85" xfId="1477"/>
    <cellStyle name="20% - 강조색6 2 86" xfId="1478"/>
    <cellStyle name="20% - 강조색6 2 87" xfId="1479"/>
    <cellStyle name="20% - 강조색6 2 88" xfId="1480"/>
    <cellStyle name="20% - 강조색6 2 89" xfId="1481"/>
    <cellStyle name="20% - 강조색6 2 9" xfId="1482"/>
    <cellStyle name="20% - 강조색6 2 90" xfId="1483"/>
    <cellStyle name="20% - 강조색6 2 91" xfId="1484"/>
    <cellStyle name="20% - 강조색6 2 92" xfId="1485"/>
    <cellStyle name="20% - 강조색6 2 93" xfId="1486"/>
    <cellStyle name="20% - 강조색6 2 94" xfId="1487"/>
    <cellStyle name="20% - 강조색6 2 95" xfId="1488"/>
    <cellStyle name="20% - 강조색6 2 96" xfId="1489"/>
    <cellStyle name="20% - 강조색6 2 97" xfId="1490"/>
    <cellStyle name="20% - 강조색6 2 98" xfId="1491"/>
    <cellStyle name="20% - 강조색6 2 99" xfId="1492"/>
    <cellStyle name="20% - 강조색6 20" xfId="1493"/>
    <cellStyle name="20% - 강조색6 21" xfId="1494"/>
    <cellStyle name="20% - 강조색6 22" xfId="1495"/>
    <cellStyle name="20% - 강조색6 23" xfId="1496"/>
    <cellStyle name="20% - 강조색6 24" xfId="1497"/>
    <cellStyle name="20% - 강조색6 25" xfId="1498"/>
    <cellStyle name="20% - 강조색6 26" xfId="1499"/>
    <cellStyle name="20% - 강조색6 27" xfId="1500"/>
    <cellStyle name="20% - 강조색6 28" xfId="1501"/>
    <cellStyle name="20% - 강조색6 29" xfId="1502"/>
    <cellStyle name="20% - 강조색6 3" xfId="115"/>
    <cellStyle name="20% - 강조색6 30" xfId="1503"/>
    <cellStyle name="20% - 강조색6 31" xfId="1504"/>
    <cellStyle name="20% - 강조색6 32" xfId="1505"/>
    <cellStyle name="20% - 강조색6 33" xfId="1506"/>
    <cellStyle name="20% - 강조색6 34" xfId="1507"/>
    <cellStyle name="20% - 강조색6 35" xfId="1508"/>
    <cellStyle name="20% - 강조색6 36" xfId="1509"/>
    <cellStyle name="20% - 강조색6 37" xfId="1510"/>
    <cellStyle name="20% - 강조색6 38" xfId="1511"/>
    <cellStyle name="20% - 강조색6 39" xfId="1512"/>
    <cellStyle name="20% - 강조색6 4" xfId="11745" hidden="1"/>
    <cellStyle name="20% - 강조색6 4" xfId="11791" hidden="1"/>
    <cellStyle name="20% - 강조색6 4" xfId="11837" hidden="1"/>
    <cellStyle name="20% - 강조색6 4" xfId="11883" hidden="1"/>
    <cellStyle name="20% - 강조색6 4" xfId="11929" hidden="1"/>
    <cellStyle name="20% - 강조색6 4" xfId="11975" hidden="1"/>
    <cellStyle name="20% - 강조색6 4" xfId="12021" hidden="1"/>
    <cellStyle name="20% - 강조색6 4" xfId="12067" hidden="1"/>
    <cellStyle name="20% - 강조색6 4" xfId="12113" hidden="1"/>
    <cellStyle name="20% - 강조색6 4" xfId="12159" hidden="1"/>
    <cellStyle name="20% - 강조색6 4" xfId="12205" hidden="1"/>
    <cellStyle name="20% - 강조색6 4" xfId="12251" hidden="1"/>
    <cellStyle name="20% - 강조색6 4" xfId="12341" hidden="1"/>
    <cellStyle name="20% - 강조색6 4" xfId="12382" hidden="1"/>
    <cellStyle name="20% - 강조색6 4" xfId="12424" hidden="1"/>
    <cellStyle name="20% - 강조색6 4" xfId="12466" hidden="1"/>
    <cellStyle name="20% - 강조색6 4" xfId="12508" hidden="1"/>
    <cellStyle name="20% - 강조색6 4" xfId="12550" hidden="1"/>
    <cellStyle name="20% - 강조색6 4" xfId="12592" hidden="1"/>
    <cellStyle name="20% - 강조색6 4" xfId="12634" hidden="1"/>
    <cellStyle name="20% - 강조색6 4" xfId="12676" hidden="1"/>
    <cellStyle name="20% - 강조색6 4" xfId="12718" hidden="1"/>
    <cellStyle name="20% - 강조색6 4" xfId="12760" hidden="1"/>
    <cellStyle name="20% - 강조색6 4" xfId="12802" hidden="1"/>
    <cellStyle name="20% - 강조색6 4" xfId="12296" hidden="1"/>
    <cellStyle name="20% - 강조색6 4" xfId="12984" hidden="1"/>
    <cellStyle name="20% - 강조색6 4" xfId="13024" hidden="1"/>
    <cellStyle name="20% - 강조색6 4" xfId="13064" hidden="1"/>
    <cellStyle name="20% - 강조색6 4" xfId="13104" hidden="1"/>
    <cellStyle name="20% - 강조색6 4" xfId="13144" hidden="1"/>
    <cellStyle name="20% - 강조색6 4" xfId="13184" hidden="1"/>
    <cellStyle name="20% - 강조색6 4" xfId="13224" hidden="1"/>
    <cellStyle name="20% - 강조색6 4" xfId="13264" hidden="1"/>
    <cellStyle name="20% - 강조색6 4" xfId="13304" hidden="1"/>
    <cellStyle name="20% - 강조색6 4" xfId="13344" hidden="1"/>
    <cellStyle name="20% - 강조색6 4" xfId="13384" hidden="1"/>
    <cellStyle name="20% - 강조색6 4" xfId="13424" hidden="1"/>
    <cellStyle name="20% - 강조색6 4" xfId="12820" hidden="1"/>
    <cellStyle name="20% - 강조색6 4" xfId="12811" hidden="1"/>
    <cellStyle name="20% - 강조색6 4" xfId="13466" hidden="1"/>
    <cellStyle name="20% - 강조색6 4" xfId="13508" hidden="1"/>
    <cellStyle name="20% - 강조색6 4" xfId="13550" hidden="1"/>
    <cellStyle name="20% - 강조색6 4" xfId="13592" hidden="1"/>
    <cellStyle name="20% - 강조색6 4" xfId="13634" hidden="1"/>
    <cellStyle name="20% - 강조색6 4" xfId="13676" hidden="1"/>
    <cellStyle name="20% - 강조색6 4" xfId="13718" hidden="1"/>
    <cellStyle name="20% - 강조색6 4" xfId="13760" hidden="1"/>
    <cellStyle name="20% - 강조색6 4" xfId="13802" hidden="1"/>
    <cellStyle name="20% - 강조색6 4" xfId="13844" hidden="1"/>
    <cellStyle name="20% - 강조색6 4" xfId="12904" hidden="1"/>
    <cellStyle name="20% - 강조색6 4" xfId="13872" hidden="1"/>
    <cellStyle name="20% - 강조색6 4" xfId="13912" hidden="1"/>
    <cellStyle name="20% - 강조색6 4" xfId="13952" hidden="1"/>
    <cellStyle name="20% - 강조색6 4" xfId="13992" hidden="1"/>
    <cellStyle name="20% - 강조색6 4" xfId="14032" hidden="1"/>
    <cellStyle name="20% - 강조색6 4" xfId="14072" hidden="1"/>
    <cellStyle name="20% - 강조색6 4" xfId="14112" hidden="1"/>
    <cellStyle name="20% - 강조색6 4" xfId="14152" hidden="1"/>
    <cellStyle name="20% - 강조색6 4" xfId="14192" hidden="1"/>
    <cellStyle name="20% - 강조색6 4" xfId="14232" hidden="1"/>
    <cellStyle name="20% - 강조색6 4" xfId="14272" hidden="1"/>
    <cellStyle name="20% - 강조색6 4" xfId="14312" hidden="1"/>
    <cellStyle name="20% - 강조색6 4" xfId="14418" hidden="1"/>
    <cellStyle name="20% - 강조색6 4" xfId="14458" hidden="1"/>
    <cellStyle name="20% - 강조색6 4" xfId="14498" hidden="1"/>
    <cellStyle name="20% - 강조색6 4" xfId="14538" hidden="1"/>
    <cellStyle name="20% - 강조색6 4" xfId="14578" hidden="1"/>
    <cellStyle name="20% - 강조색6 4" xfId="14618" hidden="1"/>
    <cellStyle name="20% - 강조색6 4" xfId="14658" hidden="1"/>
    <cellStyle name="20% - 강조색6 4" xfId="14698" hidden="1"/>
    <cellStyle name="20% - 강조색6 4" xfId="14738" hidden="1"/>
    <cellStyle name="20% - 강조색6 4" xfId="14778" hidden="1"/>
    <cellStyle name="20% - 강조색6 4" xfId="14818" hidden="1"/>
    <cellStyle name="20% - 강조색6 4" xfId="14858" hidden="1"/>
    <cellStyle name="20% - 강조색6 4" xfId="14942" hidden="1"/>
    <cellStyle name="20% - 강조색6 4" xfId="14983" hidden="1"/>
    <cellStyle name="20% - 강조색6 4" xfId="15025" hidden="1"/>
    <cellStyle name="20% - 강조색6 4" xfId="15067" hidden="1"/>
    <cellStyle name="20% - 강조색6 4" xfId="15109" hidden="1"/>
    <cellStyle name="20% - 강조색6 4" xfId="15151" hidden="1"/>
    <cellStyle name="20% - 강조색6 4" xfId="15193" hidden="1"/>
    <cellStyle name="20% - 강조색6 4" xfId="15235" hidden="1"/>
    <cellStyle name="20% - 강조색6 4" xfId="15277" hidden="1"/>
    <cellStyle name="20% - 강조색6 4" xfId="15319" hidden="1"/>
    <cellStyle name="20% - 강조색6 4" xfId="15361" hidden="1"/>
    <cellStyle name="20% - 강조색6 4" xfId="15403" hidden="1"/>
    <cellStyle name="20% - 강조색6 4" xfId="14899" hidden="1"/>
    <cellStyle name="20% - 강조색6 4" xfId="15582" hidden="1"/>
    <cellStyle name="20% - 강조색6 4" xfId="15622" hidden="1"/>
    <cellStyle name="20% - 강조색6 4" xfId="15662" hidden="1"/>
    <cellStyle name="20% - 강조색6 4" xfId="15702" hidden="1"/>
    <cellStyle name="20% - 강조색6 4" xfId="15742" hidden="1"/>
    <cellStyle name="20% - 강조색6 4" xfId="15782" hidden="1"/>
    <cellStyle name="20% - 강조색6 4" xfId="15822" hidden="1"/>
    <cellStyle name="20% - 강조색6 4" xfId="15862" hidden="1"/>
    <cellStyle name="20% - 강조색6 4" xfId="15902" hidden="1"/>
    <cellStyle name="20% - 강조색6 4" xfId="15942" hidden="1"/>
    <cellStyle name="20% - 강조색6 4" xfId="15982" hidden="1"/>
    <cellStyle name="20% - 강조색6 4" xfId="16022" hidden="1"/>
    <cellStyle name="20% - 강조색6 4" xfId="15420" hidden="1"/>
    <cellStyle name="20% - 강조색6 4" xfId="15411" hidden="1"/>
    <cellStyle name="20% - 강조색6 4" xfId="16064" hidden="1"/>
    <cellStyle name="20% - 강조색6 4" xfId="16106" hidden="1"/>
    <cellStyle name="20% - 강조색6 4" xfId="16148" hidden="1"/>
    <cellStyle name="20% - 강조색6 4" xfId="16190" hidden="1"/>
    <cellStyle name="20% - 강조색6 4" xfId="16232" hidden="1"/>
    <cellStyle name="20% - 강조색6 4" xfId="16274" hidden="1"/>
    <cellStyle name="20% - 강조색6 4" xfId="16316" hidden="1"/>
    <cellStyle name="20% - 강조색6 4" xfId="16358" hidden="1"/>
    <cellStyle name="20% - 강조색6 4" xfId="16400" hidden="1"/>
    <cellStyle name="20% - 강조색6 4" xfId="16442" hidden="1"/>
    <cellStyle name="20% - 강조색6 4" xfId="15503" hidden="1"/>
    <cellStyle name="20% - 강조색6 4" xfId="16470" hidden="1"/>
    <cellStyle name="20% - 강조색6 4" xfId="16510" hidden="1"/>
    <cellStyle name="20% - 강조색6 4" xfId="16550" hidden="1"/>
    <cellStyle name="20% - 강조색6 4" xfId="16590" hidden="1"/>
    <cellStyle name="20% - 강조색6 4" xfId="16630" hidden="1"/>
    <cellStyle name="20% - 강조색6 4" xfId="16670" hidden="1"/>
    <cellStyle name="20% - 강조색6 4" xfId="16710" hidden="1"/>
    <cellStyle name="20% - 강조색6 4" xfId="16750" hidden="1"/>
    <cellStyle name="20% - 강조색6 4" xfId="16790" hidden="1"/>
    <cellStyle name="20% - 강조색6 4" xfId="16830" hidden="1"/>
    <cellStyle name="20% - 강조색6 4" xfId="16870" hidden="1"/>
    <cellStyle name="20% - 강조색6 4" xfId="16910" hidden="1"/>
    <cellStyle name="20% - 강조색6 4" xfId="16921" hidden="1"/>
    <cellStyle name="20% - 강조색6 4" xfId="16961" hidden="1"/>
    <cellStyle name="20% - 강조색6 4" xfId="17002" hidden="1"/>
    <cellStyle name="20% - 강조색6 4" xfId="17042" hidden="1"/>
    <cellStyle name="20% - 강조색6 4" xfId="17082" hidden="1"/>
    <cellStyle name="20% - 강조색6 4" xfId="17122" hidden="1"/>
    <cellStyle name="20% - 강조색6 4" xfId="17162" hidden="1"/>
    <cellStyle name="20% - 강조색6 4" xfId="17202" hidden="1"/>
    <cellStyle name="20% - 강조색6 4" xfId="17242" hidden="1"/>
    <cellStyle name="20% - 강조색6 4" xfId="17282" hidden="1"/>
    <cellStyle name="20% - 강조색6 4" xfId="17322" hidden="1"/>
    <cellStyle name="20% - 강조색6 4" xfId="17362" hidden="1"/>
    <cellStyle name="20% - 강조색6 4" xfId="17446" hidden="1"/>
    <cellStyle name="20% - 강조색6 4" xfId="17487" hidden="1"/>
    <cellStyle name="20% - 강조색6 4" xfId="17529" hidden="1"/>
    <cellStyle name="20% - 강조색6 4" xfId="17571" hidden="1"/>
    <cellStyle name="20% - 강조색6 4" xfId="17613" hidden="1"/>
    <cellStyle name="20% - 강조색6 4" xfId="17655" hidden="1"/>
    <cellStyle name="20% - 강조색6 4" xfId="17697" hidden="1"/>
    <cellStyle name="20% - 강조색6 4" xfId="17739" hidden="1"/>
    <cellStyle name="20% - 강조색6 4" xfId="17781" hidden="1"/>
    <cellStyle name="20% - 강조색6 4" xfId="17823" hidden="1"/>
    <cellStyle name="20% - 강조색6 4" xfId="17865" hidden="1"/>
    <cellStyle name="20% - 강조색6 4" xfId="17907" hidden="1"/>
    <cellStyle name="20% - 강조색6 4" xfId="17403" hidden="1"/>
    <cellStyle name="20% - 강조색6 4" xfId="18086" hidden="1"/>
    <cellStyle name="20% - 강조색6 4" xfId="18126" hidden="1"/>
    <cellStyle name="20% - 강조색6 4" xfId="18166" hidden="1"/>
    <cellStyle name="20% - 강조색6 4" xfId="18206" hidden="1"/>
    <cellStyle name="20% - 강조색6 4" xfId="18246" hidden="1"/>
    <cellStyle name="20% - 강조색6 4" xfId="18286" hidden="1"/>
    <cellStyle name="20% - 강조색6 4" xfId="18326" hidden="1"/>
    <cellStyle name="20% - 강조색6 4" xfId="18366" hidden="1"/>
    <cellStyle name="20% - 강조색6 4" xfId="18406" hidden="1"/>
    <cellStyle name="20% - 강조색6 4" xfId="18446" hidden="1"/>
    <cellStyle name="20% - 강조색6 4" xfId="18486" hidden="1"/>
    <cellStyle name="20% - 강조색6 4" xfId="18526" hidden="1"/>
    <cellStyle name="20% - 강조색6 4" xfId="17924" hidden="1"/>
    <cellStyle name="20% - 강조색6 4" xfId="17915" hidden="1"/>
    <cellStyle name="20% - 강조색6 4" xfId="18568" hidden="1"/>
    <cellStyle name="20% - 강조색6 4" xfId="18610" hidden="1"/>
    <cellStyle name="20% - 강조색6 4" xfId="18652" hidden="1"/>
    <cellStyle name="20% - 강조색6 4" xfId="18694" hidden="1"/>
    <cellStyle name="20% - 강조색6 4" xfId="18736" hidden="1"/>
    <cellStyle name="20% - 강조색6 4" xfId="18778" hidden="1"/>
    <cellStyle name="20% - 강조색6 4" xfId="18820" hidden="1"/>
    <cellStyle name="20% - 강조색6 4" xfId="18862" hidden="1"/>
    <cellStyle name="20% - 강조색6 4" xfId="18904" hidden="1"/>
    <cellStyle name="20% - 강조색6 4" xfId="18946" hidden="1"/>
    <cellStyle name="20% - 강조색6 4" xfId="18007" hidden="1"/>
    <cellStyle name="20% - 강조색6 4" xfId="18974" hidden="1"/>
    <cellStyle name="20% - 강조색6 4" xfId="19014" hidden="1"/>
    <cellStyle name="20% - 강조색6 4" xfId="19054" hidden="1"/>
    <cellStyle name="20% - 강조색6 4" xfId="19094" hidden="1"/>
    <cellStyle name="20% - 강조색6 4" xfId="19134" hidden="1"/>
    <cellStyle name="20% - 강조색6 4" xfId="19174" hidden="1"/>
    <cellStyle name="20% - 강조색6 4" xfId="19214" hidden="1"/>
    <cellStyle name="20% - 강조색6 4" xfId="19254" hidden="1"/>
    <cellStyle name="20% - 강조색6 4" xfId="19294" hidden="1"/>
    <cellStyle name="20% - 강조색6 4" xfId="19334" hidden="1"/>
    <cellStyle name="20% - 강조색6 4" xfId="19374" hidden="1"/>
    <cellStyle name="20% - 강조색6 4" xfId="19414" hidden="1"/>
    <cellStyle name="20% - 강조색6 4" xfId="19424" hidden="1"/>
    <cellStyle name="20% - 강조색6 4" xfId="19464" hidden="1"/>
    <cellStyle name="20% - 강조색6 4" xfId="19504" hidden="1"/>
    <cellStyle name="20% - 강조색6 4" xfId="19544" hidden="1"/>
    <cellStyle name="20% - 강조색6 4" xfId="19584" hidden="1"/>
    <cellStyle name="20% - 강조색6 4" xfId="19624" hidden="1"/>
    <cellStyle name="20% - 강조색6 4" xfId="19664" hidden="1"/>
    <cellStyle name="20% - 강조색6 4" xfId="19704" hidden="1"/>
    <cellStyle name="20% - 강조색6 4" xfId="19744" hidden="1"/>
    <cellStyle name="20% - 강조색6 4" xfId="19784" hidden="1"/>
    <cellStyle name="20% - 강조색6 4" xfId="19824" hidden="1"/>
    <cellStyle name="20% - 강조색6 4" xfId="19864" hidden="1"/>
    <cellStyle name="20% - 강조색6 4" xfId="19948" hidden="1"/>
    <cellStyle name="20% - 강조색6 4" xfId="19989" hidden="1"/>
    <cellStyle name="20% - 강조색6 4" xfId="20031" hidden="1"/>
    <cellStyle name="20% - 강조색6 4" xfId="20073" hidden="1"/>
    <cellStyle name="20% - 강조색6 4" xfId="20115" hidden="1"/>
    <cellStyle name="20% - 강조색6 4" xfId="20157" hidden="1"/>
    <cellStyle name="20% - 강조색6 4" xfId="20199" hidden="1"/>
    <cellStyle name="20% - 강조색6 4" xfId="20241" hidden="1"/>
    <cellStyle name="20% - 강조색6 4" xfId="20283" hidden="1"/>
    <cellStyle name="20% - 강조색6 4" xfId="20325" hidden="1"/>
    <cellStyle name="20% - 강조색6 4" xfId="20367" hidden="1"/>
    <cellStyle name="20% - 강조색6 4" xfId="20409" hidden="1"/>
    <cellStyle name="20% - 강조색6 4" xfId="19905" hidden="1"/>
    <cellStyle name="20% - 강조색6 4" xfId="20588" hidden="1"/>
    <cellStyle name="20% - 강조색6 4" xfId="20628" hidden="1"/>
    <cellStyle name="20% - 강조색6 4" xfId="20668" hidden="1"/>
    <cellStyle name="20% - 강조색6 4" xfId="20708" hidden="1"/>
    <cellStyle name="20% - 강조색6 4" xfId="20748" hidden="1"/>
    <cellStyle name="20% - 강조색6 4" xfId="20788" hidden="1"/>
    <cellStyle name="20% - 강조색6 4" xfId="20828" hidden="1"/>
    <cellStyle name="20% - 강조색6 4" xfId="20868" hidden="1"/>
    <cellStyle name="20% - 강조색6 4" xfId="20908" hidden="1"/>
    <cellStyle name="20% - 강조색6 4" xfId="20948" hidden="1"/>
    <cellStyle name="20% - 강조색6 4" xfId="20988" hidden="1"/>
    <cellStyle name="20% - 강조색6 4" xfId="21028" hidden="1"/>
    <cellStyle name="20% - 강조색6 4" xfId="20426" hidden="1"/>
    <cellStyle name="20% - 강조색6 4" xfId="20417" hidden="1"/>
    <cellStyle name="20% - 강조색6 4" xfId="21070" hidden="1"/>
    <cellStyle name="20% - 강조색6 4" xfId="21112" hidden="1"/>
    <cellStyle name="20% - 강조색6 4" xfId="21154" hidden="1"/>
    <cellStyle name="20% - 강조색6 4" xfId="21196" hidden="1"/>
    <cellStyle name="20% - 강조색6 4" xfId="21238" hidden="1"/>
    <cellStyle name="20% - 강조색6 4" xfId="21280" hidden="1"/>
    <cellStyle name="20% - 강조색6 4" xfId="21322" hidden="1"/>
    <cellStyle name="20% - 강조색6 4" xfId="21364" hidden="1"/>
    <cellStyle name="20% - 강조색6 4" xfId="21406" hidden="1"/>
    <cellStyle name="20% - 강조색6 4" xfId="21448" hidden="1"/>
    <cellStyle name="20% - 강조색6 4" xfId="20509" hidden="1"/>
    <cellStyle name="20% - 강조색6 4" xfId="21476" hidden="1"/>
    <cellStyle name="20% - 강조색6 4" xfId="21516" hidden="1"/>
    <cellStyle name="20% - 강조색6 4" xfId="21556" hidden="1"/>
    <cellStyle name="20% - 강조색6 4" xfId="21596" hidden="1"/>
    <cellStyle name="20% - 강조색6 4" xfId="21636" hidden="1"/>
    <cellStyle name="20% - 강조색6 4" xfId="21676" hidden="1"/>
    <cellStyle name="20% - 강조색6 4" xfId="21716" hidden="1"/>
    <cellStyle name="20% - 강조색6 4" xfId="21756" hidden="1"/>
    <cellStyle name="20% - 강조색6 4" xfId="21796" hidden="1"/>
    <cellStyle name="20% - 강조색6 4" xfId="21836" hidden="1"/>
    <cellStyle name="20% - 강조색6 4" xfId="21876" hidden="1"/>
    <cellStyle name="20% - 강조색6 4" xfId="21916" hidden="1"/>
    <cellStyle name="20% - 강조색6 4" xfId="21984" hidden="1"/>
    <cellStyle name="20% - 강조색6 4" xfId="22024" hidden="1"/>
    <cellStyle name="20% - 강조색6 4" xfId="22064" hidden="1"/>
    <cellStyle name="20% - 강조색6 4" xfId="22104" hidden="1"/>
    <cellStyle name="20% - 강조색6 4" xfId="22144" hidden="1"/>
    <cellStyle name="20% - 강조색6 4" xfId="22184" hidden="1"/>
    <cellStyle name="20% - 강조색6 4" xfId="22224" hidden="1"/>
    <cellStyle name="20% - 강조색6 4" xfId="22264" hidden="1"/>
    <cellStyle name="20% - 강조색6 4" xfId="22304" hidden="1"/>
    <cellStyle name="20% - 강조색6 4" xfId="22344" hidden="1"/>
    <cellStyle name="20% - 강조색6 4" xfId="22384" hidden="1"/>
    <cellStyle name="20% - 강조색6 4" xfId="22424" hidden="1"/>
    <cellStyle name="20% - 강조색6 4" xfId="22508" hidden="1"/>
    <cellStyle name="20% - 강조색6 4" xfId="22549" hidden="1"/>
    <cellStyle name="20% - 강조색6 4" xfId="22591" hidden="1"/>
    <cellStyle name="20% - 강조색6 4" xfId="22633" hidden="1"/>
    <cellStyle name="20% - 강조색6 4" xfId="22675" hidden="1"/>
    <cellStyle name="20% - 강조색6 4" xfId="22717" hidden="1"/>
    <cellStyle name="20% - 강조색6 4" xfId="22759" hidden="1"/>
    <cellStyle name="20% - 강조색6 4" xfId="22801" hidden="1"/>
    <cellStyle name="20% - 강조색6 4" xfId="22843" hidden="1"/>
    <cellStyle name="20% - 강조색6 4" xfId="22885" hidden="1"/>
    <cellStyle name="20% - 강조색6 4" xfId="22927" hidden="1"/>
    <cellStyle name="20% - 강조색6 4" xfId="22969" hidden="1"/>
    <cellStyle name="20% - 강조색6 4" xfId="22465" hidden="1"/>
    <cellStyle name="20% - 강조색6 4" xfId="23148" hidden="1"/>
    <cellStyle name="20% - 강조색6 4" xfId="23188" hidden="1"/>
    <cellStyle name="20% - 강조색6 4" xfId="23228" hidden="1"/>
    <cellStyle name="20% - 강조색6 4" xfId="23268" hidden="1"/>
    <cellStyle name="20% - 강조색6 4" xfId="23308" hidden="1"/>
    <cellStyle name="20% - 강조색6 4" xfId="23348" hidden="1"/>
    <cellStyle name="20% - 강조색6 4" xfId="23388" hidden="1"/>
    <cellStyle name="20% - 강조색6 4" xfId="23428" hidden="1"/>
    <cellStyle name="20% - 강조색6 4" xfId="23468" hidden="1"/>
    <cellStyle name="20% - 강조색6 4" xfId="23508" hidden="1"/>
    <cellStyle name="20% - 강조색6 4" xfId="23548" hidden="1"/>
    <cellStyle name="20% - 강조색6 4" xfId="23588" hidden="1"/>
    <cellStyle name="20% - 강조색6 4" xfId="22986" hidden="1"/>
    <cellStyle name="20% - 강조색6 4" xfId="22977" hidden="1"/>
    <cellStyle name="20% - 강조색6 4" xfId="23630" hidden="1"/>
    <cellStyle name="20% - 강조색6 4" xfId="23672" hidden="1"/>
    <cellStyle name="20% - 강조색6 4" xfId="23714" hidden="1"/>
    <cellStyle name="20% - 강조색6 4" xfId="23756" hidden="1"/>
    <cellStyle name="20% - 강조색6 4" xfId="23798" hidden="1"/>
    <cellStyle name="20% - 강조색6 4" xfId="23840" hidden="1"/>
    <cellStyle name="20% - 강조색6 4" xfId="23882" hidden="1"/>
    <cellStyle name="20% - 강조색6 4" xfId="23924" hidden="1"/>
    <cellStyle name="20% - 강조색6 4" xfId="23966" hidden="1"/>
    <cellStyle name="20% - 강조색6 4" xfId="24008" hidden="1"/>
    <cellStyle name="20% - 강조색6 4" xfId="23069" hidden="1"/>
    <cellStyle name="20% - 강조색6 4" xfId="24036" hidden="1"/>
    <cellStyle name="20% - 강조색6 4" xfId="24076" hidden="1"/>
    <cellStyle name="20% - 강조색6 4" xfId="24116" hidden="1"/>
    <cellStyle name="20% - 강조색6 4" xfId="24156" hidden="1"/>
    <cellStyle name="20% - 강조색6 4" xfId="24196" hidden="1"/>
    <cellStyle name="20% - 강조색6 4" xfId="24236" hidden="1"/>
    <cellStyle name="20% - 강조색6 4" xfId="24276" hidden="1"/>
    <cellStyle name="20% - 강조색6 4" xfId="24316" hidden="1"/>
    <cellStyle name="20% - 강조색6 4" xfId="24356" hidden="1"/>
    <cellStyle name="20% - 강조색6 4" xfId="24396" hidden="1"/>
    <cellStyle name="20% - 강조색6 4" xfId="24436" hidden="1"/>
    <cellStyle name="20% - 강조색6 4" xfId="24476" hidden="1"/>
    <cellStyle name="20% - 강조색6 4" xfId="24574" hidden="1"/>
    <cellStyle name="20% - 강조색6 4" xfId="24614" hidden="1"/>
    <cellStyle name="20% - 강조색6 4" xfId="24656" hidden="1"/>
    <cellStyle name="20% - 강조색6 4" xfId="24697" hidden="1"/>
    <cellStyle name="20% - 강조색6 4" xfId="24737" hidden="1"/>
    <cellStyle name="20% - 강조색6 4" xfId="24777" hidden="1"/>
    <cellStyle name="20% - 강조색6 4" xfId="24817" hidden="1"/>
    <cellStyle name="20% - 강조색6 4" xfId="24857" hidden="1"/>
    <cellStyle name="20% - 강조색6 4" xfId="24897" hidden="1"/>
    <cellStyle name="20% - 강조색6 4" xfId="24937" hidden="1"/>
    <cellStyle name="20% - 강조색6 4" xfId="24977" hidden="1"/>
    <cellStyle name="20% - 강조색6 4" xfId="25017" hidden="1"/>
    <cellStyle name="20% - 강조색6 4" xfId="25101" hidden="1"/>
    <cellStyle name="20% - 강조색6 4" xfId="25142" hidden="1"/>
    <cellStyle name="20% - 강조색6 4" xfId="25184" hidden="1"/>
    <cellStyle name="20% - 강조색6 4" xfId="25226" hidden="1"/>
    <cellStyle name="20% - 강조색6 4" xfId="25268" hidden="1"/>
    <cellStyle name="20% - 강조색6 4" xfId="25310" hidden="1"/>
    <cellStyle name="20% - 강조색6 4" xfId="25352" hidden="1"/>
    <cellStyle name="20% - 강조색6 4" xfId="25394" hidden="1"/>
    <cellStyle name="20% - 강조색6 4" xfId="25436" hidden="1"/>
    <cellStyle name="20% - 강조색6 4" xfId="25478" hidden="1"/>
    <cellStyle name="20% - 강조색6 4" xfId="25520" hidden="1"/>
    <cellStyle name="20% - 강조색6 4" xfId="25562" hidden="1"/>
    <cellStyle name="20% - 강조색6 4" xfId="25058" hidden="1"/>
    <cellStyle name="20% - 강조색6 4" xfId="25741" hidden="1"/>
    <cellStyle name="20% - 강조색6 4" xfId="25781" hidden="1"/>
    <cellStyle name="20% - 강조색6 4" xfId="25821" hidden="1"/>
    <cellStyle name="20% - 강조색6 4" xfId="25861" hidden="1"/>
    <cellStyle name="20% - 강조색6 4" xfId="25901" hidden="1"/>
    <cellStyle name="20% - 강조색6 4" xfId="25941" hidden="1"/>
    <cellStyle name="20% - 강조색6 4" xfId="25981" hidden="1"/>
    <cellStyle name="20% - 강조색6 4" xfId="26021" hidden="1"/>
    <cellStyle name="20% - 강조색6 4" xfId="26061" hidden="1"/>
    <cellStyle name="20% - 강조색6 4" xfId="26101" hidden="1"/>
    <cellStyle name="20% - 강조색6 4" xfId="26141" hidden="1"/>
    <cellStyle name="20% - 강조색6 4" xfId="26181" hidden="1"/>
    <cellStyle name="20% - 강조색6 4" xfId="25579" hidden="1"/>
    <cellStyle name="20% - 강조색6 4" xfId="25570" hidden="1"/>
    <cellStyle name="20% - 강조색6 4" xfId="26223" hidden="1"/>
    <cellStyle name="20% - 강조색6 4" xfId="26265" hidden="1"/>
    <cellStyle name="20% - 강조색6 4" xfId="26307" hidden="1"/>
    <cellStyle name="20% - 강조색6 4" xfId="26349" hidden="1"/>
    <cellStyle name="20% - 강조색6 4" xfId="26391" hidden="1"/>
    <cellStyle name="20% - 강조색6 4" xfId="26433" hidden="1"/>
    <cellStyle name="20% - 강조색6 4" xfId="26475" hidden="1"/>
    <cellStyle name="20% - 강조색6 4" xfId="26517" hidden="1"/>
    <cellStyle name="20% - 강조색6 4" xfId="26559" hidden="1"/>
    <cellStyle name="20% - 강조색6 4" xfId="26601" hidden="1"/>
    <cellStyle name="20% - 강조색6 4" xfId="25662" hidden="1"/>
    <cellStyle name="20% - 강조색6 4" xfId="26629" hidden="1"/>
    <cellStyle name="20% - 강조색6 4" xfId="26669" hidden="1"/>
    <cellStyle name="20% - 강조색6 4" xfId="26709" hidden="1"/>
    <cellStyle name="20% - 강조색6 4" xfId="26749" hidden="1"/>
    <cellStyle name="20% - 강조색6 4" xfId="26789" hidden="1"/>
    <cellStyle name="20% - 강조색6 4" xfId="26829" hidden="1"/>
    <cellStyle name="20% - 강조색6 4" xfId="26869" hidden="1"/>
    <cellStyle name="20% - 강조색6 4" xfId="26909" hidden="1"/>
    <cellStyle name="20% - 강조색6 4" xfId="26949" hidden="1"/>
    <cellStyle name="20% - 강조색6 4" xfId="26989" hidden="1"/>
    <cellStyle name="20% - 강조색6 4" xfId="27029" hidden="1"/>
    <cellStyle name="20% - 강조색6 4" xfId="27069" hidden="1"/>
    <cellStyle name="20% - 강조색6 4" xfId="27080" hidden="1"/>
    <cellStyle name="20% - 강조색6 4" xfId="27120" hidden="1"/>
    <cellStyle name="20% - 강조색6 4" xfId="27160" hidden="1"/>
    <cellStyle name="20% - 강조색6 4" xfId="27200" hidden="1"/>
    <cellStyle name="20% - 강조색6 4" xfId="27240" hidden="1"/>
    <cellStyle name="20% - 강조색6 4" xfId="27280" hidden="1"/>
    <cellStyle name="20% - 강조색6 4" xfId="27320" hidden="1"/>
    <cellStyle name="20% - 강조색6 4" xfId="27360" hidden="1"/>
    <cellStyle name="20% - 강조색6 4" xfId="27400" hidden="1"/>
    <cellStyle name="20% - 강조색6 4" xfId="27440" hidden="1"/>
    <cellStyle name="20% - 강조색6 4" xfId="27480" hidden="1"/>
    <cellStyle name="20% - 강조색6 4" xfId="27520" hidden="1"/>
    <cellStyle name="20% - 강조색6 4" xfId="27604" hidden="1"/>
    <cellStyle name="20% - 강조색6 4" xfId="27645" hidden="1"/>
    <cellStyle name="20% - 강조색6 4" xfId="27687" hidden="1"/>
    <cellStyle name="20% - 강조색6 4" xfId="27729" hidden="1"/>
    <cellStyle name="20% - 강조색6 4" xfId="27771" hidden="1"/>
    <cellStyle name="20% - 강조색6 4" xfId="27813" hidden="1"/>
    <cellStyle name="20% - 강조색6 4" xfId="27855" hidden="1"/>
    <cellStyle name="20% - 강조색6 4" xfId="27897" hidden="1"/>
    <cellStyle name="20% - 강조색6 4" xfId="27939" hidden="1"/>
    <cellStyle name="20% - 강조색6 4" xfId="27981" hidden="1"/>
    <cellStyle name="20% - 강조색6 4" xfId="28023" hidden="1"/>
    <cellStyle name="20% - 강조색6 4" xfId="28065" hidden="1"/>
    <cellStyle name="20% - 강조색6 4" xfId="27561" hidden="1"/>
    <cellStyle name="20% - 강조색6 4" xfId="28244" hidden="1"/>
    <cellStyle name="20% - 강조색6 4" xfId="28284" hidden="1"/>
    <cellStyle name="20% - 강조색6 4" xfId="28324" hidden="1"/>
    <cellStyle name="20% - 강조색6 4" xfId="28364" hidden="1"/>
    <cellStyle name="20% - 강조색6 4" xfId="28404" hidden="1"/>
    <cellStyle name="20% - 강조색6 4" xfId="28444" hidden="1"/>
    <cellStyle name="20% - 강조색6 4" xfId="28484" hidden="1"/>
    <cellStyle name="20% - 강조색6 4" xfId="28524" hidden="1"/>
    <cellStyle name="20% - 강조색6 4" xfId="28564" hidden="1"/>
    <cellStyle name="20% - 강조색6 4" xfId="28604" hidden="1"/>
    <cellStyle name="20% - 강조색6 4" xfId="28644" hidden="1"/>
    <cellStyle name="20% - 강조색6 4" xfId="28684" hidden="1"/>
    <cellStyle name="20% - 강조색6 4" xfId="28082" hidden="1"/>
    <cellStyle name="20% - 강조색6 4" xfId="28073" hidden="1"/>
    <cellStyle name="20% - 강조색6 4" xfId="28726" hidden="1"/>
    <cellStyle name="20% - 강조색6 4" xfId="28768" hidden="1"/>
    <cellStyle name="20% - 강조색6 4" xfId="28810" hidden="1"/>
    <cellStyle name="20% - 강조색6 4" xfId="28852" hidden="1"/>
    <cellStyle name="20% - 강조색6 4" xfId="28894" hidden="1"/>
    <cellStyle name="20% - 강조색6 4" xfId="28936" hidden="1"/>
    <cellStyle name="20% - 강조색6 4" xfId="28978" hidden="1"/>
    <cellStyle name="20% - 강조색6 4" xfId="29020" hidden="1"/>
    <cellStyle name="20% - 강조색6 4" xfId="29062" hidden="1"/>
    <cellStyle name="20% - 강조색6 4" xfId="29104" hidden="1"/>
    <cellStyle name="20% - 강조색6 4" xfId="28165" hidden="1"/>
    <cellStyle name="20% - 강조색6 4" xfId="29132" hidden="1"/>
    <cellStyle name="20% - 강조색6 4" xfId="29172" hidden="1"/>
    <cellStyle name="20% - 강조색6 4" xfId="29212" hidden="1"/>
    <cellStyle name="20% - 강조색6 4" xfId="29252" hidden="1"/>
    <cellStyle name="20% - 강조색6 4" xfId="29292" hidden="1"/>
    <cellStyle name="20% - 강조색6 4" xfId="29332" hidden="1"/>
    <cellStyle name="20% - 강조색6 4" xfId="29372" hidden="1"/>
    <cellStyle name="20% - 강조색6 4" xfId="29412" hidden="1"/>
    <cellStyle name="20% - 강조색6 4" xfId="29452" hidden="1"/>
    <cellStyle name="20% - 강조색6 4" xfId="29492" hidden="1"/>
    <cellStyle name="20% - 강조색6 4" xfId="29532" hidden="1"/>
    <cellStyle name="20% - 강조색6 4" xfId="29572" hidden="1"/>
    <cellStyle name="20% - 강조색6 4" xfId="29582" hidden="1"/>
    <cellStyle name="20% - 강조색6 4" xfId="29622" hidden="1"/>
    <cellStyle name="20% - 강조색6 4" xfId="29662" hidden="1"/>
    <cellStyle name="20% - 강조색6 4" xfId="29702" hidden="1"/>
    <cellStyle name="20% - 강조색6 4" xfId="29742" hidden="1"/>
    <cellStyle name="20% - 강조색6 4" xfId="29782" hidden="1"/>
    <cellStyle name="20% - 강조색6 4" xfId="29822" hidden="1"/>
    <cellStyle name="20% - 강조색6 4" xfId="29862" hidden="1"/>
    <cellStyle name="20% - 강조색6 4" xfId="29902" hidden="1"/>
    <cellStyle name="20% - 강조색6 4" xfId="29942" hidden="1"/>
    <cellStyle name="20% - 강조색6 4" xfId="29982" hidden="1"/>
    <cellStyle name="20% - 강조색6 4" xfId="30022" hidden="1"/>
    <cellStyle name="20% - 강조색6 4" xfId="30106" hidden="1"/>
    <cellStyle name="20% - 강조색6 4" xfId="30147" hidden="1"/>
    <cellStyle name="20% - 강조색6 4" xfId="30189" hidden="1"/>
    <cellStyle name="20% - 강조색6 4" xfId="30231" hidden="1"/>
    <cellStyle name="20% - 강조색6 4" xfId="30273" hidden="1"/>
    <cellStyle name="20% - 강조색6 4" xfId="30315" hidden="1"/>
    <cellStyle name="20% - 강조색6 4" xfId="30357" hidden="1"/>
    <cellStyle name="20% - 강조색6 4" xfId="30399" hidden="1"/>
    <cellStyle name="20% - 강조색6 4" xfId="30441" hidden="1"/>
    <cellStyle name="20% - 강조색6 4" xfId="30483" hidden="1"/>
    <cellStyle name="20% - 강조색6 4" xfId="30525" hidden="1"/>
    <cellStyle name="20% - 강조색6 4" xfId="30567" hidden="1"/>
    <cellStyle name="20% - 강조색6 4" xfId="30063" hidden="1"/>
    <cellStyle name="20% - 강조색6 4" xfId="30746" hidden="1"/>
    <cellStyle name="20% - 강조색6 4" xfId="30786" hidden="1"/>
    <cellStyle name="20% - 강조색6 4" xfId="30826" hidden="1"/>
    <cellStyle name="20% - 강조색6 4" xfId="30866" hidden="1"/>
    <cellStyle name="20% - 강조색6 4" xfId="30906" hidden="1"/>
    <cellStyle name="20% - 강조색6 4" xfId="30946" hidden="1"/>
    <cellStyle name="20% - 강조색6 4" xfId="30986" hidden="1"/>
    <cellStyle name="20% - 강조색6 4" xfId="31026" hidden="1"/>
    <cellStyle name="20% - 강조색6 4" xfId="31066" hidden="1"/>
    <cellStyle name="20% - 강조색6 4" xfId="31106" hidden="1"/>
    <cellStyle name="20% - 강조색6 4" xfId="31146" hidden="1"/>
    <cellStyle name="20% - 강조색6 4" xfId="31186" hidden="1"/>
    <cellStyle name="20% - 강조색6 4" xfId="30584" hidden="1"/>
    <cellStyle name="20% - 강조색6 4" xfId="30575" hidden="1"/>
    <cellStyle name="20% - 강조색6 4" xfId="31228" hidden="1"/>
    <cellStyle name="20% - 강조색6 4" xfId="31270" hidden="1"/>
    <cellStyle name="20% - 강조색6 4" xfId="31312" hidden="1"/>
    <cellStyle name="20% - 강조색6 4" xfId="31354" hidden="1"/>
    <cellStyle name="20% - 강조색6 4" xfId="31396" hidden="1"/>
    <cellStyle name="20% - 강조색6 4" xfId="31438" hidden="1"/>
    <cellStyle name="20% - 강조색6 4" xfId="31480" hidden="1"/>
    <cellStyle name="20% - 강조색6 4" xfId="31522" hidden="1"/>
    <cellStyle name="20% - 강조색6 4" xfId="31564" hidden="1"/>
    <cellStyle name="20% - 강조색6 4" xfId="31606" hidden="1"/>
    <cellStyle name="20% - 강조색6 4" xfId="30667" hidden="1"/>
    <cellStyle name="20% - 강조색6 4" xfId="31634" hidden="1"/>
    <cellStyle name="20% - 강조색6 4" xfId="31674" hidden="1"/>
    <cellStyle name="20% - 강조색6 4" xfId="31714" hidden="1"/>
    <cellStyle name="20% - 강조색6 4" xfId="31754" hidden="1"/>
    <cellStyle name="20% - 강조색6 4" xfId="31794" hidden="1"/>
    <cellStyle name="20% - 강조색6 4" xfId="31834" hidden="1"/>
    <cellStyle name="20% - 강조색6 4" xfId="31874" hidden="1"/>
    <cellStyle name="20% - 강조색6 4" xfId="31914" hidden="1"/>
    <cellStyle name="20% - 강조색6 4" xfId="31954" hidden="1"/>
    <cellStyle name="20% - 강조색6 4" xfId="31994" hidden="1"/>
    <cellStyle name="20% - 강조색6 4" xfId="32034" hidden="1"/>
    <cellStyle name="20% - 강조색6 4" xfId="32074" hidden="1"/>
    <cellStyle name="20% - 강조색6 4" xfId="32136" hidden="1"/>
    <cellStyle name="20% - 강조색6 4" xfId="32176" hidden="1"/>
    <cellStyle name="20% - 강조색6 4" xfId="32216" hidden="1"/>
    <cellStyle name="20% - 강조색6 4" xfId="32256" hidden="1"/>
    <cellStyle name="20% - 강조색6 4" xfId="32296" hidden="1"/>
    <cellStyle name="20% - 강조색6 4" xfId="32336" hidden="1"/>
    <cellStyle name="20% - 강조색6 4" xfId="32376" hidden="1"/>
    <cellStyle name="20% - 강조색6 4" xfId="32416" hidden="1"/>
    <cellStyle name="20% - 강조색6 4" xfId="32456" hidden="1"/>
    <cellStyle name="20% - 강조색6 4" xfId="32496" hidden="1"/>
    <cellStyle name="20% - 강조색6 4" xfId="32536" hidden="1"/>
    <cellStyle name="20% - 강조색6 4" xfId="32576" hidden="1"/>
    <cellStyle name="20% - 강조색6 4" xfId="32661" hidden="1"/>
    <cellStyle name="20% - 강조색6 4" xfId="32702" hidden="1"/>
    <cellStyle name="20% - 강조색6 4" xfId="32744" hidden="1"/>
    <cellStyle name="20% - 강조색6 4" xfId="32786" hidden="1"/>
    <cellStyle name="20% - 강조색6 4" xfId="32828" hidden="1"/>
    <cellStyle name="20% - 강조색6 4" xfId="32870" hidden="1"/>
    <cellStyle name="20% - 강조색6 4" xfId="32912" hidden="1"/>
    <cellStyle name="20% - 강조색6 4" xfId="32954" hidden="1"/>
    <cellStyle name="20% - 강조색6 4" xfId="32996" hidden="1"/>
    <cellStyle name="20% - 강조색6 4" xfId="33038" hidden="1"/>
    <cellStyle name="20% - 강조색6 4" xfId="33080" hidden="1"/>
    <cellStyle name="20% - 강조색6 4" xfId="33122" hidden="1"/>
    <cellStyle name="20% - 강조색6 4" xfId="32618" hidden="1"/>
    <cellStyle name="20% - 강조색6 4" xfId="33301" hidden="1"/>
    <cellStyle name="20% - 강조색6 4" xfId="33341" hidden="1"/>
    <cellStyle name="20% - 강조색6 4" xfId="33381" hidden="1"/>
    <cellStyle name="20% - 강조색6 4" xfId="33421" hidden="1"/>
    <cellStyle name="20% - 강조색6 4" xfId="33461" hidden="1"/>
    <cellStyle name="20% - 강조색6 4" xfId="33501" hidden="1"/>
    <cellStyle name="20% - 강조색6 4" xfId="33541" hidden="1"/>
    <cellStyle name="20% - 강조색6 4" xfId="33581" hidden="1"/>
    <cellStyle name="20% - 강조색6 4" xfId="33621" hidden="1"/>
    <cellStyle name="20% - 강조색6 4" xfId="33661" hidden="1"/>
    <cellStyle name="20% - 강조색6 4" xfId="33701" hidden="1"/>
    <cellStyle name="20% - 강조색6 4" xfId="33741" hidden="1"/>
    <cellStyle name="20% - 강조색6 4" xfId="33139" hidden="1"/>
    <cellStyle name="20% - 강조색6 4" xfId="33130" hidden="1"/>
    <cellStyle name="20% - 강조색6 4" xfId="33783" hidden="1"/>
    <cellStyle name="20% - 강조색6 4" xfId="33825" hidden="1"/>
    <cellStyle name="20% - 강조색6 4" xfId="33867" hidden="1"/>
    <cellStyle name="20% - 강조색6 4" xfId="33909" hidden="1"/>
    <cellStyle name="20% - 강조색6 4" xfId="33951" hidden="1"/>
    <cellStyle name="20% - 강조색6 4" xfId="33993" hidden="1"/>
    <cellStyle name="20% - 강조색6 4" xfId="34035" hidden="1"/>
    <cellStyle name="20% - 강조색6 4" xfId="34077" hidden="1"/>
    <cellStyle name="20% - 강조색6 4" xfId="34119" hidden="1"/>
    <cellStyle name="20% - 강조색6 4" xfId="34161" hidden="1"/>
    <cellStyle name="20% - 강조색6 4" xfId="33222" hidden="1"/>
    <cellStyle name="20% - 강조색6 4" xfId="34189" hidden="1"/>
    <cellStyle name="20% - 강조색6 4" xfId="34229" hidden="1"/>
    <cellStyle name="20% - 강조색6 4" xfId="34269" hidden="1"/>
    <cellStyle name="20% - 강조색6 4" xfId="34309" hidden="1"/>
    <cellStyle name="20% - 강조색6 4" xfId="34349" hidden="1"/>
    <cellStyle name="20% - 강조색6 4" xfId="34389" hidden="1"/>
    <cellStyle name="20% - 강조색6 4" xfId="34429" hidden="1"/>
    <cellStyle name="20% - 강조색6 4" xfId="34469" hidden="1"/>
    <cellStyle name="20% - 강조색6 4" xfId="34509" hidden="1"/>
    <cellStyle name="20% - 강조색6 4" xfId="34549" hidden="1"/>
    <cellStyle name="20% - 강조색6 4" xfId="34589" hidden="1"/>
    <cellStyle name="20% - 강조색6 4" xfId="34629" hidden="1"/>
    <cellStyle name="20% - 강조색6 4" xfId="34726" hidden="1"/>
    <cellStyle name="20% - 강조색6 4" xfId="34766" hidden="1"/>
    <cellStyle name="20% - 강조색6 4" xfId="34806" hidden="1"/>
    <cellStyle name="20% - 강조색6 4" xfId="34846" hidden="1"/>
    <cellStyle name="20% - 강조색6 4" xfId="34886" hidden="1"/>
    <cellStyle name="20% - 강조색6 4" xfId="34926" hidden="1"/>
    <cellStyle name="20% - 강조색6 4" xfId="34966" hidden="1"/>
    <cellStyle name="20% - 강조색6 4" xfId="35006" hidden="1"/>
    <cellStyle name="20% - 강조색6 4" xfId="35046" hidden="1"/>
    <cellStyle name="20% - 강조색6 4" xfId="35086" hidden="1"/>
    <cellStyle name="20% - 강조색6 4" xfId="35126" hidden="1"/>
    <cellStyle name="20% - 강조색6 4" xfId="35166" hidden="1"/>
    <cellStyle name="20% - 강조색6 4" xfId="35250" hidden="1"/>
    <cellStyle name="20% - 강조색6 4" xfId="35291" hidden="1"/>
    <cellStyle name="20% - 강조색6 4" xfId="35333" hidden="1"/>
    <cellStyle name="20% - 강조색6 4" xfId="35375" hidden="1"/>
    <cellStyle name="20% - 강조색6 4" xfId="35417" hidden="1"/>
    <cellStyle name="20% - 강조색6 4" xfId="35459" hidden="1"/>
    <cellStyle name="20% - 강조색6 4" xfId="35501" hidden="1"/>
    <cellStyle name="20% - 강조색6 4" xfId="35543" hidden="1"/>
    <cellStyle name="20% - 강조색6 4" xfId="35585" hidden="1"/>
    <cellStyle name="20% - 강조색6 4" xfId="35627" hidden="1"/>
    <cellStyle name="20% - 강조색6 4" xfId="35669" hidden="1"/>
    <cellStyle name="20% - 강조색6 4" xfId="35711" hidden="1"/>
    <cellStyle name="20% - 강조색6 4" xfId="35207" hidden="1"/>
    <cellStyle name="20% - 강조색6 4" xfId="35890" hidden="1"/>
    <cellStyle name="20% - 강조색6 4" xfId="35930" hidden="1"/>
    <cellStyle name="20% - 강조색6 4" xfId="35970" hidden="1"/>
    <cellStyle name="20% - 강조색6 4" xfId="36010" hidden="1"/>
    <cellStyle name="20% - 강조색6 4" xfId="36050" hidden="1"/>
    <cellStyle name="20% - 강조색6 4" xfId="36090" hidden="1"/>
    <cellStyle name="20% - 강조색6 4" xfId="36130" hidden="1"/>
    <cellStyle name="20% - 강조색6 4" xfId="36170" hidden="1"/>
    <cellStyle name="20% - 강조색6 4" xfId="36210" hidden="1"/>
    <cellStyle name="20% - 강조색6 4" xfId="36250" hidden="1"/>
    <cellStyle name="20% - 강조색6 4" xfId="36290" hidden="1"/>
    <cellStyle name="20% - 강조색6 4" xfId="36330" hidden="1"/>
    <cellStyle name="20% - 강조색6 4" xfId="35728" hidden="1"/>
    <cellStyle name="20% - 강조색6 4" xfId="35719" hidden="1"/>
    <cellStyle name="20% - 강조색6 4" xfId="36372" hidden="1"/>
    <cellStyle name="20% - 강조색6 4" xfId="36414" hidden="1"/>
    <cellStyle name="20% - 강조색6 4" xfId="36456" hidden="1"/>
    <cellStyle name="20% - 강조색6 4" xfId="36498" hidden="1"/>
    <cellStyle name="20% - 강조색6 4" xfId="36540" hidden="1"/>
    <cellStyle name="20% - 강조색6 4" xfId="36582" hidden="1"/>
    <cellStyle name="20% - 강조색6 4" xfId="36624" hidden="1"/>
    <cellStyle name="20% - 강조색6 4" xfId="36666" hidden="1"/>
    <cellStyle name="20% - 강조색6 4" xfId="36708" hidden="1"/>
    <cellStyle name="20% - 강조색6 4" xfId="36750" hidden="1"/>
    <cellStyle name="20% - 강조색6 4" xfId="35811" hidden="1"/>
    <cellStyle name="20% - 강조색6 4" xfId="36778" hidden="1"/>
    <cellStyle name="20% - 강조색6 4" xfId="36818" hidden="1"/>
    <cellStyle name="20% - 강조색6 4" xfId="36858" hidden="1"/>
    <cellStyle name="20% - 강조색6 4" xfId="36898" hidden="1"/>
    <cellStyle name="20% - 강조색6 4" xfId="36938" hidden="1"/>
    <cellStyle name="20% - 강조색6 4" xfId="36978" hidden="1"/>
    <cellStyle name="20% - 강조색6 4" xfId="37018" hidden="1"/>
    <cellStyle name="20% - 강조색6 4" xfId="37058" hidden="1"/>
    <cellStyle name="20% - 강조색6 4" xfId="37098" hidden="1"/>
    <cellStyle name="20% - 강조색6 4" xfId="37138" hidden="1"/>
    <cellStyle name="20% - 강조색6 4" xfId="37178" hidden="1"/>
    <cellStyle name="20% - 강조색6 4" xfId="37218" hidden="1"/>
    <cellStyle name="20% - 강조색6 4" xfId="37229" hidden="1"/>
    <cellStyle name="20% - 강조색6 4" xfId="37269" hidden="1"/>
    <cellStyle name="20% - 강조색6 4" xfId="37310" hidden="1"/>
    <cellStyle name="20% - 강조색6 4" xfId="37350" hidden="1"/>
    <cellStyle name="20% - 강조색6 4" xfId="37390" hidden="1"/>
    <cellStyle name="20% - 강조색6 4" xfId="37430" hidden="1"/>
    <cellStyle name="20% - 강조색6 4" xfId="37470" hidden="1"/>
    <cellStyle name="20% - 강조색6 4" xfId="37510" hidden="1"/>
    <cellStyle name="20% - 강조색6 4" xfId="37550" hidden="1"/>
    <cellStyle name="20% - 강조색6 4" xfId="37590" hidden="1"/>
    <cellStyle name="20% - 강조색6 4" xfId="37630" hidden="1"/>
    <cellStyle name="20% - 강조색6 4" xfId="37670" hidden="1"/>
    <cellStyle name="20% - 강조색6 4" xfId="37754" hidden="1"/>
    <cellStyle name="20% - 강조색6 4" xfId="37795" hidden="1"/>
    <cellStyle name="20% - 강조색6 4" xfId="37837" hidden="1"/>
    <cellStyle name="20% - 강조색6 4" xfId="37879" hidden="1"/>
    <cellStyle name="20% - 강조색6 4" xfId="37921" hidden="1"/>
    <cellStyle name="20% - 강조색6 4" xfId="37963" hidden="1"/>
    <cellStyle name="20% - 강조색6 4" xfId="38005" hidden="1"/>
    <cellStyle name="20% - 강조색6 4" xfId="38047" hidden="1"/>
    <cellStyle name="20% - 강조색6 4" xfId="38089" hidden="1"/>
    <cellStyle name="20% - 강조색6 4" xfId="38131" hidden="1"/>
    <cellStyle name="20% - 강조색6 4" xfId="38173" hidden="1"/>
    <cellStyle name="20% - 강조색6 4" xfId="38215" hidden="1"/>
    <cellStyle name="20% - 강조색6 4" xfId="37711" hidden="1"/>
    <cellStyle name="20% - 강조색6 4" xfId="38394" hidden="1"/>
    <cellStyle name="20% - 강조색6 4" xfId="38434" hidden="1"/>
    <cellStyle name="20% - 강조색6 4" xfId="38474" hidden="1"/>
    <cellStyle name="20% - 강조색6 4" xfId="38514" hidden="1"/>
    <cellStyle name="20% - 강조색6 4" xfId="38554" hidden="1"/>
    <cellStyle name="20% - 강조색6 4" xfId="38594" hidden="1"/>
    <cellStyle name="20% - 강조색6 4" xfId="38634" hidden="1"/>
    <cellStyle name="20% - 강조색6 4" xfId="38674" hidden="1"/>
    <cellStyle name="20% - 강조색6 4" xfId="38714" hidden="1"/>
    <cellStyle name="20% - 강조색6 4" xfId="38754" hidden="1"/>
    <cellStyle name="20% - 강조색6 4" xfId="38794" hidden="1"/>
    <cellStyle name="20% - 강조색6 4" xfId="38834" hidden="1"/>
    <cellStyle name="20% - 강조색6 4" xfId="38232" hidden="1"/>
    <cellStyle name="20% - 강조색6 4" xfId="38223" hidden="1"/>
    <cellStyle name="20% - 강조색6 4" xfId="38876" hidden="1"/>
    <cellStyle name="20% - 강조색6 4" xfId="38918" hidden="1"/>
    <cellStyle name="20% - 강조색6 4" xfId="38960" hidden="1"/>
    <cellStyle name="20% - 강조색6 4" xfId="39002" hidden="1"/>
    <cellStyle name="20% - 강조색6 4" xfId="39044" hidden="1"/>
    <cellStyle name="20% - 강조색6 4" xfId="39086" hidden="1"/>
    <cellStyle name="20% - 강조색6 4" xfId="39128" hidden="1"/>
    <cellStyle name="20% - 강조색6 4" xfId="39170" hidden="1"/>
    <cellStyle name="20% - 강조색6 4" xfId="39212" hidden="1"/>
    <cellStyle name="20% - 강조색6 4" xfId="39254" hidden="1"/>
    <cellStyle name="20% - 강조색6 4" xfId="38315" hidden="1"/>
    <cellStyle name="20% - 강조색6 4" xfId="39282" hidden="1"/>
    <cellStyle name="20% - 강조색6 4" xfId="39322" hidden="1"/>
    <cellStyle name="20% - 강조색6 4" xfId="39362" hidden="1"/>
    <cellStyle name="20% - 강조색6 4" xfId="39402" hidden="1"/>
    <cellStyle name="20% - 강조색6 4" xfId="39442" hidden="1"/>
    <cellStyle name="20% - 강조색6 4" xfId="39482" hidden="1"/>
    <cellStyle name="20% - 강조색6 4" xfId="39522" hidden="1"/>
    <cellStyle name="20% - 강조색6 4" xfId="39562" hidden="1"/>
    <cellStyle name="20% - 강조색6 4" xfId="39602" hidden="1"/>
    <cellStyle name="20% - 강조색6 4" xfId="39642" hidden="1"/>
    <cellStyle name="20% - 강조색6 4" xfId="39682" hidden="1"/>
    <cellStyle name="20% - 강조색6 4" xfId="39722" hidden="1"/>
    <cellStyle name="20% - 강조색6 4" xfId="39732" hidden="1"/>
    <cellStyle name="20% - 강조색6 4" xfId="39772" hidden="1"/>
    <cellStyle name="20% - 강조색6 4" xfId="39812" hidden="1"/>
    <cellStyle name="20% - 강조색6 4" xfId="39852" hidden="1"/>
    <cellStyle name="20% - 강조색6 4" xfId="39892" hidden="1"/>
    <cellStyle name="20% - 강조색6 4" xfId="39932" hidden="1"/>
    <cellStyle name="20% - 강조색6 4" xfId="39972" hidden="1"/>
    <cellStyle name="20% - 강조색6 4" xfId="40012" hidden="1"/>
    <cellStyle name="20% - 강조색6 4" xfId="40052" hidden="1"/>
    <cellStyle name="20% - 강조색6 4" xfId="40092" hidden="1"/>
    <cellStyle name="20% - 강조색6 4" xfId="40132" hidden="1"/>
    <cellStyle name="20% - 강조색6 4" xfId="40172" hidden="1"/>
    <cellStyle name="20% - 강조색6 4" xfId="40256" hidden="1"/>
    <cellStyle name="20% - 강조색6 4" xfId="40297" hidden="1"/>
    <cellStyle name="20% - 강조색6 4" xfId="40339" hidden="1"/>
    <cellStyle name="20% - 강조색6 4" xfId="40381" hidden="1"/>
    <cellStyle name="20% - 강조색6 4" xfId="40423" hidden="1"/>
    <cellStyle name="20% - 강조색6 4" xfId="40465" hidden="1"/>
    <cellStyle name="20% - 강조색6 4" xfId="40507" hidden="1"/>
    <cellStyle name="20% - 강조색6 4" xfId="40549" hidden="1"/>
    <cellStyle name="20% - 강조색6 4" xfId="40591" hidden="1"/>
    <cellStyle name="20% - 강조색6 4" xfId="40633" hidden="1"/>
    <cellStyle name="20% - 강조색6 4" xfId="40675" hidden="1"/>
    <cellStyle name="20% - 강조색6 4" xfId="40717" hidden="1"/>
    <cellStyle name="20% - 강조색6 4" xfId="40213" hidden="1"/>
    <cellStyle name="20% - 강조색6 4" xfId="40896" hidden="1"/>
    <cellStyle name="20% - 강조색6 4" xfId="40936" hidden="1"/>
    <cellStyle name="20% - 강조색6 4" xfId="40976" hidden="1"/>
    <cellStyle name="20% - 강조색6 4" xfId="41016" hidden="1"/>
    <cellStyle name="20% - 강조색6 4" xfId="41056" hidden="1"/>
    <cellStyle name="20% - 강조색6 4" xfId="41096" hidden="1"/>
    <cellStyle name="20% - 강조색6 4" xfId="41136" hidden="1"/>
    <cellStyle name="20% - 강조색6 4" xfId="41176" hidden="1"/>
    <cellStyle name="20% - 강조색6 4" xfId="41216" hidden="1"/>
    <cellStyle name="20% - 강조색6 4" xfId="41256" hidden="1"/>
    <cellStyle name="20% - 강조색6 4" xfId="41296" hidden="1"/>
    <cellStyle name="20% - 강조색6 4" xfId="41336" hidden="1"/>
    <cellStyle name="20% - 강조색6 4" xfId="40734" hidden="1"/>
    <cellStyle name="20% - 강조색6 4" xfId="40725" hidden="1"/>
    <cellStyle name="20% - 강조색6 4" xfId="41378" hidden="1"/>
    <cellStyle name="20% - 강조색6 4" xfId="41420" hidden="1"/>
    <cellStyle name="20% - 강조색6 4" xfId="41462" hidden="1"/>
    <cellStyle name="20% - 강조색6 4" xfId="41504" hidden="1"/>
    <cellStyle name="20% - 강조색6 4" xfId="41546" hidden="1"/>
    <cellStyle name="20% - 강조색6 4" xfId="41588" hidden="1"/>
    <cellStyle name="20% - 강조색6 4" xfId="41630" hidden="1"/>
    <cellStyle name="20% - 강조색6 4" xfId="41672" hidden="1"/>
    <cellStyle name="20% - 강조색6 4" xfId="41714" hidden="1"/>
    <cellStyle name="20% - 강조색6 4" xfId="41756" hidden="1"/>
    <cellStyle name="20% - 강조색6 4" xfId="40817" hidden="1"/>
    <cellStyle name="20% - 강조색6 4" xfId="41784" hidden="1"/>
    <cellStyle name="20% - 강조색6 4" xfId="41824" hidden="1"/>
    <cellStyle name="20% - 강조색6 4" xfId="41864" hidden="1"/>
    <cellStyle name="20% - 강조색6 4" xfId="41904" hidden="1"/>
    <cellStyle name="20% - 강조색6 4" xfId="41944" hidden="1"/>
    <cellStyle name="20% - 강조색6 4" xfId="41984" hidden="1"/>
    <cellStyle name="20% - 강조색6 4" xfId="42024" hidden="1"/>
    <cellStyle name="20% - 강조색6 4" xfId="42064" hidden="1"/>
    <cellStyle name="20% - 강조색6 4" xfId="42104" hidden="1"/>
    <cellStyle name="20% - 강조색6 4" xfId="42144" hidden="1"/>
    <cellStyle name="20% - 강조색6 4" xfId="42184" hidden="1"/>
    <cellStyle name="20% - 강조색6 4" xfId="42224" hidden="1"/>
    <cellStyle name="20% - 강조색6 4" xfId="42267" hidden="1"/>
    <cellStyle name="20% - 강조색6 4" xfId="42307" hidden="1"/>
    <cellStyle name="20% - 강조색6 4" xfId="42347" hidden="1"/>
    <cellStyle name="20% - 강조색6 4" xfId="42387" hidden="1"/>
    <cellStyle name="20% - 강조색6 4" xfId="42427" hidden="1"/>
    <cellStyle name="20% - 강조색6 4" xfId="42467" hidden="1"/>
    <cellStyle name="20% - 강조색6 4" xfId="42507" hidden="1"/>
    <cellStyle name="20% - 강조색6 4" xfId="42547" hidden="1"/>
    <cellStyle name="20% - 강조색6 4" xfId="42587" hidden="1"/>
    <cellStyle name="20% - 강조색6 4" xfId="42627" hidden="1"/>
    <cellStyle name="20% - 강조색6 4" xfId="42667" hidden="1"/>
    <cellStyle name="20% - 강조색6 4" xfId="42707" hidden="1"/>
    <cellStyle name="20% - 강조색6 4" xfId="42791" hidden="1"/>
    <cellStyle name="20% - 강조색6 4" xfId="42832" hidden="1"/>
    <cellStyle name="20% - 강조색6 4" xfId="42874" hidden="1"/>
    <cellStyle name="20% - 강조색6 4" xfId="42916" hidden="1"/>
    <cellStyle name="20% - 강조색6 4" xfId="42958" hidden="1"/>
    <cellStyle name="20% - 강조색6 4" xfId="43000" hidden="1"/>
    <cellStyle name="20% - 강조색6 4" xfId="43042" hidden="1"/>
    <cellStyle name="20% - 강조색6 4" xfId="43084" hidden="1"/>
    <cellStyle name="20% - 강조색6 4" xfId="43126" hidden="1"/>
    <cellStyle name="20% - 강조색6 4" xfId="43168" hidden="1"/>
    <cellStyle name="20% - 강조색6 4" xfId="43210" hidden="1"/>
    <cellStyle name="20% - 강조색6 4" xfId="43252" hidden="1"/>
    <cellStyle name="20% - 강조색6 4" xfId="42748" hidden="1"/>
    <cellStyle name="20% - 강조색6 4" xfId="43431" hidden="1"/>
    <cellStyle name="20% - 강조색6 4" xfId="43471" hidden="1"/>
    <cellStyle name="20% - 강조색6 4" xfId="43511" hidden="1"/>
    <cellStyle name="20% - 강조색6 4" xfId="43551" hidden="1"/>
    <cellStyle name="20% - 강조색6 4" xfId="43591" hidden="1"/>
    <cellStyle name="20% - 강조색6 4" xfId="43631" hidden="1"/>
    <cellStyle name="20% - 강조색6 4" xfId="43671" hidden="1"/>
    <cellStyle name="20% - 강조색6 4" xfId="43711" hidden="1"/>
    <cellStyle name="20% - 강조색6 4" xfId="43751" hidden="1"/>
    <cellStyle name="20% - 강조색6 4" xfId="43791" hidden="1"/>
    <cellStyle name="20% - 강조색6 4" xfId="43831" hidden="1"/>
    <cellStyle name="20% - 강조색6 4" xfId="43871" hidden="1"/>
    <cellStyle name="20% - 강조색6 4" xfId="43269" hidden="1"/>
    <cellStyle name="20% - 강조색6 4" xfId="43260" hidden="1"/>
    <cellStyle name="20% - 강조색6 4" xfId="43913" hidden="1"/>
    <cellStyle name="20% - 강조색6 4" xfId="43955" hidden="1"/>
    <cellStyle name="20% - 강조색6 4" xfId="43997" hidden="1"/>
    <cellStyle name="20% - 강조색6 4" xfId="44039" hidden="1"/>
    <cellStyle name="20% - 강조색6 4" xfId="44081" hidden="1"/>
    <cellStyle name="20% - 강조색6 4" xfId="44123" hidden="1"/>
    <cellStyle name="20% - 강조색6 4" xfId="44165" hidden="1"/>
    <cellStyle name="20% - 강조색6 4" xfId="44207" hidden="1"/>
    <cellStyle name="20% - 강조색6 4" xfId="44249" hidden="1"/>
    <cellStyle name="20% - 강조색6 4" xfId="44291" hidden="1"/>
    <cellStyle name="20% - 강조색6 4" xfId="43352" hidden="1"/>
    <cellStyle name="20% - 강조색6 4" xfId="44319" hidden="1"/>
    <cellStyle name="20% - 강조색6 4" xfId="44359" hidden="1"/>
    <cellStyle name="20% - 강조색6 4" xfId="44399" hidden="1"/>
    <cellStyle name="20% - 강조색6 4" xfId="44439" hidden="1"/>
    <cellStyle name="20% - 강조색6 4" xfId="44479" hidden="1"/>
    <cellStyle name="20% - 강조색6 4" xfId="44519" hidden="1"/>
    <cellStyle name="20% - 강조색6 4" xfId="44559" hidden="1"/>
    <cellStyle name="20% - 강조색6 4" xfId="44599" hidden="1"/>
    <cellStyle name="20% - 강조색6 4" xfId="44639" hidden="1"/>
    <cellStyle name="20% - 강조색6 4" xfId="44679" hidden="1"/>
    <cellStyle name="20% - 강조색6 4" xfId="44719" hidden="1"/>
    <cellStyle name="20% - 강조색6 4" xfId="44759" hidden="1"/>
    <cellStyle name="20% - 강조색6 4" xfId="44855" hidden="1"/>
    <cellStyle name="20% - 강조색6 4" xfId="44895" hidden="1"/>
    <cellStyle name="20% - 강조색6 4" xfId="44937" hidden="1"/>
    <cellStyle name="20% - 강조색6 4" xfId="44978" hidden="1"/>
    <cellStyle name="20% - 강조색6 4" xfId="45018" hidden="1"/>
    <cellStyle name="20% - 강조색6 4" xfId="45058" hidden="1"/>
    <cellStyle name="20% - 강조색6 4" xfId="45098" hidden="1"/>
    <cellStyle name="20% - 강조색6 4" xfId="45138" hidden="1"/>
    <cellStyle name="20% - 강조색6 4" xfId="45178" hidden="1"/>
    <cellStyle name="20% - 강조색6 4" xfId="45218" hidden="1"/>
    <cellStyle name="20% - 강조색6 4" xfId="45258" hidden="1"/>
    <cellStyle name="20% - 강조색6 4" xfId="45298" hidden="1"/>
    <cellStyle name="20% - 강조색6 4" xfId="45382" hidden="1"/>
    <cellStyle name="20% - 강조색6 4" xfId="45423" hidden="1"/>
    <cellStyle name="20% - 강조색6 4" xfId="45465" hidden="1"/>
    <cellStyle name="20% - 강조색6 4" xfId="45507" hidden="1"/>
    <cellStyle name="20% - 강조색6 4" xfId="45549" hidden="1"/>
    <cellStyle name="20% - 강조색6 4" xfId="45591" hidden="1"/>
    <cellStyle name="20% - 강조색6 4" xfId="45633" hidden="1"/>
    <cellStyle name="20% - 강조색6 4" xfId="45675" hidden="1"/>
    <cellStyle name="20% - 강조색6 4" xfId="45717" hidden="1"/>
    <cellStyle name="20% - 강조색6 4" xfId="45759" hidden="1"/>
    <cellStyle name="20% - 강조색6 4" xfId="45801" hidden="1"/>
    <cellStyle name="20% - 강조색6 4" xfId="45843" hidden="1"/>
    <cellStyle name="20% - 강조색6 4" xfId="45339" hidden="1"/>
    <cellStyle name="20% - 강조색6 4" xfId="46022" hidden="1"/>
    <cellStyle name="20% - 강조색6 4" xfId="46062" hidden="1"/>
    <cellStyle name="20% - 강조색6 4" xfId="46102" hidden="1"/>
    <cellStyle name="20% - 강조색6 4" xfId="46142" hidden="1"/>
    <cellStyle name="20% - 강조색6 4" xfId="46182" hidden="1"/>
    <cellStyle name="20% - 강조색6 4" xfId="46222" hidden="1"/>
    <cellStyle name="20% - 강조색6 4" xfId="46262" hidden="1"/>
    <cellStyle name="20% - 강조색6 4" xfId="46302" hidden="1"/>
    <cellStyle name="20% - 강조색6 4" xfId="46342" hidden="1"/>
    <cellStyle name="20% - 강조색6 4" xfId="46382" hidden="1"/>
    <cellStyle name="20% - 강조색6 4" xfId="46422" hidden="1"/>
    <cellStyle name="20% - 강조색6 4" xfId="46462" hidden="1"/>
    <cellStyle name="20% - 강조색6 4" xfId="45860" hidden="1"/>
    <cellStyle name="20% - 강조색6 4" xfId="45851" hidden="1"/>
    <cellStyle name="20% - 강조색6 4" xfId="46504" hidden="1"/>
    <cellStyle name="20% - 강조색6 4" xfId="46546" hidden="1"/>
    <cellStyle name="20% - 강조색6 4" xfId="46588" hidden="1"/>
    <cellStyle name="20% - 강조색6 4" xfId="46630" hidden="1"/>
    <cellStyle name="20% - 강조색6 4" xfId="46672" hidden="1"/>
    <cellStyle name="20% - 강조색6 4" xfId="46714" hidden="1"/>
    <cellStyle name="20% - 강조색6 4" xfId="46756" hidden="1"/>
    <cellStyle name="20% - 강조색6 4" xfId="46798" hidden="1"/>
    <cellStyle name="20% - 강조색6 4" xfId="46840" hidden="1"/>
    <cellStyle name="20% - 강조색6 4" xfId="46882" hidden="1"/>
    <cellStyle name="20% - 강조색6 4" xfId="45943" hidden="1"/>
    <cellStyle name="20% - 강조색6 4" xfId="46910" hidden="1"/>
    <cellStyle name="20% - 강조색6 4" xfId="46950" hidden="1"/>
    <cellStyle name="20% - 강조색6 4" xfId="46990" hidden="1"/>
    <cellStyle name="20% - 강조색6 4" xfId="47030" hidden="1"/>
    <cellStyle name="20% - 강조색6 4" xfId="47070" hidden="1"/>
    <cellStyle name="20% - 강조색6 4" xfId="47110" hidden="1"/>
    <cellStyle name="20% - 강조색6 4" xfId="47150" hidden="1"/>
    <cellStyle name="20% - 강조색6 4" xfId="47190" hidden="1"/>
    <cellStyle name="20% - 강조색6 4" xfId="47230" hidden="1"/>
    <cellStyle name="20% - 강조색6 4" xfId="47270" hidden="1"/>
    <cellStyle name="20% - 강조색6 4" xfId="47310" hidden="1"/>
    <cellStyle name="20% - 강조색6 4" xfId="47350" hidden="1"/>
    <cellStyle name="20% - 강조색6 4" xfId="47361" hidden="1"/>
    <cellStyle name="20% - 강조색6 4" xfId="47401" hidden="1"/>
    <cellStyle name="20% - 강조색6 4" xfId="47441" hidden="1"/>
    <cellStyle name="20% - 강조색6 4" xfId="47481" hidden="1"/>
    <cellStyle name="20% - 강조색6 4" xfId="47521" hidden="1"/>
    <cellStyle name="20% - 강조색6 4" xfId="47561" hidden="1"/>
    <cellStyle name="20% - 강조색6 4" xfId="47601" hidden="1"/>
    <cellStyle name="20% - 강조색6 4" xfId="47641" hidden="1"/>
    <cellStyle name="20% - 강조색6 4" xfId="47681" hidden="1"/>
    <cellStyle name="20% - 강조색6 4" xfId="47721" hidden="1"/>
    <cellStyle name="20% - 강조색6 4" xfId="47761" hidden="1"/>
    <cellStyle name="20% - 강조색6 4" xfId="47801" hidden="1"/>
    <cellStyle name="20% - 강조색6 4" xfId="47885" hidden="1"/>
    <cellStyle name="20% - 강조색6 4" xfId="47926" hidden="1"/>
    <cellStyle name="20% - 강조색6 4" xfId="47968" hidden="1"/>
    <cellStyle name="20% - 강조색6 4" xfId="48010" hidden="1"/>
    <cellStyle name="20% - 강조색6 4" xfId="48052" hidden="1"/>
    <cellStyle name="20% - 강조색6 4" xfId="48094" hidden="1"/>
    <cellStyle name="20% - 강조색6 4" xfId="48136" hidden="1"/>
    <cellStyle name="20% - 강조색6 4" xfId="48178" hidden="1"/>
    <cellStyle name="20% - 강조색6 4" xfId="48220" hidden="1"/>
    <cellStyle name="20% - 강조색6 4" xfId="48262" hidden="1"/>
    <cellStyle name="20% - 강조색6 4" xfId="48304" hidden="1"/>
    <cellStyle name="20% - 강조색6 4" xfId="48346" hidden="1"/>
    <cellStyle name="20% - 강조색6 4" xfId="47842" hidden="1"/>
    <cellStyle name="20% - 강조색6 4" xfId="48525" hidden="1"/>
    <cellStyle name="20% - 강조색6 4" xfId="48565" hidden="1"/>
    <cellStyle name="20% - 강조색6 4" xfId="48605" hidden="1"/>
    <cellStyle name="20% - 강조색6 4" xfId="48645" hidden="1"/>
    <cellStyle name="20% - 강조색6 4" xfId="48685" hidden="1"/>
    <cellStyle name="20% - 강조색6 4" xfId="48725" hidden="1"/>
    <cellStyle name="20% - 강조색6 4" xfId="48765" hidden="1"/>
    <cellStyle name="20% - 강조색6 4" xfId="48805" hidden="1"/>
    <cellStyle name="20% - 강조색6 4" xfId="48845" hidden="1"/>
    <cellStyle name="20% - 강조색6 4" xfId="48885" hidden="1"/>
    <cellStyle name="20% - 강조색6 4" xfId="48925" hidden="1"/>
    <cellStyle name="20% - 강조색6 4" xfId="48965" hidden="1"/>
    <cellStyle name="20% - 강조색6 4" xfId="48363" hidden="1"/>
    <cellStyle name="20% - 강조색6 4" xfId="48354" hidden="1"/>
    <cellStyle name="20% - 강조색6 4" xfId="49007" hidden="1"/>
    <cellStyle name="20% - 강조색6 4" xfId="49049" hidden="1"/>
    <cellStyle name="20% - 강조색6 4" xfId="49091" hidden="1"/>
    <cellStyle name="20% - 강조색6 4" xfId="49133" hidden="1"/>
    <cellStyle name="20% - 강조색6 4" xfId="49175" hidden="1"/>
    <cellStyle name="20% - 강조색6 4" xfId="49217" hidden="1"/>
    <cellStyle name="20% - 강조색6 4" xfId="49259" hidden="1"/>
    <cellStyle name="20% - 강조색6 4" xfId="49301" hidden="1"/>
    <cellStyle name="20% - 강조색6 4" xfId="49343" hidden="1"/>
    <cellStyle name="20% - 강조색6 4" xfId="49385" hidden="1"/>
    <cellStyle name="20% - 강조색6 4" xfId="48446" hidden="1"/>
    <cellStyle name="20% - 강조색6 4" xfId="49413" hidden="1"/>
    <cellStyle name="20% - 강조색6 4" xfId="49453" hidden="1"/>
    <cellStyle name="20% - 강조색6 4" xfId="49493" hidden="1"/>
    <cellStyle name="20% - 강조색6 4" xfId="49533" hidden="1"/>
    <cellStyle name="20% - 강조색6 4" xfId="49573" hidden="1"/>
    <cellStyle name="20% - 강조색6 4" xfId="49613" hidden="1"/>
    <cellStyle name="20% - 강조색6 4" xfId="49653" hidden="1"/>
    <cellStyle name="20% - 강조색6 4" xfId="49693" hidden="1"/>
    <cellStyle name="20% - 강조색6 4" xfId="49733" hidden="1"/>
    <cellStyle name="20% - 강조색6 4" xfId="49773" hidden="1"/>
    <cellStyle name="20% - 강조색6 4" xfId="49813" hidden="1"/>
    <cellStyle name="20% - 강조색6 4" xfId="49853" hidden="1"/>
    <cellStyle name="20% - 강조색6 4" xfId="49863" hidden="1"/>
    <cellStyle name="20% - 강조색6 4" xfId="49903" hidden="1"/>
    <cellStyle name="20% - 강조색6 4" xfId="49943" hidden="1"/>
    <cellStyle name="20% - 강조색6 4" xfId="49983" hidden="1"/>
    <cellStyle name="20% - 강조색6 4" xfId="50023" hidden="1"/>
    <cellStyle name="20% - 강조색6 4" xfId="50063" hidden="1"/>
    <cellStyle name="20% - 강조색6 4" xfId="50103" hidden="1"/>
    <cellStyle name="20% - 강조색6 4" xfId="50143" hidden="1"/>
    <cellStyle name="20% - 강조색6 4" xfId="50183" hidden="1"/>
    <cellStyle name="20% - 강조색6 4" xfId="50223" hidden="1"/>
    <cellStyle name="20% - 강조색6 4" xfId="50263" hidden="1"/>
    <cellStyle name="20% - 강조색6 4" xfId="50303" hidden="1"/>
    <cellStyle name="20% - 강조색6 4" xfId="50387" hidden="1"/>
    <cellStyle name="20% - 강조색6 4" xfId="50428" hidden="1"/>
    <cellStyle name="20% - 강조색6 4" xfId="50470" hidden="1"/>
    <cellStyle name="20% - 강조색6 4" xfId="50512" hidden="1"/>
    <cellStyle name="20% - 강조색6 4" xfId="50554" hidden="1"/>
    <cellStyle name="20% - 강조색6 4" xfId="50596" hidden="1"/>
    <cellStyle name="20% - 강조색6 4" xfId="50638" hidden="1"/>
    <cellStyle name="20% - 강조색6 4" xfId="50680" hidden="1"/>
    <cellStyle name="20% - 강조색6 4" xfId="50722" hidden="1"/>
    <cellStyle name="20% - 강조색6 4" xfId="50764" hidden="1"/>
    <cellStyle name="20% - 강조색6 4" xfId="50806" hidden="1"/>
    <cellStyle name="20% - 강조색6 4" xfId="50848" hidden="1"/>
    <cellStyle name="20% - 강조색6 4" xfId="50344" hidden="1"/>
    <cellStyle name="20% - 강조색6 4" xfId="51027" hidden="1"/>
    <cellStyle name="20% - 강조색6 4" xfId="51067" hidden="1"/>
    <cellStyle name="20% - 강조색6 4" xfId="51107" hidden="1"/>
    <cellStyle name="20% - 강조색6 4" xfId="51147" hidden="1"/>
    <cellStyle name="20% - 강조색6 4" xfId="51187" hidden="1"/>
    <cellStyle name="20% - 강조색6 4" xfId="51227" hidden="1"/>
    <cellStyle name="20% - 강조색6 4" xfId="51267" hidden="1"/>
    <cellStyle name="20% - 강조색6 4" xfId="51307" hidden="1"/>
    <cellStyle name="20% - 강조색6 4" xfId="51347" hidden="1"/>
    <cellStyle name="20% - 강조색6 4" xfId="51387" hidden="1"/>
    <cellStyle name="20% - 강조색6 4" xfId="51427" hidden="1"/>
    <cellStyle name="20% - 강조색6 4" xfId="51467" hidden="1"/>
    <cellStyle name="20% - 강조색6 4" xfId="50865" hidden="1"/>
    <cellStyle name="20% - 강조색6 4" xfId="50856" hidden="1"/>
    <cellStyle name="20% - 강조색6 4" xfId="51509" hidden="1"/>
    <cellStyle name="20% - 강조색6 4" xfId="51551" hidden="1"/>
    <cellStyle name="20% - 강조색6 4" xfId="51593" hidden="1"/>
    <cellStyle name="20% - 강조색6 4" xfId="51635" hidden="1"/>
    <cellStyle name="20% - 강조색6 4" xfId="51677" hidden="1"/>
    <cellStyle name="20% - 강조색6 4" xfId="51719" hidden="1"/>
    <cellStyle name="20% - 강조색6 4" xfId="51761" hidden="1"/>
    <cellStyle name="20% - 강조색6 4" xfId="51803" hidden="1"/>
    <cellStyle name="20% - 강조색6 4" xfId="51845" hidden="1"/>
    <cellStyle name="20% - 강조색6 4" xfId="51887" hidden="1"/>
    <cellStyle name="20% - 강조색6 4" xfId="50948" hidden="1"/>
    <cellStyle name="20% - 강조색6 4" xfId="51915" hidden="1"/>
    <cellStyle name="20% - 강조색6 4" xfId="51955" hidden="1"/>
    <cellStyle name="20% - 강조색6 4" xfId="51995" hidden="1"/>
    <cellStyle name="20% - 강조색6 4" xfId="52035" hidden="1"/>
    <cellStyle name="20% - 강조색6 4" xfId="52075" hidden="1"/>
    <cellStyle name="20% - 강조색6 4" xfId="52115" hidden="1"/>
    <cellStyle name="20% - 강조색6 4" xfId="52155" hidden="1"/>
    <cellStyle name="20% - 강조색6 4" xfId="52195" hidden="1"/>
    <cellStyle name="20% - 강조색6 4" xfId="52235" hidden="1"/>
    <cellStyle name="20% - 강조색6 4" xfId="52275" hidden="1"/>
    <cellStyle name="20% - 강조색6 4" xfId="52315" hidden="1"/>
    <cellStyle name="20% - 강조색6 4" xfId="52355" hidden="1"/>
    <cellStyle name="20% - 강조색6 4 2" xfId="1513"/>
    <cellStyle name="20% - 강조색6 4 3" xfId="1514"/>
    <cellStyle name="20% - 강조색6 4 4" xfId="1515"/>
    <cellStyle name="20% - 강조색6 4 5" xfId="1516"/>
    <cellStyle name="20% - 강조색6 40" xfId="1517"/>
    <cellStyle name="20% - 강조색6 41" xfId="1518"/>
    <cellStyle name="20% - 강조색6 42" xfId="1519"/>
    <cellStyle name="20% - 강조색6 43" xfId="1520"/>
    <cellStyle name="20% - 강조색6 44" xfId="1521"/>
    <cellStyle name="20% - 강조색6 45" xfId="1522"/>
    <cellStyle name="20% - 강조색6 46" xfId="1523"/>
    <cellStyle name="20% - 강조색6 47" xfId="1524"/>
    <cellStyle name="20% - 강조색6 48" xfId="1525"/>
    <cellStyle name="20% - 강조색6 49" xfId="1526"/>
    <cellStyle name="20% - 강조색6 5" xfId="1527"/>
    <cellStyle name="20% - 강조색6 50" xfId="1528"/>
    <cellStyle name="20% - 강조색6 51" xfId="1529"/>
    <cellStyle name="20% - 강조색6 52" xfId="1530"/>
    <cellStyle name="20% - 강조색6 6" xfId="1531"/>
    <cellStyle name="20% - 강조색6 7" xfId="1532"/>
    <cellStyle name="20% - 강조색6 8" xfId="1533"/>
    <cellStyle name="20% - 강조색6 9" xfId="1534"/>
    <cellStyle name="40% - 강조색1 10" xfId="1535"/>
    <cellStyle name="40% - 강조색1 11" xfId="1536"/>
    <cellStyle name="40% - 강조색1 12" xfId="1537"/>
    <cellStyle name="40% - 강조색1 13" xfId="1538"/>
    <cellStyle name="40% - 강조색1 14" xfId="1539"/>
    <cellStyle name="40% - 강조색1 15" xfId="1540"/>
    <cellStyle name="40% - 강조색1 16" xfId="1541"/>
    <cellStyle name="40% - 강조색1 17" xfId="1542"/>
    <cellStyle name="40% - 강조색1 18" xfId="1543"/>
    <cellStyle name="40% - 강조색1 19" xfId="1544"/>
    <cellStyle name="40% - 강조색1 2" xfId="116"/>
    <cellStyle name="40% - 강조색1 2 10" xfId="1545"/>
    <cellStyle name="40% - 강조색1 2 100" xfId="1546"/>
    <cellStyle name="40% - 강조색1 2 101" xfId="1547"/>
    <cellStyle name="40% - 강조색1 2 102" xfId="1548"/>
    <cellStyle name="40% - 강조색1 2 103" xfId="1549"/>
    <cellStyle name="40% - 강조색1 2 104" xfId="1550"/>
    <cellStyle name="40% - 강조색1 2 105" xfId="1551"/>
    <cellStyle name="40% - 강조색1 2 106" xfId="1552"/>
    <cellStyle name="40% - 강조색1 2 107" xfId="1553"/>
    <cellStyle name="40% - 강조색1 2 108" xfId="1554"/>
    <cellStyle name="40% - 강조색1 2 109" xfId="1555"/>
    <cellStyle name="40% - 강조색1 2 11" xfId="1556"/>
    <cellStyle name="40% - 강조색1 2 110" xfId="1557"/>
    <cellStyle name="40% - 강조색1 2 111" xfId="1558"/>
    <cellStyle name="40% - 강조색1 2 112" xfId="1559"/>
    <cellStyle name="40% - 강조색1 2 12" xfId="1560"/>
    <cellStyle name="40% - 강조색1 2 13" xfId="1561"/>
    <cellStyle name="40% - 강조색1 2 14" xfId="1562"/>
    <cellStyle name="40% - 강조색1 2 15" xfId="1563"/>
    <cellStyle name="40% - 강조색1 2 16" xfId="1564"/>
    <cellStyle name="40% - 강조색1 2 17" xfId="1565"/>
    <cellStyle name="40% - 강조색1 2 18" xfId="1566"/>
    <cellStyle name="40% - 강조색1 2 19" xfId="1567"/>
    <cellStyle name="40% - 강조색1 2 2" xfId="117"/>
    <cellStyle name="40% - 강조색1 2 2 10" xfId="1568"/>
    <cellStyle name="40% - 강조색1 2 2 11" xfId="1569"/>
    <cellStyle name="40% - 강조색1 2 2 12" xfId="1570"/>
    <cellStyle name="40% - 강조색1 2 2 13" xfId="1571"/>
    <cellStyle name="40% - 강조색1 2 2 14" xfId="1572"/>
    <cellStyle name="40% - 강조색1 2 2 15" xfId="1573"/>
    <cellStyle name="40% - 강조색1 2 2 2" xfId="1574"/>
    <cellStyle name="40% - 강조색1 2 2 2 2" xfId="1575"/>
    <cellStyle name="40% - 강조색1 2 2 2 3" xfId="1576"/>
    <cellStyle name="40% - 강조색1 2 2 2 4" xfId="1577"/>
    <cellStyle name="40% - 강조색1 2 2 2 5" xfId="1578"/>
    <cellStyle name="40% - 강조색1 2 2 3" xfId="1579"/>
    <cellStyle name="40% - 강조색1 2 2 4" xfId="1580"/>
    <cellStyle name="40% - 강조색1 2 2 5" xfId="1581"/>
    <cellStyle name="40% - 강조색1 2 2 6" xfId="1582"/>
    <cellStyle name="40% - 강조색1 2 2 7" xfId="1583"/>
    <cellStyle name="40% - 강조색1 2 2 8" xfId="1584"/>
    <cellStyle name="40% - 강조색1 2 2 9" xfId="1585"/>
    <cellStyle name="40% - 강조색1 2 20" xfId="1586"/>
    <cellStyle name="40% - 강조색1 2 21" xfId="1587"/>
    <cellStyle name="40% - 강조색1 2 22" xfId="1588"/>
    <cellStyle name="40% - 강조색1 2 23" xfId="1589"/>
    <cellStyle name="40% - 강조색1 2 24" xfId="1590"/>
    <cellStyle name="40% - 강조색1 2 25" xfId="1591"/>
    <cellStyle name="40% - 강조색1 2 26" xfId="1592"/>
    <cellStyle name="40% - 강조색1 2 27" xfId="1593"/>
    <cellStyle name="40% - 강조색1 2 28" xfId="1594"/>
    <cellStyle name="40% - 강조색1 2 29" xfId="1595"/>
    <cellStyle name="40% - 강조색1 2 3" xfId="1596"/>
    <cellStyle name="40% - 강조색1 2 3 2" xfId="1597"/>
    <cellStyle name="40% - 강조색1 2 3 3" xfId="1598"/>
    <cellStyle name="40% - 강조색1 2 3 4" xfId="1599"/>
    <cellStyle name="40% - 강조색1 2 3 5" xfId="1600"/>
    <cellStyle name="40% - 강조색1 2 30" xfId="1601"/>
    <cellStyle name="40% - 강조색1 2 31" xfId="1602"/>
    <cellStyle name="40% - 강조색1 2 32" xfId="1603"/>
    <cellStyle name="40% - 강조색1 2 33" xfId="1604"/>
    <cellStyle name="40% - 강조색1 2 34" xfId="1605"/>
    <cellStyle name="40% - 강조색1 2 35" xfId="1606"/>
    <cellStyle name="40% - 강조색1 2 36" xfId="1607"/>
    <cellStyle name="40% - 강조색1 2 37" xfId="1608"/>
    <cellStyle name="40% - 강조색1 2 38" xfId="1609"/>
    <cellStyle name="40% - 강조색1 2 39" xfId="1610"/>
    <cellStyle name="40% - 강조색1 2 4" xfId="1611"/>
    <cellStyle name="40% - 강조색1 2 40" xfId="1612"/>
    <cellStyle name="40% - 강조색1 2 41" xfId="1613"/>
    <cellStyle name="40% - 강조색1 2 42" xfId="1614"/>
    <cellStyle name="40% - 강조색1 2 43" xfId="1615"/>
    <cellStyle name="40% - 강조색1 2 44" xfId="1616"/>
    <cellStyle name="40% - 강조색1 2 45" xfId="1617"/>
    <cellStyle name="40% - 강조색1 2 46" xfId="1618"/>
    <cellStyle name="40% - 강조색1 2 47" xfId="1619"/>
    <cellStyle name="40% - 강조색1 2 48" xfId="1620"/>
    <cellStyle name="40% - 강조색1 2 49" xfId="1621"/>
    <cellStyle name="40% - 강조색1 2 5" xfId="1622"/>
    <cellStyle name="40% - 강조색1 2 50" xfId="1623"/>
    <cellStyle name="40% - 강조색1 2 51" xfId="1624"/>
    <cellStyle name="40% - 강조색1 2 52" xfId="1625"/>
    <cellStyle name="40% - 강조색1 2 53" xfId="1626"/>
    <cellStyle name="40% - 강조색1 2 54" xfId="1627"/>
    <cellStyle name="40% - 강조색1 2 55" xfId="1628"/>
    <cellStyle name="40% - 강조색1 2 56" xfId="1629"/>
    <cellStyle name="40% - 강조색1 2 57" xfId="1630"/>
    <cellStyle name="40% - 강조색1 2 58" xfId="1631"/>
    <cellStyle name="40% - 강조색1 2 59" xfId="1632"/>
    <cellStyle name="40% - 강조색1 2 6" xfId="1633"/>
    <cellStyle name="40% - 강조색1 2 60" xfId="1634"/>
    <cellStyle name="40% - 강조색1 2 61" xfId="1635"/>
    <cellStyle name="40% - 강조색1 2 62" xfId="1636"/>
    <cellStyle name="40% - 강조색1 2 63" xfId="1637"/>
    <cellStyle name="40% - 강조색1 2 64" xfId="1638"/>
    <cellStyle name="40% - 강조색1 2 65" xfId="1639"/>
    <cellStyle name="40% - 강조색1 2 66" xfId="1640"/>
    <cellStyle name="40% - 강조색1 2 67" xfId="1641"/>
    <cellStyle name="40% - 강조색1 2 68" xfId="1642"/>
    <cellStyle name="40% - 강조색1 2 69" xfId="1643"/>
    <cellStyle name="40% - 강조색1 2 7" xfId="1644"/>
    <cellStyle name="40% - 강조색1 2 70" xfId="1645"/>
    <cellStyle name="40% - 강조색1 2 71" xfId="1646"/>
    <cellStyle name="40% - 강조색1 2 72" xfId="1647"/>
    <cellStyle name="40% - 강조색1 2 73" xfId="1648"/>
    <cellStyle name="40% - 강조색1 2 74" xfId="1649"/>
    <cellStyle name="40% - 강조색1 2 75" xfId="1650"/>
    <cellStyle name="40% - 강조색1 2 76" xfId="1651"/>
    <cellStyle name="40% - 강조색1 2 77" xfId="1652"/>
    <cellStyle name="40% - 강조색1 2 78" xfId="1653"/>
    <cellStyle name="40% - 강조색1 2 79" xfId="1654"/>
    <cellStyle name="40% - 강조색1 2 8" xfId="1655"/>
    <cellStyle name="40% - 강조색1 2 80" xfId="1656"/>
    <cellStyle name="40% - 강조색1 2 81" xfId="1657"/>
    <cellStyle name="40% - 강조색1 2 82" xfId="1658"/>
    <cellStyle name="40% - 강조색1 2 83" xfId="1659"/>
    <cellStyle name="40% - 강조색1 2 84" xfId="1660"/>
    <cellStyle name="40% - 강조색1 2 85" xfId="1661"/>
    <cellStyle name="40% - 강조색1 2 86" xfId="1662"/>
    <cellStyle name="40% - 강조색1 2 87" xfId="1663"/>
    <cellStyle name="40% - 강조색1 2 88" xfId="1664"/>
    <cellStyle name="40% - 강조색1 2 89" xfId="1665"/>
    <cellStyle name="40% - 강조색1 2 9" xfId="1666"/>
    <cellStyle name="40% - 강조색1 2 90" xfId="1667"/>
    <cellStyle name="40% - 강조색1 2 91" xfId="1668"/>
    <cellStyle name="40% - 강조색1 2 92" xfId="1669"/>
    <cellStyle name="40% - 강조색1 2 93" xfId="1670"/>
    <cellStyle name="40% - 강조색1 2 94" xfId="1671"/>
    <cellStyle name="40% - 강조색1 2 95" xfId="1672"/>
    <cellStyle name="40% - 강조색1 2 96" xfId="1673"/>
    <cellStyle name="40% - 강조색1 2 97" xfId="1674"/>
    <cellStyle name="40% - 강조색1 2 98" xfId="1675"/>
    <cellStyle name="40% - 강조색1 2 99" xfId="1676"/>
    <cellStyle name="40% - 강조색1 20" xfId="1677"/>
    <cellStyle name="40% - 강조색1 21" xfId="1678"/>
    <cellStyle name="40% - 강조색1 22" xfId="1679"/>
    <cellStyle name="40% - 강조색1 23" xfId="1680"/>
    <cellStyle name="40% - 강조색1 24" xfId="1681"/>
    <cellStyle name="40% - 강조색1 25" xfId="1682"/>
    <cellStyle name="40% - 강조색1 26" xfId="1683"/>
    <cellStyle name="40% - 강조색1 27" xfId="1684"/>
    <cellStyle name="40% - 강조색1 28" xfId="1685"/>
    <cellStyle name="40% - 강조색1 29" xfId="1686"/>
    <cellStyle name="40% - 강조색1 3" xfId="118"/>
    <cellStyle name="40% - 강조색1 30" xfId="1687"/>
    <cellStyle name="40% - 강조색1 31" xfId="1688"/>
    <cellStyle name="40% - 강조색1 32" xfId="1689"/>
    <cellStyle name="40% - 강조색1 33" xfId="1690"/>
    <cellStyle name="40% - 강조색1 34" xfId="1691"/>
    <cellStyle name="40% - 강조색1 35" xfId="1692"/>
    <cellStyle name="40% - 강조색1 36" xfId="1693"/>
    <cellStyle name="40% - 강조색1 37" xfId="1694"/>
    <cellStyle name="40% - 강조색1 38" xfId="1695"/>
    <cellStyle name="40% - 강조색1 39" xfId="1696"/>
    <cellStyle name="40% - 강조색1 4" xfId="11726" hidden="1"/>
    <cellStyle name="40% - 강조색1 4" xfId="11772" hidden="1"/>
    <cellStyle name="40% - 강조색1 4" xfId="11818" hidden="1"/>
    <cellStyle name="40% - 강조색1 4" xfId="11864" hidden="1"/>
    <cellStyle name="40% - 강조색1 4" xfId="11910" hidden="1"/>
    <cellStyle name="40% - 강조색1 4" xfId="11956" hidden="1"/>
    <cellStyle name="40% - 강조색1 4" xfId="12002" hidden="1"/>
    <cellStyle name="40% - 강조색1 4" xfId="12048" hidden="1"/>
    <cellStyle name="40% - 강조색1 4" xfId="12094" hidden="1"/>
    <cellStyle name="40% - 강조색1 4" xfId="12140" hidden="1"/>
    <cellStyle name="40% - 강조색1 4" xfId="12186" hidden="1"/>
    <cellStyle name="40% - 강조색1 4" xfId="12232" hidden="1"/>
    <cellStyle name="40% - 강조색1 4" xfId="12322" hidden="1"/>
    <cellStyle name="40% - 강조색1 4" xfId="12363" hidden="1"/>
    <cellStyle name="40% - 강조색1 4" xfId="12405" hidden="1"/>
    <cellStyle name="40% - 강조색1 4" xfId="12447" hidden="1"/>
    <cellStyle name="40% - 강조색1 4" xfId="12489" hidden="1"/>
    <cellStyle name="40% - 강조색1 4" xfId="12531" hidden="1"/>
    <cellStyle name="40% - 강조색1 4" xfId="12573" hidden="1"/>
    <cellStyle name="40% - 강조색1 4" xfId="12615" hidden="1"/>
    <cellStyle name="40% - 강조색1 4" xfId="12657" hidden="1"/>
    <cellStyle name="40% - 강조색1 4" xfId="12699" hidden="1"/>
    <cellStyle name="40% - 강조색1 4" xfId="12741" hidden="1"/>
    <cellStyle name="40% - 강조색1 4" xfId="12783" hidden="1"/>
    <cellStyle name="40% - 강조색1 4" xfId="12277" hidden="1"/>
    <cellStyle name="40% - 강조색1 4" xfId="12965" hidden="1"/>
    <cellStyle name="40% - 강조색1 4" xfId="13005" hidden="1"/>
    <cellStyle name="40% - 강조색1 4" xfId="13045" hidden="1"/>
    <cellStyle name="40% - 강조색1 4" xfId="13085" hidden="1"/>
    <cellStyle name="40% - 강조색1 4" xfId="13125" hidden="1"/>
    <cellStyle name="40% - 강조색1 4" xfId="13165" hidden="1"/>
    <cellStyle name="40% - 강조색1 4" xfId="13205" hidden="1"/>
    <cellStyle name="40% - 강조색1 4" xfId="13245" hidden="1"/>
    <cellStyle name="40% - 강조색1 4" xfId="13285" hidden="1"/>
    <cellStyle name="40% - 강조색1 4" xfId="13325" hidden="1"/>
    <cellStyle name="40% - 강조색1 4" xfId="13365" hidden="1"/>
    <cellStyle name="40% - 강조색1 4" xfId="13405" hidden="1"/>
    <cellStyle name="40% - 강조색1 4" xfId="12869" hidden="1"/>
    <cellStyle name="40% - 강조색1 4" xfId="12830" hidden="1"/>
    <cellStyle name="40% - 강조색1 4" xfId="13447" hidden="1"/>
    <cellStyle name="40% - 강조색1 4" xfId="13489" hidden="1"/>
    <cellStyle name="40% - 강조색1 4" xfId="13531" hidden="1"/>
    <cellStyle name="40% - 강조색1 4" xfId="13573" hidden="1"/>
    <cellStyle name="40% - 강조색1 4" xfId="13615" hidden="1"/>
    <cellStyle name="40% - 강조색1 4" xfId="13657" hidden="1"/>
    <cellStyle name="40% - 강조색1 4" xfId="13699" hidden="1"/>
    <cellStyle name="40% - 강조색1 4" xfId="13741" hidden="1"/>
    <cellStyle name="40% - 강조색1 4" xfId="13783" hidden="1"/>
    <cellStyle name="40% - 강조색1 4" xfId="13825" hidden="1"/>
    <cellStyle name="40% - 강조색1 4" xfId="12923" hidden="1"/>
    <cellStyle name="40% - 강조색1 4" xfId="13853" hidden="1"/>
    <cellStyle name="40% - 강조색1 4" xfId="13893" hidden="1"/>
    <cellStyle name="40% - 강조색1 4" xfId="13933" hidden="1"/>
    <cellStyle name="40% - 강조색1 4" xfId="13973" hidden="1"/>
    <cellStyle name="40% - 강조색1 4" xfId="14013" hidden="1"/>
    <cellStyle name="40% - 강조색1 4" xfId="14053" hidden="1"/>
    <cellStyle name="40% - 강조색1 4" xfId="14093" hidden="1"/>
    <cellStyle name="40% - 강조색1 4" xfId="14133" hidden="1"/>
    <cellStyle name="40% - 강조색1 4" xfId="14173" hidden="1"/>
    <cellStyle name="40% - 강조색1 4" xfId="14213" hidden="1"/>
    <cellStyle name="40% - 강조색1 4" xfId="14253" hidden="1"/>
    <cellStyle name="40% - 강조색1 4" xfId="14293" hidden="1"/>
    <cellStyle name="40% - 강조색1 4" xfId="14399" hidden="1"/>
    <cellStyle name="40% - 강조색1 4" xfId="14439" hidden="1"/>
    <cellStyle name="40% - 강조색1 4" xfId="14479" hidden="1"/>
    <cellStyle name="40% - 강조색1 4" xfId="14519" hidden="1"/>
    <cellStyle name="40% - 강조색1 4" xfId="14559" hidden="1"/>
    <cellStyle name="40% - 강조색1 4" xfId="14599" hidden="1"/>
    <cellStyle name="40% - 강조색1 4" xfId="14639" hidden="1"/>
    <cellStyle name="40% - 강조색1 4" xfId="14679" hidden="1"/>
    <cellStyle name="40% - 강조색1 4" xfId="14719" hidden="1"/>
    <cellStyle name="40% - 강조색1 4" xfId="14759" hidden="1"/>
    <cellStyle name="40% - 강조색1 4" xfId="14799" hidden="1"/>
    <cellStyle name="40% - 강조색1 4" xfId="14839" hidden="1"/>
    <cellStyle name="40% - 강조색1 4" xfId="14923" hidden="1"/>
    <cellStyle name="40% - 강조색1 4" xfId="14964" hidden="1"/>
    <cellStyle name="40% - 강조색1 4" xfId="15006" hidden="1"/>
    <cellStyle name="40% - 강조색1 4" xfId="15048" hidden="1"/>
    <cellStyle name="40% - 강조색1 4" xfId="15090" hidden="1"/>
    <cellStyle name="40% - 강조색1 4" xfId="15132" hidden="1"/>
    <cellStyle name="40% - 강조색1 4" xfId="15174" hidden="1"/>
    <cellStyle name="40% - 강조색1 4" xfId="15216" hidden="1"/>
    <cellStyle name="40% - 강조색1 4" xfId="15258" hidden="1"/>
    <cellStyle name="40% - 강조색1 4" xfId="15300" hidden="1"/>
    <cellStyle name="40% - 강조색1 4" xfId="15342" hidden="1"/>
    <cellStyle name="40% - 강조색1 4" xfId="15384" hidden="1"/>
    <cellStyle name="40% - 강조색1 4" xfId="14880" hidden="1"/>
    <cellStyle name="40% - 강조색1 4" xfId="15563" hidden="1"/>
    <cellStyle name="40% - 강조색1 4" xfId="15603" hidden="1"/>
    <cellStyle name="40% - 강조색1 4" xfId="15643" hidden="1"/>
    <cellStyle name="40% - 강조색1 4" xfId="15683" hidden="1"/>
    <cellStyle name="40% - 강조색1 4" xfId="15723" hidden="1"/>
    <cellStyle name="40% - 강조색1 4" xfId="15763" hidden="1"/>
    <cellStyle name="40% - 강조색1 4" xfId="15803" hidden="1"/>
    <cellStyle name="40% - 강조색1 4" xfId="15843" hidden="1"/>
    <cellStyle name="40% - 강조색1 4" xfId="15883" hidden="1"/>
    <cellStyle name="40% - 강조색1 4" xfId="15923" hidden="1"/>
    <cellStyle name="40% - 강조색1 4" xfId="15963" hidden="1"/>
    <cellStyle name="40% - 강조색1 4" xfId="16003" hidden="1"/>
    <cellStyle name="40% - 강조색1 4" xfId="15469" hidden="1"/>
    <cellStyle name="40% - 강조색1 4" xfId="15430" hidden="1"/>
    <cellStyle name="40% - 강조색1 4" xfId="16045" hidden="1"/>
    <cellStyle name="40% - 강조색1 4" xfId="16087" hidden="1"/>
    <cellStyle name="40% - 강조색1 4" xfId="16129" hidden="1"/>
    <cellStyle name="40% - 강조색1 4" xfId="16171" hidden="1"/>
    <cellStyle name="40% - 강조색1 4" xfId="16213" hidden="1"/>
    <cellStyle name="40% - 강조색1 4" xfId="16255" hidden="1"/>
    <cellStyle name="40% - 강조색1 4" xfId="16297" hidden="1"/>
    <cellStyle name="40% - 강조색1 4" xfId="16339" hidden="1"/>
    <cellStyle name="40% - 강조색1 4" xfId="16381" hidden="1"/>
    <cellStyle name="40% - 강조색1 4" xfId="16423" hidden="1"/>
    <cellStyle name="40% - 강조색1 4" xfId="15522" hidden="1"/>
    <cellStyle name="40% - 강조색1 4" xfId="16451" hidden="1"/>
    <cellStyle name="40% - 강조색1 4" xfId="16491" hidden="1"/>
    <cellStyle name="40% - 강조색1 4" xfId="16531" hidden="1"/>
    <cellStyle name="40% - 강조색1 4" xfId="16571" hidden="1"/>
    <cellStyle name="40% - 강조색1 4" xfId="16611" hidden="1"/>
    <cellStyle name="40% - 강조색1 4" xfId="16651" hidden="1"/>
    <cellStyle name="40% - 강조색1 4" xfId="16691" hidden="1"/>
    <cellStyle name="40% - 강조색1 4" xfId="16731" hidden="1"/>
    <cellStyle name="40% - 강조색1 4" xfId="16771" hidden="1"/>
    <cellStyle name="40% - 강조색1 4" xfId="16811" hidden="1"/>
    <cellStyle name="40% - 강조색1 4" xfId="16851" hidden="1"/>
    <cellStyle name="40% - 강조색1 4" xfId="16891" hidden="1"/>
    <cellStyle name="40% - 강조색1 4" xfId="402" hidden="1"/>
    <cellStyle name="40% - 강조색1 4" xfId="16942" hidden="1"/>
    <cellStyle name="40% - 강조색1 4" xfId="16983" hidden="1"/>
    <cellStyle name="40% - 강조색1 4" xfId="17023" hidden="1"/>
    <cellStyle name="40% - 강조색1 4" xfId="17063" hidden="1"/>
    <cellStyle name="40% - 강조색1 4" xfId="17103" hidden="1"/>
    <cellStyle name="40% - 강조색1 4" xfId="17143" hidden="1"/>
    <cellStyle name="40% - 강조색1 4" xfId="17183" hidden="1"/>
    <cellStyle name="40% - 강조색1 4" xfId="17223" hidden="1"/>
    <cellStyle name="40% - 강조색1 4" xfId="17263" hidden="1"/>
    <cellStyle name="40% - 강조색1 4" xfId="17303" hidden="1"/>
    <cellStyle name="40% - 강조색1 4" xfId="17343" hidden="1"/>
    <cellStyle name="40% - 강조색1 4" xfId="17427" hidden="1"/>
    <cellStyle name="40% - 강조색1 4" xfId="17468" hidden="1"/>
    <cellStyle name="40% - 강조색1 4" xfId="17510" hidden="1"/>
    <cellStyle name="40% - 강조색1 4" xfId="17552" hidden="1"/>
    <cellStyle name="40% - 강조색1 4" xfId="17594" hidden="1"/>
    <cellStyle name="40% - 강조색1 4" xfId="17636" hidden="1"/>
    <cellStyle name="40% - 강조색1 4" xfId="17678" hidden="1"/>
    <cellStyle name="40% - 강조색1 4" xfId="17720" hidden="1"/>
    <cellStyle name="40% - 강조색1 4" xfId="17762" hidden="1"/>
    <cellStyle name="40% - 강조색1 4" xfId="17804" hidden="1"/>
    <cellStyle name="40% - 강조색1 4" xfId="17846" hidden="1"/>
    <cellStyle name="40% - 강조색1 4" xfId="17888" hidden="1"/>
    <cellStyle name="40% - 강조색1 4" xfId="17384" hidden="1"/>
    <cellStyle name="40% - 강조색1 4" xfId="18067" hidden="1"/>
    <cellStyle name="40% - 강조색1 4" xfId="18107" hidden="1"/>
    <cellStyle name="40% - 강조색1 4" xfId="18147" hidden="1"/>
    <cellStyle name="40% - 강조색1 4" xfId="18187" hidden="1"/>
    <cellStyle name="40% - 강조색1 4" xfId="18227" hidden="1"/>
    <cellStyle name="40% - 강조색1 4" xfId="18267" hidden="1"/>
    <cellStyle name="40% - 강조색1 4" xfId="18307" hidden="1"/>
    <cellStyle name="40% - 강조색1 4" xfId="18347" hidden="1"/>
    <cellStyle name="40% - 강조색1 4" xfId="18387" hidden="1"/>
    <cellStyle name="40% - 강조색1 4" xfId="18427" hidden="1"/>
    <cellStyle name="40% - 강조색1 4" xfId="18467" hidden="1"/>
    <cellStyle name="40% - 강조색1 4" xfId="18507" hidden="1"/>
    <cellStyle name="40% - 강조색1 4" xfId="17973" hidden="1"/>
    <cellStyle name="40% - 강조색1 4" xfId="17934" hidden="1"/>
    <cellStyle name="40% - 강조색1 4" xfId="18549" hidden="1"/>
    <cellStyle name="40% - 강조색1 4" xfId="18591" hidden="1"/>
    <cellStyle name="40% - 강조색1 4" xfId="18633" hidden="1"/>
    <cellStyle name="40% - 강조색1 4" xfId="18675" hidden="1"/>
    <cellStyle name="40% - 강조색1 4" xfId="18717" hidden="1"/>
    <cellStyle name="40% - 강조색1 4" xfId="18759" hidden="1"/>
    <cellStyle name="40% - 강조색1 4" xfId="18801" hidden="1"/>
    <cellStyle name="40% - 강조색1 4" xfId="18843" hidden="1"/>
    <cellStyle name="40% - 강조색1 4" xfId="18885" hidden="1"/>
    <cellStyle name="40% - 강조색1 4" xfId="18927" hidden="1"/>
    <cellStyle name="40% - 강조색1 4" xfId="18026" hidden="1"/>
    <cellStyle name="40% - 강조색1 4" xfId="18955" hidden="1"/>
    <cellStyle name="40% - 강조색1 4" xfId="18995" hidden="1"/>
    <cellStyle name="40% - 강조색1 4" xfId="19035" hidden="1"/>
    <cellStyle name="40% - 강조색1 4" xfId="19075" hidden="1"/>
    <cellStyle name="40% - 강조색1 4" xfId="19115" hidden="1"/>
    <cellStyle name="40% - 강조색1 4" xfId="19155" hidden="1"/>
    <cellStyle name="40% - 강조색1 4" xfId="19195" hidden="1"/>
    <cellStyle name="40% - 강조색1 4" xfId="19235" hidden="1"/>
    <cellStyle name="40% - 강조색1 4" xfId="19275" hidden="1"/>
    <cellStyle name="40% - 강조색1 4" xfId="19315" hidden="1"/>
    <cellStyle name="40% - 강조색1 4" xfId="19355" hidden="1"/>
    <cellStyle name="40% - 강조색1 4" xfId="19395" hidden="1"/>
    <cellStyle name="40% - 강조색1 4" xfId="14368" hidden="1"/>
    <cellStyle name="40% - 강조색1 4" xfId="19445" hidden="1"/>
    <cellStyle name="40% - 강조색1 4" xfId="19485" hidden="1"/>
    <cellStyle name="40% - 강조색1 4" xfId="19525" hidden="1"/>
    <cellStyle name="40% - 강조색1 4" xfId="19565" hidden="1"/>
    <cellStyle name="40% - 강조색1 4" xfId="19605" hidden="1"/>
    <cellStyle name="40% - 강조색1 4" xfId="19645" hidden="1"/>
    <cellStyle name="40% - 강조색1 4" xfId="19685" hidden="1"/>
    <cellStyle name="40% - 강조색1 4" xfId="19725" hidden="1"/>
    <cellStyle name="40% - 강조색1 4" xfId="19765" hidden="1"/>
    <cellStyle name="40% - 강조색1 4" xfId="19805" hidden="1"/>
    <cellStyle name="40% - 강조색1 4" xfId="19845" hidden="1"/>
    <cellStyle name="40% - 강조색1 4" xfId="19929" hidden="1"/>
    <cellStyle name="40% - 강조색1 4" xfId="19970" hidden="1"/>
    <cellStyle name="40% - 강조색1 4" xfId="20012" hidden="1"/>
    <cellStyle name="40% - 강조색1 4" xfId="20054" hidden="1"/>
    <cellStyle name="40% - 강조색1 4" xfId="20096" hidden="1"/>
    <cellStyle name="40% - 강조색1 4" xfId="20138" hidden="1"/>
    <cellStyle name="40% - 강조색1 4" xfId="20180" hidden="1"/>
    <cellStyle name="40% - 강조색1 4" xfId="20222" hidden="1"/>
    <cellStyle name="40% - 강조색1 4" xfId="20264" hidden="1"/>
    <cellStyle name="40% - 강조색1 4" xfId="20306" hidden="1"/>
    <cellStyle name="40% - 강조색1 4" xfId="20348" hidden="1"/>
    <cellStyle name="40% - 강조색1 4" xfId="20390" hidden="1"/>
    <cellStyle name="40% - 강조색1 4" xfId="19886" hidden="1"/>
    <cellStyle name="40% - 강조색1 4" xfId="20569" hidden="1"/>
    <cellStyle name="40% - 강조색1 4" xfId="20609" hidden="1"/>
    <cellStyle name="40% - 강조색1 4" xfId="20649" hidden="1"/>
    <cellStyle name="40% - 강조색1 4" xfId="20689" hidden="1"/>
    <cellStyle name="40% - 강조색1 4" xfId="20729" hidden="1"/>
    <cellStyle name="40% - 강조색1 4" xfId="20769" hidden="1"/>
    <cellStyle name="40% - 강조색1 4" xfId="20809" hidden="1"/>
    <cellStyle name="40% - 강조색1 4" xfId="20849" hidden="1"/>
    <cellStyle name="40% - 강조색1 4" xfId="20889" hidden="1"/>
    <cellStyle name="40% - 강조색1 4" xfId="20929" hidden="1"/>
    <cellStyle name="40% - 강조색1 4" xfId="20969" hidden="1"/>
    <cellStyle name="40% - 강조색1 4" xfId="21009" hidden="1"/>
    <cellStyle name="40% - 강조색1 4" xfId="20475" hidden="1"/>
    <cellStyle name="40% - 강조색1 4" xfId="20436" hidden="1"/>
    <cellStyle name="40% - 강조색1 4" xfId="21051" hidden="1"/>
    <cellStyle name="40% - 강조색1 4" xfId="21093" hidden="1"/>
    <cellStyle name="40% - 강조색1 4" xfId="21135" hidden="1"/>
    <cellStyle name="40% - 강조색1 4" xfId="21177" hidden="1"/>
    <cellStyle name="40% - 강조색1 4" xfId="21219" hidden="1"/>
    <cellStyle name="40% - 강조색1 4" xfId="21261" hidden="1"/>
    <cellStyle name="40% - 강조색1 4" xfId="21303" hidden="1"/>
    <cellStyle name="40% - 강조색1 4" xfId="21345" hidden="1"/>
    <cellStyle name="40% - 강조색1 4" xfId="21387" hidden="1"/>
    <cellStyle name="40% - 강조색1 4" xfId="21429" hidden="1"/>
    <cellStyle name="40% - 강조색1 4" xfId="20528" hidden="1"/>
    <cellStyle name="40% - 강조색1 4" xfId="21457" hidden="1"/>
    <cellStyle name="40% - 강조색1 4" xfId="21497" hidden="1"/>
    <cellStyle name="40% - 강조색1 4" xfId="21537" hidden="1"/>
    <cellStyle name="40% - 강조색1 4" xfId="21577" hidden="1"/>
    <cellStyle name="40% - 강조색1 4" xfId="21617" hidden="1"/>
    <cellStyle name="40% - 강조색1 4" xfId="21657" hidden="1"/>
    <cellStyle name="40% - 강조색1 4" xfId="21697" hidden="1"/>
    <cellStyle name="40% - 강조색1 4" xfId="21737" hidden="1"/>
    <cellStyle name="40% - 강조색1 4" xfId="21777" hidden="1"/>
    <cellStyle name="40% - 강조색1 4" xfId="21817" hidden="1"/>
    <cellStyle name="40% - 강조색1 4" xfId="21857" hidden="1"/>
    <cellStyle name="40% - 강조색1 4" xfId="21897" hidden="1"/>
    <cellStyle name="40% - 강조색1 4" xfId="21965" hidden="1"/>
    <cellStyle name="40% - 강조색1 4" xfId="22005" hidden="1"/>
    <cellStyle name="40% - 강조색1 4" xfId="22045" hidden="1"/>
    <cellStyle name="40% - 강조색1 4" xfId="22085" hidden="1"/>
    <cellStyle name="40% - 강조색1 4" xfId="22125" hidden="1"/>
    <cellStyle name="40% - 강조색1 4" xfId="22165" hidden="1"/>
    <cellStyle name="40% - 강조색1 4" xfId="22205" hidden="1"/>
    <cellStyle name="40% - 강조색1 4" xfId="22245" hidden="1"/>
    <cellStyle name="40% - 강조색1 4" xfId="22285" hidden="1"/>
    <cellStyle name="40% - 강조색1 4" xfId="22325" hidden="1"/>
    <cellStyle name="40% - 강조색1 4" xfId="22365" hidden="1"/>
    <cellStyle name="40% - 강조색1 4" xfId="22405" hidden="1"/>
    <cellStyle name="40% - 강조색1 4" xfId="22489" hidden="1"/>
    <cellStyle name="40% - 강조색1 4" xfId="22530" hidden="1"/>
    <cellStyle name="40% - 강조색1 4" xfId="22572" hidden="1"/>
    <cellStyle name="40% - 강조색1 4" xfId="22614" hidden="1"/>
    <cellStyle name="40% - 강조색1 4" xfId="22656" hidden="1"/>
    <cellStyle name="40% - 강조색1 4" xfId="22698" hidden="1"/>
    <cellStyle name="40% - 강조색1 4" xfId="22740" hidden="1"/>
    <cellStyle name="40% - 강조색1 4" xfId="22782" hidden="1"/>
    <cellStyle name="40% - 강조색1 4" xfId="22824" hidden="1"/>
    <cellStyle name="40% - 강조색1 4" xfId="22866" hidden="1"/>
    <cellStyle name="40% - 강조색1 4" xfId="22908" hidden="1"/>
    <cellStyle name="40% - 강조색1 4" xfId="22950" hidden="1"/>
    <cellStyle name="40% - 강조색1 4" xfId="22446" hidden="1"/>
    <cellStyle name="40% - 강조색1 4" xfId="23129" hidden="1"/>
    <cellStyle name="40% - 강조색1 4" xfId="23169" hidden="1"/>
    <cellStyle name="40% - 강조색1 4" xfId="23209" hidden="1"/>
    <cellStyle name="40% - 강조색1 4" xfId="23249" hidden="1"/>
    <cellStyle name="40% - 강조색1 4" xfId="23289" hidden="1"/>
    <cellStyle name="40% - 강조색1 4" xfId="23329" hidden="1"/>
    <cellStyle name="40% - 강조색1 4" xfId="23369" hidden="1"/>
    <cellStyle name="40% - 강조색1 4" xfId="23409" hidden="1"/>
    <cellStyle name="40% - 강조색1 4" xfId="23449" hidden="1"/>
    <cellStyle name="40% - 강조색1 4" xfId="23489" hidden="1"/>
    <cellStyle name="40% - 강조색1 4" xfId="23529" hidden="1"/>
    <cellStyle name="40% - 강조색1 4" xfId="23569" hidden="1"/>
    <cellStyle name="40% - 강조색1 4" xfId="23035" hidden="1"/>
    <cellStyle name="40% - 강조색1 4" xfId="22996" hidden="1"/>
    <cellStyle name="40% - 강조색1 4" xfId="23611" hidden="1"/>
    <cellStyle name="40% - 강조색1 4" xfId="23653" hidden="1"/>
    <cellStyle name="40% - 강조색1 4" xfId="23695" hidden="1"/>
    <cellStyle name="40% - 강조색1 4" xfId="23737" hidden="1"/>
    <cellStyle name="40% - 강조색1 4" xfId="23779" hidden="1"/>
    <cellStyle name="40% - 강조색1 4" xfId="23821" hidden="1"/>
    <cellStyle name="40% - 강조색1 4" xfId="23863" hidden="1"/>
    <cellStyle name="40% - 강조색1 4" xfId="23905" hidden="1"/>
    <cellStyle name="40% - 강조색1 4" xfId="23947" hidden="1"/>
    <cellStyle name="40% - 강조색1 4" xfId="23989" hidden="1"/>
    <cellStyle name="40% - 강조색1 4" xfId="23088" hidden="1"/>
    <cellStyle name="40% - 강조색1 4" xfId="24017" hidden="1"/>
    <cellStyle name="40% - 강조색1 4" xfId="24057" hidden="1"/>
    <cellStyle name="40% - 강조색1 4" xfId="24097" hidden="1"/>
    <cellStyle name="40% - 강조색1 4" xfId="24137" hidden="1"/>
    <cellStyle name="40% - 강조색1 4" xfId="24177" hidden="1"/>
    <cellStyle name="40% - 강조색1 4" xfId="24217" hidden="1"/>
    <cellStyle name="40% - 강조색1 4" xfId="24257" hidden="1"/>
    <cellStyle name="40% - 강조색1 4" xfId="24297" hidden="1"/>
    <cellStyle name="40% - 강조색1 4" xfId="24337" hidden="1"/>
    <cellStyle name="40% - 강조색1 4" xfId="24377" hidden="1"/>
    <cellStyle name="40% - 강조색1 4" xfId="24417" hidden="1"/>
    <cellStyle name="40% - 강조색1 4" xfId="24457" hidden="1"/>
    <cellStyle name="40% - 강조색1 4" xfId="24555" hidden="1"/>
    <cellStyle name="40% - 강조색1 4" xfId="24595" hidden="1"/>
    <cellStyle name="40% - 강조색1 4" xfId="24637" hidden="1"/>
    <cellStyle name="40% - 강조색1 4" xfId="24678" hidden="1"/>
    <cellStyle name="40% - 강조색1 4" xfId="24718" hidden="1"/>
    <cellStyle name="40% - 강조색1 4" xfId="24758" hidden="1"/>
    <cellStyle name="40% - 강조색1 4" xfId="24798" hidden="1"/>
    <cellStyle name="40% - 강조색1 4" xfId="24838" hidden="1"/>
    <cellStyle name="40% - 강조색1 4" xfId="24878" hidden="1"/>
    <cellStyle name="40% - 강조색1 4" xfId="24918" hidden="1"/>
    <cellStyle name="40% - 강조색1 4" xfId="24958" hidden="1"/>
    <cellStyle name="40% - 강조색1 4" xfId="24998" hidden="1"/>
    <cellStyle name="40% - 강조색1 4" xfId="25082" hidden="1"/>
    <cellStyle name="40% - 강조색1 4" xfId="25123" hidden="1"/>
    <cellStyle name="40% - 강조색1 4" xfId="25165" hidden="1"/>
    <cellStyle name="40% - 강조색1 4" xfId="25207" hidden="1"/>
    <cellStyle name="40% - 강조색1 4" xfId="25249" hidden="1"/>
    <cellStyle name="40% - 강조색1 4" xfId="25291" hidden="1"/>
    <cellStyle name="40% - 강조색1 4" xfId="25333" hidden="1"/>
    <cellStyle name="40% - 강조색1 4" xfId="25375" hidden="1"/>
    <cellStyle name="40% - 강조색1 4" xfId="25417" hidden="1"/>
    <cellStyle name="40% - 강조색1 4" xfId="25459" hidden="1"/>
    <cellStyle name="40% - 강조색1 4" xfId="25501" hidden="1"/>
    <cellStyle name="40% - 강조색1 4" xfId="25543" hidden="1"/>
    <cellStyle name="40% - 강조색1 4" xfId="25039" hidden="1"/>
    <cellStyle name="40% - 강조색1 4" xfId="25722" hidden="1"/>
    <cellStyle name="40% - 강조색1 4" xfId="25762" hidden="1"/>
    <cellStyle name="40% - 강조색1 4" xfId="25802" hidden="1"/>
    <cellStyle name="40% - 강조색1 4" xfId="25842" hidden="1"/>
    <cellStyle name="40% - 강조색1 4" xfId="25882" hidden="1"/>
    <cellStyle name="40% - 강조색1 4" xfId="25922" hidden="1"/>
    <cellStyle name="40% - 강조색1 4" xfId="25962" hidden="1"/>
    <cellStyle name="40% - 강조색1 4" xfId="26002" hidden="1"/>
    <cellStyle name="40% - 강조색1 4" xfId="26042" hidden="1"/>
    <cellStyle name="40% - 강조색1 4" xfId="26082" hidden="1"/>
    <cellStyle name="40% - 강조색1 4" xfId="26122" hidden="1"/>
    <cellStyle name="40% - 강조색1 4" xfId="26162" hidden="1"/>
    <cellStyle name="40% - 강조색1 4" xfId="25628" hidden="1"/>
    <cellStyle name="40% - 강조색1 4" xfId="25589" hidden="1"/>
    <cellStyle name="40% - 강조색1 4" xfId="26204" hidden="1"/>
    <cellStyle name="40% - 강조색1 4" xfId="26246" hidden="1"/>
    <cellStyle name="40% - 강조색1 4" xfId="26288" hidden="1"/>
    <cellStyle name="40% - 강조색1 4" xfId="26330" hidden="1"/>
    <cellStyle name="40% - 강조색1 4" xfId="26372" hidden="1"/>
    <cellStyle name="40% - 강조색1 4" xfId="26414" hidden="1"/>
    <cellStyle name="40% - 강조색1 4" xfId="26456" hidden="1"/>
    <cellStyle name="40% - 강조색1 4" xfId="26498" hidden="1"/>
    <cellStyle name="40% - 강조색1 4" xfId="26540" hidden="1"/>
    <cellStyle name="40% - 강조색1 4" xfId="26582" hidden="1"/>
    <cellStyle name="40% - 강조색1 4" xfId="25681" hidden="1"/>
    <cellStyle name="40% - 강조색1 4" xfId="26610" hidden="1"/>
    <cellStyle name="40% - 강조색1 4" xfId="26650" hidden="1"/>
    <cellStyle name="40% - 강조색1 4" xfId="26690" hidden="1"/>
    <cellStyle name="40% - 강조색1 4" xfId="26730" hidden="1"/>
    <cellStyle name="40% - 강조색1 4" xfId="26770" hidden="1"/>
    <cellStyle name="40% - 강조색1 4" xfId="26810" hidden="1"/>
    <cellStyle name="40% - 강조색1 4" xfId="26850" hidden="1"/>
    <cellStyle name="40% - 강조색1 4" xfId="26890" hidden="1"/>
    <cellStyle name="40% - 강조색1 4" xfId="26930" hidden="1"/>
    <cellStyle name="40% - 강조색1 4" xfId="26970" hidden="1"/>
    <cellStyle name="40% - 강조색1 4" xfId="27010" hidden="1"/>
    <cellStyle name="40% - 강조색1 4" xfId="27050" hidden="1"/>
    <cellStyle name="40% - 강조색1 4" xfId="21943" hidden="1"/>
    <cellStyle name="40% - 강조색1 4" xfId="27101" hidden="1"/>
    <cellStyle name="40% - 강조색1 4" xfId="27141" hidden="1"/>
    <cellStyle name="40% - 강조색1 4" xfId="27181" hidden="1"/>
    <cellStyle name="40% - 강조색1 4" xfId="27221" hidden="1"/>
    <cellStyle name="40% - 강조색1 4" xfId="27261" hidden="1"/>
    <cellStyle name="40% - 강조색1 4" xfId="27301" hidden="1"/>
    <cellStyle name="40% - 강조색1 4" xfId="27341" hidden="1"/>
    <cellStyle name="40% - 강조색1 4" xfId="27381" hidden="1"/>
    <cellStyle name="40% - 강조색1 4" xfId="27421" hidden="1"/>
    <cellStyle name="40% - 강조색1 4" xfId="27461" hidden="1"/>
    <cellStyle name="40% - 강조색1 4" xfId="27501" hidden="1"/>
    <cellStyle name="40% - 강조색1 4" xfId="27585" hidden="1"/>
    <cellStyle name="40% - 강조색1 4" xfId="27626" hidden="1"/>
    <cellStyle name="40% - 강조색1 4" xfId="27668" hidden="1"/>
    <cellStyle name="40% - 강조색1 4" xfId="27710" hidden="1"/>
    <cellStyle name="40% - 강조색1 4" xfId="27752" hidden="1"/>
    <cellStyle name="40% - 강조색1 4" xfId="27794" hidden="1"/>
    <cellStyle name="40% - 강조색1 4" xfId="27836" hidden="1"/>
    <cellStyle name="40% - 강조색1 4" xfId="27878" hidden="1"/>
    <cellStyle name="40% - 강조색1 4" xfId="27920" hidden="1"/>
    <cellStyle name="40% - 강조색1 4" xfId="27962" hidden="1"/>
    <cellStyle name="40% - 강조색1 4" xfId="28004" hidden="1"/>
    <cellStyle name="40% - 강조색1 4" xfId="28046" hidden="1"/>
    <cellStyle name="40% - 강조색1 4" xfId="27542" hidden="1"/>
    <cellStyle name="40% - 강조색1 4" xfId="28225" hidden="1"/>
    <cellStyle name="40% - 강조색1 4" xfId="28265" hidden="1"/>
    <cellStyle name="40% - 강조색1 4" xfId="28305" hidden="1"/>
    <cellStyle name="40% - 강조색1 4" xfId="28345" hidden="1"/>
    <cellStyle name="40% - 강조색1 4" xfId="28385" hidden="1"/>
    <cellStyle name="40% - 강조색1 4" xfId="28425" hidden="1"/>
    <cellStyle name="40% - 강조색1 4" xfId="28465" hidden="1"/>
    <cellStyle name="40% - 강조색1 4" xfId="28505" hidden="1"/>
    <cellStyle name="40% - 강조색1 4" xfId="28545" hidden="1"/>
    <cellStyle name="40% - 강조색1 4" xfId="28585" hidden="1"/>
    <cellStyle name="40% - 강조색1 4" xfId="28625" hidden="1"/>
    <cellStyle name="40% - 강조색1 4" xfId="28665" hidden="1"/>
    <cellStyle name="40% - 강조색1 4" xfId="28131" hidden="1"/>
    <cellStyle name="40% - 강조색1 4" xfId="28092" hidden="1"/>
    <cellStyle name="40% - 강조색1 4" xfId="28707" hidden="1"/>
    <cellStyle name="40% - 강조색1 4" xfId="28749" hidden="1"/>
    <cellStyle name="40% - 강조색1 4" xfId="28791" hidden="1"/>
    <cellStyle name="40% - 강조색1 4" xfId="28833" hidden="1"/>
    <cellStyle name="40% - 강조색1 4" xfId="28875" hidden="1"/>
    <cellStyle name="40% - 강조색1 4" xfId="28917" hidden="1"/>
    <cellStyle name="40% - 강조색1 4" xfId="28959" hidden="1"/>
    <cellStyle name="40% - 강조색1 4" xfId="29001" hidden="1"/>
    <cellStyle name="40% - 강조색1 4" xfId="29043" hidden="1"/>
    <cellStyle name="40% - 강조색1 4" xfId="29085" hidden="1"/>
    <cellStyle name="40% - 강조색1 4" xfId="28184" hidden="1"/>
    <cellStyle name="40% - 강조색1 4" xfId="29113" hidden="1"/>
    <cellStyle name="40% - 강조색1 4" xfId="29153" hidden="1"/>
    <cellStyle name="40% - 강조색1 4" xfId="29193" hidden="1"/>
    <cellStyle name="40% - 강조색1 4" xfId="29233" hidden="1"/>
    <cellStyle name="40% - 강조색1 4" xfId="29273" hidden="1"/>
    <cellStyle name="40% - 강조색1 4" xfId="29313" hidden="1"/>
    <cellStyle name="40% - 강조색1 4" xfId="29353" hidden="1"/>
    <cellStyle name="40% - 강조색1 4" xfId="29393" hidden="1"/>
    <cellStyle name="40% - 강조색1 4" xfId="29433" hidden="1"/>
    <cellStyle name="40% - 강조색1 4" xfId="29473" hidden="1"/>
    <cellStyle name="40% - 강조색1 4" xfId="29513" hidden="1"/>
    <cellStyle name="40% - 강조색1 4" xfId="29553" hidden="1"/>
    <cellStyle name="40% - 강조색1 4" xfId="24526" hidden="1"/>
    <cellStyle name="40% - 강조색1 4" xfId="29603" hidden="1"/>
    <cellStyle name="40% - 강조색1 4" xfId="29643" hidden="1"/>
    <cellStyle name="40% - 강조색1 4" xfId="29683" hidden="1"/>
    <cellStyle name="40% - 강조색1 4" xfId="29723" hidden="1"/>
    <cellStyle name="40% - 강조색1 4" xfId="29763" hidden="1"/>
    <cellStyle name="40% - 강조색1 4" xfId="29803" hidden="1"/>
    <cellStyle name="40% - 강조색1 4" xfId="29843" hidden="1"/>
    <cellStyle name="40% - 강조색1 4" xfId="29883" hidden="1"/>
    <cellStyle name="40% - 강조색1 4" xfId="29923" hidden="1"/>
    <cellStyle name="40% - 강조색1 4" xfId="29963" hidden="1"/>
    <cellStyle name="40% - 강조색1 4" xfId="30003" hidden="1"/>
    <cellStyle name="40% - 강조색1 4" xfId="30087" hidden="1"/>
    <cellStyle name="40% - 강조색1 4" xfId="30128" hidden="1"/>
    <cellStyle name="40% - 강조색1 4" xfId="30170" hidden="1"/>
    <cellStyle name="40% - 강조색1 4" xfId="30212" hidden="1"/>
    <cellStyle name="40% - 강조색1 4" xfId="30254" hidden="1"/>
    <cellStyle name="40% - 강조색1 4" xfId="30296" hidden="1"/>
    <cellStyle name="40% - 강조색1 4" xfId="30338" hidden="1"/>
    <cellStyle name="40% - 강조색1 4" xfId="30380" hidden="1"/>
    <cellStyle name="40% - 강조색1 4" xfId="30422" hidden="1"/>
    <cellStyle name="40% - 강조색1 4" xfId="30464" hidden="1"/>
    <cellStyle name="40% - 강조색1 4" xfId="30506" hidden="1"/>
    <cellStyle name="40% - 강조색1 4" xfId="30548" hidden="1"/>
    <cellStyle name="40% - 강조색1 4" xfId="30044" hidden="1"/>
    <cellStyle name="40% - 강조색1 4" xfId="30727" hidden="1"/>
    <cellStyle name="40% - 강조색1 4" xfId="30767" hidden="1"/>
    <cellStyle name="40% - 강조색1 4" xfId="30807" hidden="1"/>
    <cellStyle name="40% - 강조색1 4" xfId="30847" hidden="1"/>
    <cellStyle name="40% - 강조색1 4" xfId="30887" hidden="1"/>
    <cellStyle name="40% - 강조색1 4" xfId="30927" hidden="1"/>
    <cellStyle name="40% - 강조색1 4" xfId="30967" hidden="1"/>
    <cellStyle name="40% - 강조색1 4" xfId="31007" hidden="1"/>
    <cellStyle name="40% - 강조색1 4" xfId="31047" hidden="1"/>
    <cellStyle name="40% - 강조색1 4" xfId="31087" hidden="1"/>
    <cellStyle name="40% - 강조색1 4" xfId="31127" hidden="1"/>
    <cellStyle name="40% - 강조색1 4" xfId="31167" hidden="1"/>
    <cellStyle name="40% - 강조색1 4" xfId="30633" hidden="1"/>
    <cellStyle name="40% - 강조색1 4" xfId="30594" hidden="1"/>
    <cellStyle name="40% - 강조색1 4" xfId="31209" hidden="1"/>
    <cellStyle name="40% - 강조색1 4" xfId="31251" hidden="1"/>
    <cellStyle name="40% - 강조색1 4" xfId="31293" hidden="1"/>
    <cellStyle name="40% - 강조색1 4" xfId="31335" hidden="1"/>
    <cellStyle name="40% - 강조색1 4" xfId="31377" hidden="1"/>
    <cellStyle name="40% - 강조색1 4" xfId="31419" hidden="1"/>
    <cellStyle name="40% - 강조색1 4" xfId="31461" hidden="1"/>
    <cellStyle name="40% - 강조색1 4" xfId="31503" hidden="1"/>
    <cellStyle name="40% - 강조색1 4" xfId="31545" hidden="1"/>
    <cellStyle name="40% - 강조색1 4" xfId="31587" hidden="1"/>
    <cellStyle name="40% - 강조색1 4" xfId="30686" hidden="1"/>
    <cellStyle name="40% - 강조색1 4" xfId="31615" hidden="1"/>
    <cellStyle name="40% - 강조색1 4" xfId="31655" hidden="1"/>
    <cellStyle name="40% - 강조색1 4" xfId="31695" hidden="1"/>
    <cellStyle name="40% - 강조색1 4" xfId="31735" hidden="1"/>
    <cellStyle name="40% - 강조색1 4" xfId="31775" hidden="1"/>
    <cellStyle name="40% - 강조색1 4" xfId="31815" hidden="1"/>
    <cellStyle name="40% - 강조색1 4" xfId="31855" hidden="1"/>
    <cellStyle name="40% - 강조색1 4" xfId="31895" hidden="1"/>
    <cellStyle name="40% - 강조색1 4" xfId="31935" hidden="1"/>
    <cellStyle name="40% - 강조색1 4" xfId="31975" hidden="1"/>
    <cellStyle name="40% - 강조색1 4" xfId="32015" hidden="1"/>
    <cellStyle name="40% - 강조색1 4" xfId="32055" hidden="1"/>
    <cellStyle name="40% - 강조색1 4" xfId="32117" hidden="1"/>
    <cellStyle name="40% - 강조색1 4" xfId="32157" hidden="1"/>
    <cellStyle name="40% - 강조색1 4" xfId="32197" hidden="1"/>
    <cellStyle name="40% - 강조색1 4" xfId="32237" hidden="1"/>
    <cellStyle name="40% - 강조색1 4" xfId="32277" hidden="1"/>
    <cellStyle name="40% - 강조색1 4" xfId="32317" hidden="1"/>
    <cellStyle name="40% - 강조색1 4" xfId="32357" hidden="1"/>
    <cellStyle name="40% - 강조색1 4" xfId="32397" hidden="1"/>
    <cellStyle name="40% - 강조색1 4" xfId="32437" hidden="1"/>
    <cellStyle name="40% - 강조색1 4" xfId="32477" hidden="1"/>
    <cellStyle name="40% - 강조색1 4" xfId="32517" hidden="1"/>
    <cellStyle name="40% - 강조색1 4" xfId="32557" hidden="1"/>
    <cellStyle name="40% - 강조색1 4" xfId="32642" hidden="1"/>
    <cellStyle name="40% - 강조색1 4" xfId="32683" hidden="1"/>
    <cellStyle name="40% - 강조색1 4" xfId="32725" hidden="1"/>
    <cellStyle name="40% - 강조색1 4" xfId="32767" hidden="1"/>
    <cellStyle name="40% - 강조색1 4" xfId="32809" hidden="1"/>
    <cellStyle name="40% - 강조색1 4" xfId="32851" hidden="1"/>
    <cellStyle name="40% - 강조색1 4" xfId="32893" hidden="1"/>
    <cellStyle name="40% - 강조색1 4" xfId="32935" hidden="1"/>
    <cellStyle name="40% - 강조색1 4" xfId="32977" hidden="1"/>
    <cellStyle name="40% - 강조색1 4" xfId="33019" hidden="1"/>
    <cellStyle name="40% - 강조색1 4" xfId="33061" hidden="1"/>
    <cellStyle name="40% - 강조색1 4" xfId="33103" hidden="1"/>
    <cellStyle name="40% - 강조색1 4" xfId="32599" hidden="1"/>
    <cellStyle name="40% - 강조색1 4" xfId="33282" hidden="1"/>
    <cellStyle name="40% - 강조색1 4" xfId="33322" hidden="1"/>
    <cellStyle name="40% - 강조색1 4" xfId="33362" hidden="1"/>
    <cellStyle name="40% - 강조색1 4" xfId="33402" hidden="1"/>
    <cellStyle name="40% - 강조색1 4" xfId="33442" hidden="1"/>
    <cellStyle name="40% - 강조색1 4" xfId="33482" hidden="1"/>
    <cellStyle name="40% - 강조색1 4" xfId="33522" hidden="1"/>
    <cellStyle name="40% - 강조색1 4" xfId="33562" hidden="1"/>
    <cellStyle name="40% - 강조색1 4" xfId="33602" hidden="1"/>
    <cellStyle name="40% - 강조색1 4" xfId="33642" hidden="1"/>
    <cellStyle name="40% - 강조색1 4" xfId="33682" hidden="1"/>
    <cellStyle name="40% - 강조색1 4" xfId="33722" hidden="1"/>
    <cellStyle name="40% - 강조색1 4" xfId="33188" hidden="1"/>
    <cellStyle name="40% - 강조색1 4" xfId="33149" hidden="1"/>
    <cellStyle name="40% - 강조색1 4" xfId="33764" hidden="1"/>
    <cellStyle name="40% - 강조색1 4" xfId="33806" hidden="1"/>
    <cellStyle name="40% - 강조색1 4" xfId="33848" hidden="1"/>
    <cellStyle name="40% - 강조색1 4" xfId="33890" hidden="1"/>
    <cellStyle name="40% - 강조색1 4" xfId="33932" hidden="1"/>
    <cellStyle name="40% - 강조색1 4" xfId="33974" hidden="1"/>
    <cellStyle name="40% - 강조색1 4" xfId="34016" hidden="1"/>
    <cellStyle name="40% - 강조색1 4" xfId="34058" hidden="1"/>
    <cellStyle name="40% - 강조색1 4" xfId="34100" hidden="1"/>
    <cellStyle name="40% - 강조색1 4" xfId="34142" hidden="1"/>
    <cellStyle name="40% - 강조색1 4" xfId="33241" hidden="1"/>
    <cellStyle name="40% - 강조색1 4" xfId="34170" hidden="1"/>
    <cellStyle name="40% - 강조색1 4" xfId="34210" hidden="1"/>
    <cellStyle name="40% - 강조색1 4" xfId="34250" hidden="1"/>
    <cellStyle name="40% - 강조색1 4" xfId="34290" hidden="1"/>
    <cellStyle name="40% - 강조색1 4" xfId="34330" hidden="1"/>
    <cellStyle name="40% - 강조색1 4" xfId="34370" hidden="1"/>
    <cellStyle name="40% - 강조색1 4" xfId="34410" hidden="1"/>
    <cellStyle name="40% - 강조색1 4" xfId="34450" hidden="1"/>
    <cellStyle name="40% - 강조색1 4" xfId="34490" hidden="1"/>
    <cellStyle name="40% - 강조색1 4" xfId="34530" hidden="1"/>
    <cellStyle name="40% - 강조색1 4" xfId="34570" hidden="1"/>
    <cellStyle name="40% - 강조색1 4" xfId="34610" hidden="1"/>
    <cellStyle name="40% - 강조색1 4" xfId="34707" hidden="1"/>
    <cellStyle name="40% - 강조색1 4" xfId="34747" hidden="1"/>
    <cellStyle name="40% - 강조색1 4" xfId="34787" hidden="1"/>
    <cellStyle name="40% - 강조색1 4" xfId="34827" hidden="1"/>
    <cellStyle name="40% - 강조색1 4" xfId="34867" hidden="1"/>
    <cellStyle name="40% - 강조색1 4" xfId="34907" hidden="1"/>
    <cellStyle name="40% - 강조색1 4" xfId="34947" hidden="1"/>
    <cellStyle name="40% - 강조색1 4" xfId="34987" hidden="1"/>
    <cellStyle name="40% - 강조색1 4" xfId="35027" hidden="1"/>
    <cellStyle name="40% - 강조색1 4" xfId="35067" hidden="1"/>
    <cellStyle name="40% - 강조색1 4" xfId="35107" hidden="1"/>
    <cellStyle name="40% - 강조색1 4" xfId="35147" hidden="1"/>
    <cellStyle name="40% - 강조색1 4" xfId="35231" hidden="1"/>
    <cellStyle name="40% - 강조색1 4" xfId="35272" hidden="1"/>
    <cellStyle name="40% - 강조색1 4" xfId="35314" hidden="1"/>
    <cellStyle name="40% - 강조색1 4" xfId="35356" hidden="1"/>
    <cellStyle name="40% - 강조색1 4" xfId="35398" hidden="1"/>
    <cellStyle name="40% - 강조색1 4" xfId="35440" hidden="1"/>
    <cellStyle name="40% - 강조색1 4" xfId="35482" hidden="1"/>
    <cellStyle name="40% - 강조색1 4" xfId="35524" hidden="1"/>
    <cellStyle name="40% - 강조색1 4" xfId="35566" hidden="1"/>
    <cellStyle name="40% - 강조색1 4" xfId="35608" hidden="1"/>
    <cellStyle name="40% - 강조색1 4" xfId="35650" hidden="1"/>
    <cellStyle name="40% - 강조색1 4" xfId="35692" hidden="1"/>
    <cellStyle name="40% - 강조색1 4" xfId="35188" hidden="1"/>
    <cellStyle name="40% - 강조색1 4" xfId="35871" hidden="1"/>
    <cellStyle name="40% - 강조색1 4" xfId="35911" hidden="1"/>
    <cellStyle name="40% - 강조색1 4" xfId="35951" hidden="1"/>
    <cellStyle name="40% - 강조색1 4" xfId="35991" hidden="1"/>
    <cellStyle name="40% - 강조색1 4" xfId="36031" hidden="1"/>
    <cellStyle name="40% - 강조색1 4" xfId="36071" hidden="1"/>
    <cellStyle name="40% - 강조색1 4" xfId="36111" hidden="1"/>
    <cellStyle name="40% - 강조색1 4" xfId="36151" hidden="1"/>
    <cellStyle name="40% - 강조색1 4" xfId="36191" hidden="1"/>
    <cellStyle name="40% - 강조색1 4" xfId="36231" hidden="1"/>
    <cellStyle name="40% - 강조색1 4" xfId="36271" hidden="1"/>
    <cellStyle name="40% - 강조색1 4" xfId="36311" hidden="1"/>
    <cellStyle name="40% - 강조색1 4" xfId="35777" hidden="1"/>
    <cellStyle name="40% - 강조색1 4" xfId="35738" hidden="1"/>
    <cellStyle name="40% - 강조색1 4" xfId="36353" hidden="1"/>
    <cellStyle name="40% - 강조색1 4" xfId="36395" hidden="1"/>
    <cellStyle name="40% - 강조색1 4" xfId="36437" hidden="1"/>
    <cellStyle name="40% - 강조색1 4" xfId="36479" hidden="1"/>
    <cellStyle name="40% - 강조색1 4" xfId="36521" hidden="1"/>
    <cellStyle name="40% - 강조색1 4" xfId="36563" hidden="1"/>
    <cellStyle name="40% - 강조색1 4" xfId="36605" hidden="1"/>
    <cellStyle name="40% - 강조색1 4" xfId="36647" hidden="1"/>
    <cellStyle name="40% - 강조색1 4" xfId="36689" hidden="1"/>
    <cellStyle name="40% - 강조색1 4" xfId="36731" hidden="1"/>
    <cellStyle name="40% - 강조색1 4" xfId="35830" hidden="1"/>
    <cellStyle name="40% - 강조색1 4" xfId="36759" hidden="1"/>
    <cellStyle name="40% - 강조색1 4" xfId="36799" hidden="1"/>
    <cellStyle name="40% - 강조색1 4" xfId="36839" hidden="1"/>
    <cellStyle name="40% - 강조색1 4" xfId="36879" hidden="1"/>
    <cellStyle name="40% - 강조색1 4" xfId="36919" hidden="1"/>
    <cellStyle name="40% - 강조색1 4" xfId="36959" hidden="1"/>
    <cellStyle name="40% - 강조색1 4" xfId="36999" hidden="1"/>
    <cellStyle name="40% - 강조색1 4" xfId="37039" hidden="1"/>
    <cellStyle name="40% - 강조색1 4" xfId="37079" hidden="1"/>
    <cellStyle name="40% - 강조색1 4" xfId="37119" hidden="1"/>
    <cellStyle name="40% - 강조색1 4" xfId="37159" hidden="1"/>
    <cellStyle name="40% - 강조색1 4" xfId="37199" hidden="1"/>
    <cellStyle name="40% - 강조색1 4" xfId="32096" hidden="1"/>
    <cellStyle name="40% - 강조색1 4" xfId="37250" hidden="1"/>
    <cellStyle name="40% - 강조색1 4" xfId="37291" hidden="1"/>
    <cellStyle name="40% - 강조색1 4" xfId="37331" hidden="1"/>
    <cellStyle name="40% - 강조색1 4" xfId="37371" hidden="1"/>
    <cellStyle name="40% - 강조색1 4" xfId="37411" hidden="1"/>
    <cellStyle name="40% - 강조색1 4" xfId="37451" hidden="1"/>
    <cellStyle name="40% - 강조색1 4" xfId="37491" hidden="1"/>
    <cellStyle name="40% - 강조색1 4" xfId="37531" hidden="1"/>
    <cellStyle name="40% - 강조색1 4" xfId="37571" hidden="1"/>
    <cellStyle name="40% - 강조색1 4" xfId="37611" hidden="1"/>
    <cellStyle name="40% - 강조색1 4" xfId="37651" hidden="1"/>
    <cellStyle name="40% - 강조색1 4" xfId="37735" hidden="1"/>
    <cellStyle name="40% - 강조색1 4" xfId="37776" hidden="1"/>
    <cellStyle name="40% - 강조색1 4" xfId="37818" hidden="1"/>
    <cellStyle name="40% - 강조색1 4" xfId="37860" hidden="1"/>
    <cellStyle name="40% - 강조색1 4" xfId="37902" hidden="1"/>
    <cellStyle name="40% - 강조색1 4" xfId="37944" hidden="1"/>
    <cellStyle name="40% - 강조색1 4" xfId="37986" hidden="1"/>
    <cellStyle name="40% - 강조색1 4" xfId="38028" hidden="1"/>
    <cellStyle name="40% - 강조색1 4" xfId="38070" hidden="1"/>
    <cellStyle name="40% - 강조색1 4" xfId="38112" hidden="1"/>
    <cellStyle name="40% - 강조색1 4" xfId="38154" hidden="1"/>
    <cellStyle name="40% - 강조색1 4" xfId="38196" hidden="1"/>
    <cellStyle name="40% - 강조색1 4" xfId="37692" hidden="1"/>
    <cellStyle name="40% - 강조색1 4" xfId="38375" hidden="1"/>
    <cellStyle name="40% - 강조색1 4" xfId="38415" hidden="1"/>
    <cellStyle name="40% - 강조색1 4" xfId="38455" hidden="1"/>
    <cellStyle name="40% - 강조색1 4" xfId="38495" hidden="1"/>
    <cellStyle name="40% - 강조색1 4" xfId="38535" hidden="1"/>
    <cellStyle name="40% - 강조색1 4" xfId="38575" hidden="1"/>
    <cellStyle name="40% - 강조색1 4" xfId="38615" hidden="1"/>
    <cellStyle name="40% - 강조색1 4" xfId="38655" hidden="1"/>
    <cellStyle name="40% - 강조색1 4" xfId="38695" hidden="1"/>
    <cellStyle name="40% - 강조색1 4" xfId="38735" hidden="1"/>
    <cellStyle name="40% - 강조색1 4" xfId="38775" hidden="1"/>
    <cellStyle name="40% - 강조색1 4" xfId="38815" hidden="1"/>
    <cellStyle name="40% - 강조색1 4" xfId="38281" hidden="1"/>
    <cellStyle name="40% - 강조색1 4" xfId="38242" hidden="1"/>
    <cellStyle name="40% - 강조색1 4" xfId="38857" hidden="1"/>
    <cellStyle name="40% - 강조색1 4" xfId="38899" hidden="1"/>
    <cellStyle name="40% - 강조색1 4" xfId="38941" hidden="1"/>
    <cellStyle name="40% - 강조색1 4" xfId="38983" hidden="1"/>
    <cellStyle name="40% - 강조색1 4" xfId="39025" hidden="1"/>
    <cellStyle name="40% - 강조색1 4" xfId="39067" hidden="1"/>
    <cellStyle name="40% - 강조색1 4" xfId="39109" hidden="1"/>
    <cellStyle name="40% - 강조색1 4" xfId="39151" hidden="1"/>
    <cellStyle name="40% - 강조색1 4" xfId="39193" hidden="1"/>
    <cellStyle name="40% - 강조색1 4" xfId="39235" hidden="1"/>
    <cellStyle name="40% - 강조색1 4" xfId="38334" hidden="1"/>
    <cellStyle name="40% - 강조색1 4" xfId="39263" hidden="1"/>
    <cellStyle name="40% - 강조색1 4" xfId="39303" hidden="1"/>
    <cellStyle name="40% - 강조색1 4" xfId="39343" hidden="1"/>
    <cellStyle name="40% - 강조색1 4" xfId="39383" hidden="1"/>
    <cellStyle name="40% - 강조색1 4" xfId="39423" hidden="1"/>
    <cellStyle name="40% - 강조색1 4" xfId="39463" hidden="1"/>
    <cellStyle name="40% - 강조색1 4" xfId="39503" hidden="1"/>
    <cellStyle name="40% - 강조색1 4" xfId="39543" hidden="1"/>
    <cellStyle name="40% - 강조색1 4" xfId="39583" hidden="1"/>
    <cellStyle name="40% - 강조색1 4" xfId="39623" hidden="1"/>
    <cellStyle name="40% - 강조색1 4" xfId="39663" hidden="1"/>
    <cellStyle name="40% - 강조색1 4" xfId="39703" hidden="1"/>
    <cellStyle name="40% - 강조색1 4" xfId="34678" hidden="1"/>
    <cellStyle name="40% - 강조색1 4" xfId="39753" hidden="1"/>
    <cellStyle name="40% - 강조색1 4" xfId="39793" hidden="1"/>
    <cellStyle name="40% - 강조색1 4" xfId="39833" hidden="1"/>
    <cellStyle name="40% - 강조색1 4" xfId="39873" hidden="1"/>
    <cellStyle name="40% - 강조색1 4" xfId="39913" hidden="1"/>
    <cellStyle name="40% - 강조색1 4" xfId="39953" hidden="1"/>
    <cellStyle name="40% - 강조색1 4" xfId="39993" hidden="1"/>
    <cellStyle name="40% - 강조색1 4" xfId="40033" hidden="1"/>
    <cellStyle name="40% - 강조색1 4" xfId="40073" hidden="1"/>
    <cellStyle name="40% - 강조색1 4" xfId="40113" hidden="1"/>
    <cellStyle name="40% - 강조색1 4" xfId="40153" hidden="1"/>
    <cellStyle name="40% - 강조색1 4" xfId="40237" hidden="1"/>
    <cellStyle name="40% - 강조색1 4" xfId="40278" hidden="1"/>
    <cellStyle name="40% - 강조색1 4" xfId="40320" hidden="1"/>
    <cellStyle name="40% - 강조색1 4" xfId="40362" hidden="1"/>
    <cellStyle name="40% - 강조색1 4" xfId="40404" hidden="1"/>
    <cellStyle name="40% - 강조색1 4" xfId="40446" hidden="1"/>
    <cellStyle name="40% - 강조색1 4" xfId="40488" hidden="1"/>
    <cellStyle name="40% - 강조색1 4" xfId="40530" hidden="1"/>
    <cellStyle name="40% - 강조색1 4" xfId="40572" hidden="1"/>
    <cellStyle name="40% - 강조색1 4" xfId="40614" hidden="1"/>
    <cellStyle name="40% - 강조색1 4" xfId="40656" hidden="1"/>
    <cellStyle name="40% - 강조색1 4" xfId="40698" hidden="1"/>
    <cellStyle name="40% - 강조색1 4" xfId="40194" hidden="1"/>
    <cellStyle name="40% - 강조색1 4" xfId="40877" hidden="1"/>
    <cellStyle name="40% - 강조색1 4" xfId="40917" hidden="1"/>
    <cellStyle name="40% - 강조색1 4" xfId="40957" hidden="1"/>
    <cellStyle name="40% - 강조색1 4" xfId="40997" hidden="1"/>
    <cellStyle name="40% - 강조색1 4" xfId="41037" hidden="1"/>
    <cellStyle name="40% - 강조색1 4" xfId="41077" hidden="1"/>
    <cellStyle name="40% - 강조색1 4" xfId="41117" hidden="1"/>
    <cellStyle name="40% - 강조색1 4" xfId="41157" hidden="1"/>
    <cellStyle name="40% - 강조색1 4" xfId="41197" hidden="1"/>
    <cellStyle name="40% - 강조색1 4" xfId="41237" hidden="1"/>
    <cellStyle name="40% - 강조색1 4" xfId="41277" hidden="1"/>
    <cellStyle name="40% - 강조색1 4" xfId="41317" hidden="1"/>
    <cellStyle name="40% - 강조색1 4" xfId="40783" hidden="1"/>
    <cellStyle name="40% - 강조색1 4" xfId="40744" hidden="1"/>
    <cellStyle name="40% - 강조색1 4" xfId="41359" hidden="1"/>
    <cellStyle name="40% - 강조색1 4" xfId="41401" hidden="1"/>
    <cellStyle name="40% - 강조색1 4" xfId="41443" hidden="1"/>
    <cellStyle name="40% - 강조색1 4" xfId="41485" hidden="1"/>
    <cellStyle name="40% - 강조색1 4" xfId="41527" hidden="1"/>
    <cellStyle name="40% - 강조색1 4" xfId="41569" hidden="1"/>
    <cellStyle name="40% - 강조색1 4" xfId="41611" hidden="1"/>
    <cellStyle name="40% - 강조색1 4" xfId="41653" hidden="1"/>
    <cellStyle name="40% - 강조색1 4" xfId="41695" hidden="1"/>
    <cellStyle name="40% - 강조색1 4" xfId="41737" hidden="1"/>
    <cellStyle name="40% - 강조색1 4" xfId="40836" hidden="1"/>
    <cellStyle name="40% - 강조색1 4" xfId="41765" hidden="1"/>
    <cellStyle name="40% - 강조색1 4" xfId="41805" hidden="1"/>
    <cellStyle name="40% - 강조색1 4" xfId="41845" hidden="1"/>
    <cellStyle name="40% - 강조색1 4" xfId="41885" hidden="1"/>
    <cellStyle name="40% - 강조색1 4" xfId="41925" hidden="1"/>
    <cellStyle name="40% - 강조색1 4" xfId="41965" hidden="1"/>
    <cellStyle name="40% - 강조색1 4" xfId="42005" hidden="1"/>
    <cellStyle name="40% - 강조색1 4" xfId="42045" hidden="1"/>
    <cellStyle name="40% - 강조색1 4" xfId="42085" hidden="1"/>
    <cellStyle name="40% - 강조색1 4" xfId="42125" hidden="1"/>
    <cellStyle name="40% - 강조색1 4" xfId="42165" hidden="1"/>
    <cellStyle name="40% - 강조색1 4" xfId="42205" hidden="1"/>
    <cellStyle name="40% - 강조색1 4" xfId="42248" hidden="1"/>
    <cellStyle name="40% - 강조색1 4" xfId="42288" hidden="1"/>
    <cellStyle name="40% - 강조색1 4" xfId="42328" hidden="1"/>
    <cellStyle name="40% - 강조색1 4" xfId="42368" hidden="1"/>
    <cellStyle name="40% - 강조색1 4" xfId="42408" hidden="1"/>
    <cellStyle name="40% - 강조색1 4" xfId="42448" hidden="1"/>
    <cellStyle name="40% - 강조색1 4" xfId="42488" hidden="1"/>
    <cellStyle name="40% - 강조색1 4" xfId="42528" hidden="1"/>
    <cellStyle name="40% - 강조색1 4" xfId="42568" hidden="1"/>
    <cellStyle name="40% - 강조색1 4" xfId="42608" hidden="1"/>
    <cellStyle name="40% - 강조색1 4" xfId="42648" hidden="1"/>
    <cellStyle name="40% - 강조색1 4" xfId="42688" hidden="1"/>
    <cellStyle name="40% - 강조색1 4" xfId="42772" hidden="1"/>
    <cellStyle name="40% - 강조색1 4" xfId="42813" hidden="1"/>
    <cellStyle name="40% - 강조색1 4" xfId="42855" hidden="1"/>
    <cellStyle name="40% - 강조색1 4" xfId="42897" hidden="1"/>
    <cellStyle name="40% - 강조색1 4" xfId="42939" hidden="1"/>
    <cellStyle name="40% - 강조색1 4" xfId="42981" hidden="1"/>
    <cellStyle name="40% - 강조색1 4" xfId="43023" hidden="1"/>
    <cellStyle name="40% - 강조색1 4" xfId="43065" hidden="1"/>
    <cellStyle name="40% - 강조색1 4" xfId="43107" hidden="1"/>
    <cellStyle name="40% - 강조색1 4" xfId="43149" hidden="1"/>
    <cellStyle name="40% - 강조색1 4" xfId="43191" hidden="1"/>
    <cellStyle name="40% - 강조색1 4" xfId="43233" hidden="1"/>
    <cellStyle name="40% - 강조색1 4" xfId="42729" hidden="1"/>
    <cellStyle name="40% - 강조색1 4" xfId="43412" hidden="1"/>
    <cellStyle name="40% - 강조색1 4" xfId="43452" hidden="1"/>
    <cellStyle name="40% - 강조색1 4" xfId="43492" hidden="1"/>
    <cellStyle name="40% - 강조색1 4" xfId="43532" hidden="1"/>
    <cellStyle name="40% - 강조색1 4" xfId="43572" hidden="1"/>
    <cellStyle name="40% - 강조색1 4" xfId="43612" hidden="1"/>
    <cellStyle name="40% - 강조색1 4" xfId="43652" hidden="1"/>
    <cellStyle name="40% - 강조색1 4" xfId="43692" hidden="1"/>
    <cellStyle name="40% - 강조색1 4" xfId="43732" hidden="1"/>
    <cellStyle name="40% - 강조색1 4" xfId="43772" hidden="1"/>
    <cellStyle name="40% - 강조색1 4" xfId="43812" hidden="1"/>
    <cellStyle name="40% - 강조색1 4" xfId="43852" hidden="1"/>
    <cellStyle name="40% - 강조색1 4" xfId="43318" hidden="1"/>
    <cellStyle name="40% - 강조색1 4" xfId="43279" hidden="1"/>
    <cellStyle name="40% - 강조색1 4" xfId="43894" hidden="1"/>
    <cellStyle name="40% - 강조색1 4" xfId="43936" hidden="1"/>
    <cellStyle name="40% - 강조색1 4" xfId="43978" hidden="1"/>
    <cellStyle name="40% - 강조색1 4" xfId="44020" hidden="1"/>
    <cellStyle name="40% - 강조색1 4" xfId="44062" hidden="1"/>
    <cellStyle name="40% - 강조색1 4" xfId="44104" hidden="1"/>
    <cellStyle name="40% - 강조색1 4" xfId="44146" hidden="1"/>
    <cellStyle name="40% - 강조색1 4" xfId="44188" hidden="1"/>
    <cellStyle name="40% - 강조색1 4" xfId="44230" hidden="1"/>
    <cellStyle name="40% - 강조색1 4" xfId="44272" hidden="1"/>
    <cellStyle name="40% - 강조색1 4" xfId="43371" hidden="1"/>
    <cellStyle name="40% - 강조색1 4" xfId="44300" hidden="1"/>
    <cellStyle name="40% - 강조색1 4" xfId="44340" hidden="1"/>
    <cellStyle name="40% - 강조색1 4" xfId="44380" hidden="1"/>
    <cellStyle name="40% - 강조색1 4" xfId="44420" hidden="1"/>
    <cellStyle name="40% - 강조색1 4" xfId="44460" hidden="1"/>
    <cellStyle name="40% - 강조색1 4" xfId="44500" hidden="1"/>
    <cellStyle name="40% - 강조색1 4" xfId="44540" hidden="1"/>
    <cellStyle name="40% - 강조색1 4" xfId="44580" hidden="1"/>
    <cellStyle name="40% - 강조색1 4" xfId="44620" hidden="1"/>
    <cellStyle name="40% - 강조색1 4" xfId="44660" hidden="1"/>
    <cellStyle name="40% - 강조색1 4" xfId="44700" hidden="1"/>
    <cellStyle name="40% - 강조색1 4" xfId="44740" hidden="1"/>
    <cellStyle name="40% - 강조색1 4" xfId="44836" hidden="1"/>
    <cellStyle name="40% - 강조색1 4" xfId="44876" hidden="1"/>
    <cellStyle name="40% - 강조색1 4" xfId="44918" hidden="1"/>
    <cellStyle name="40% - 강조색1 4" xfId="44959" hidden="1"/>
    <cellStyle name="40% - 강조색1 4" xfId="44999" hidden="1"/>
    <cellStyle name="40% - 강조색1 4" xfId="45039" hidden="1"/>
    <cellStyle name="40% - 강조색1 4" xfId="45079" hidden="1"/>
    <cellStyle name="40% - 강조색1 4" xfId="45119" hidden="1"/>
    <cellStyle name="40% - 강조색1 4" xfId="45159" hidden="1"/>
    <cellStyle name="40% - 강조색1 4" xfId="45199" hidden="1"/>
    <cellStyle name="40% - 강조색1 4" xfId="45239" hidden="1"/>
    <cellStyle name="40% - 강조색1 4" xfId="45279" hidden="1"/>
    <cellStyle name="40% - 강조색1 4" xfId="45363" hidden="1"/>
    <cellStyle name="40% - 강조색1 4" xfId="45404" hidden="1"/>
    <cellStyle name="40% - 강조색1 4" xfId="45446" hidden="1"/>
    <cellStyle name="40% - 강조색1 4" xfId="45488" hidden="1"/>
    <cellStyle name="40% - 강조색1 4" xfId="45530" hidden="1"/>
    <cellStyle name="40% - 강조색1 4" xfId="45572" hidden="1"/>
    <cellStyle name="40% - 강조색1 4" xfId="45614" hidden="1"/>
    <cellStyle name="40% - 강조색1 4" xfId="45656" hidden="1"/>
    <cellStyle name="40% - 강조색1 4" xfId="45698" hidden="1"/>
    <cellStyle name="40% - 강조색1 4" xfId="45740" hidden="1"/>
    <cellStyle name="40% - 강조색1 4" xfId="45782" hidden="1"/>
    <cellStyle name="40% - 강조색1 4" xfId="45824" hidden="1"/>
    <cellStyle name="40% - 강조색1 4" xfId="45320" hidden="1"/>
    <cellStyle name="40% - 강조색1 4" xfId="46003" hidden="1"/>
    <cellStyle name="40% - 강조색1 4" xfId="46043" hidden="1"/>
    <cellStyle name="40% - 강조색1 4" xfId="46083" hidden="1"/>
    <cellStyle name="40% - 강조색1 4" xfId="46123" hidden="1"/>
    <cellStyle name="40% - 강조색1 4" xfId="46163" hidden="1"/>
    <cellStyle name="40% - 강조색1 4" xfId="46203" hidden="1"/>
    <cellStyle name="40% - 강조색1 4" xfId="46243" hidden="1"/>
    <cellStyle name="40% - 강조색1 4" xfId="46283" hidden="1"/>
    <cellStyle name="40% - 강조색1 4" xfId="46323" hidden="1"/>
    <cellStyle name="40% - 강조색1 4" xfId="46363" hidden="1"/>
    <cellStyle name="40% - 강조색1 4" xfId="46403" hidden="1"/>
    <cellStyle name="40% - 강조색1 4" xfId="46443" hidden="1"/>
    <cellStyle name="40% - 강조색1 4" xfId="45909" hidden="1"/>
    <cellStyle name="40% - 강조색1 4" xfId="45870" hidden="1"/>
    <cellStyle name="40% - 강조색1 4" xfId="46485" hidden="1"/>
    <cellStyle name="40% - 강조색1 4" xfId="46527" hidden="1"/>
    <cellStyle name="40% - 강조색1 4" xfId="46569" hidden="1"/>
    <cellStyle name="40% - 강조색1 4" xfId="46611" hidden="1"/>
    <cellStyle name="40% - 강조색1 4" xfId="46653" hidden="1"/>
    <cellStyle name="40% - 강조색1 4" xfId="46695" hidden="1"/>
    <cellStyle name="40% - 강조색1 4" xfId="46737" hidden="1"/>
    <cellStyle name="40% - 강조색1 4" xfId="46779" hidden="1"/>
    <cellStyle name="40% - 강조색1 4" xfId="46821" hidden="1"/>
    <cellStyle name="40% - 강조색1 4" xfId="46863" hidden="1"/>
    <cellStyle name="40% - 강조색1 4" xfId="45962" hidden="1"/>
    <cellStyle name="40% - 강조색1 4" xfId="46891" hidden="1"/>
    <cellStyle name="40% - 강조색1 4" xfId="46931" hidden="1"/>
    <cellStyle name="40% - 강조색1 4" xfId="46971" hidden="1"/>
    <cellStyle name="40% - 강조색1 4" xfId="47011" hidden="1"/>
    <cellStyle name="40% - 강조색1 4" xfId="47051" hidden="1"/>
    <cellStyle name="40% - 강조색1 4" xfId="47091" hidden="1"/>
    <cellStyle name="40% - 강조색1 4" xfId="47131" hidden="1"/>
    <cellStyle name="40% - 강조색1 4" xfId="47171" hidden="1"/>
    <cellStyle name="40% - 강조색1 4" xfId="47211" hidden="1"/>
    <cellStyle name="40% - 강조색1 4" xfId="47251" hidden="1"/>
    <cellStyle name="40% - 강조색1 4" xfId="47291" hidden="1"/>
    <cellStyle name="40% - 강조색1 4" xfId="47331" hidden="1"/>
    <cellStyle name="40% - 강조색1 4" xfId="42227" hidden="1"/>
    <cellStyle name="40% - 강조색1 4" xfId="47382" hidden="1"/>
    <cellStyle name="40% - 강조색1 4" xfId="47422" hidden="1"/>
    <cellStyle name="40% - 강조색1 4" xfId="47462" hidden="1"/>
    <cellStyle name="40% - 강조색1 4" xfId="47502" hidden="1"/>
    <cellStyle name="40% - 강조색1 4" xfId="47542" hidden="1"/>
    <cellStyle name="40% - 강조색1 4" xfId="47582" hidden="1"/>
    <cellStyle name="40% - 강조색1 4" xfId="47622" hidden="1"/>
    <cellStyle name="40% - 강조색1 4" xfId="47662" hidden="1"/>
    <cellStyle name="40% - 강조색1 4" xfId="47702" hidden="1"/>
    <cellStyle name="40% - 강조색1 4" xfId="47742" hidden="1"/>
    <cellStyle name="40% - 강조색1 4" xfId="47782" hidden="1"/>
    <cellStyle name="40% - 강조색1 4" xfId="47866" hidden="1"/>
    <cellStyle name="40% - 강조색1 4" xfId="47907" hidden="1"/>
    <cellStyle name="40% - 강조색1 4" xfId="47949" hidden="1"/>
    <cellStyle name="40% - 강조색1 4" xfId="47991" hidden="1"/>
    <cellStyle name="40% - 강조색1 4" xfId="48033" hidden="1"/>
    <cellStyle name="40% - 강조색1 4" xfId="48075" hidden="1"/>
    <cellStyle name="40% - 강조색1 4" xfId="48117" hidden="1"/>
    <cellStyle name="40% - 강조색1 4" xfId="48159" hidden="1"/>
    <cellStyle name="40% - 강조색1 4" xfId="48201" hidden="1"/>
    <cellStyle name="40% - 강조색1 4" xfId="48243" hidden="1"/>
    <cellStyle name="40% - 강조색1 4" xfId="48285" hidden="1"/>
    <cellStyle name="40% - 강조색1 4" xfId="48327" hidden="1"/>
    <cellStyle name="40% - 강조색1 4" xfId="47823" hidden="1"/>
    <cellStyle name="40% - 강조색1 4" xfId="48506" hidden="1"/>
    <cellStyle name="40% - 강조색1 4" xfId="48546" hidden="1"/>
    <cellStyle name="40% - 강조색1 4" xfId="48586" hidden="1"/>
    <cellStyle name="40% - 강조색1 4" xfId="48626" hidden="1"/>
    <cellStyle name="40% - 강조색1 4" xfId="48666" hidden="1"/>
    <cellStyle name="40% - 강조색1 4" xfId="48706" hidden="1"/>
    <cellStyle name="40% - 강조색1 4" xfId="48746" hidden="1"/>
    <cellStyle name="40% - 강조색1 4" xfId="48786" hidden="1"/>
    <cellStyle name="40% - 강조색1 4" xfId="48826" hidden="1"/>
    <cellStyle name="40% - 강조색1 4" xfId="48866" hidden="1"/>
    <cellStyle name="40% - 강조색1 4" xfId="48906" hidden="1"/>
    <cellStyle name="40% - 강조색1 4" xfId="48946" hidden="1"/>
    <cellStyle name="40% - 강조색1 4" xfId="48412" hidden="1"/>
    <cellStyle name="40% - 강조색1 4" xfId="48373" hidden="1"/>
    <cellStyle name="40% - 강조색1 4" xfId="48988" hidden="1"/>
    <cellStyle name="40% - 강조색1 4" xfId="49030" hidden="1"/>
    <cellStyle name="40% - 강조색1 4" xfId="49072" hidden="1"/>
    <cellStyle name="40% - 강조색1 4" xfId="49114" hidden="1"/>
    <cellStyle name="40% - 강조색1 4" xfId="49156" hidden="1"/>
    <cellStyle name="40% - 강조색1 4" xfId="49198" hidden="1"/>
    <cellStyle name="40% - 강조색1 4" xfId="49240" hidden="1"/>
    <cellStyle name="40% - 강조색1 4" xfId="49282" hidden="1"/>
    <cellStyle name="40% - 강조색1 4" xfId="49324" hidden="1"/>
    <cellStyle name="40% - 강조색1 4" xfId="49366" hidden="1"/>
    <cellStyle name="40% - 강조색1 4" xfId="48465" hidden="1"/>
    <cellStyle name="40% - 강조색1 4" xfId="49394" hidden="1"/>
    <cellStyle name="40% - 강조색1 4" xfId="49434" hidden="1"/>
    <cellStyle name="40% - 강조색1 4" xfId="49474" hidden="1"/>
    <cellStyle name="40% - 강조색1 4" xfId="49514" hidden="1"/>
    <cellStyle name="40% - 강조색1 4" xfId="49554" hidden="1"/>
    <cellStyle name="40% - 강조색1 4" xfId="49594" hidden="1"/>
    <cellStyle name="40% - 강조색1 4" xfId="49634" hidden="1"/>
    <cellStyle name="40% - 강조색1 4" xfId="49674" hidden="1"/>
    <cellStyle name="40% - 강조색1 4" xfId="49714" hidden="1"/>
    <cellStyle name="40% - 강조색1 4" xfId="49754" hidden="1"/>
    <cellStyle name="40% - 강조색1 4" xfId="49794" hidden="1"/>
    <cellStyle name="40% - 강조색1 4" xfId="49834" hidden="1"/>
    <cellStyle name="40% - 강조색1 4" xfId="44807" hidden="1"/>
    <cellStyle name="40% - 강조색1 4" xfId="49884" hidden="1"/>
    <cellStyle name="40% - 강조색1 4" xfId="49924" hidden="1"/>
    <cellStyle name="40% - 강조색1 4" xfId="49964" hidden="1"/>
    <cellStyle name="40% - 강조색1 4" xfId="50004" hidden="1"/>
    <cellStyle name="40% - 강조색1 4" xfId="50044" hidden="1"/>
    <cellStyle name="40% - 강조색1 4" xfId="50084" hidden="1"/>
    <cellStyle name="40% - 강조색1 4" xfId="50124" hidden="1"/>
    <cellStyle name="40% - 강조색1 4" xfId="50164" hidden="1"/>
    <cellStyle name="40% - 강조색1 4" xfId="50204" hidden="1"/>
    <cellStyle name="40% - 강조색1 4" xfId="50244" hidden="1"/>
    <cellStyle name="40% - 강조색1 4" xfId="50284" hidden="1"/>
    <cellStyle name="40% - 강조색1 4" xfId="50368" hidden="1"/>
    <cellStyle name="40% - 강조색1 4" xfId="50409" hidden="1"/>
    <cellStyle name="40% - 강조색1 4" xfId="50451" hidden="1"/>
    <cellStyle name="40% - 강조색1 4" xfId="50493" hidden="1"/>
    <cellStyle name="40% - 강조색1 4" xfId="50535" hidden="1"/>
    <cellStyle name="40% - 강조색1 4" xfId="50577" hidden="1"/>
    <cellStyle name="40% - 강조색1 4" xfId="50619" hidden="1"/>
    <cellStyle name="40% - 강조색1 4" xfId="50661" hidden="1"/>
    <cellStyle name="40% - 강조색1 4" xfId="50703" hidden="1"/>
    <cellStyle name="40% - 강조색1 4" xfId="50745" hidden="1"/>
    <cellStyle name="40% - 강조색1 4" xfId="50787" hidden="1"/>
    <cellStyle name="40% - 강조색1 4" xfId="50829" hidden="1"/>
    <cellStyle name="40% - 강조색1 4" xfId="50325" hidden="1"/>
    <cellStyle name="40% - 강조색1 4" xfId="51008" hidden="1"/>
    <cellStyle name="40% - 강조색1 4" xfId="51048" hidden="1"/>
    <cellStyle name="40% - 강조색1 4" xfId="51088" hidden="1"/>
    <cellStyle name="40% - 강조색1 4" xfId="51128" hidden="1"/>
    <cellStyle name="40% - 강조색1 4" xfId="51168" hidden="1"/>
    <cellStyle name="40% - 강조색1 4" xfId="51208" hidden="1"/>
    <cellStyle name="40% - 강조색1 4" xfId="51248" hidden="1"/>
    <cellStyle name="40% - 강조색1 4" xfId="51288" hidden="1"/>
    <cellStyle name="40% - 강조색1 4" xfId="51328" hidden="1"/>
    <cellStyle name="40% - 강조색1 4" xfId="51368" hidden="1"/>
    <cellStyle name="40% - 강조색1 4" xfId="51408" hidden="1"/>
    <cellStyle name="40% - 강조색1 4" xfId="51448" hidden="1"/>
    <cellStyle name="40% - 강조색1 4" xfId="50914" hidden="1"/>
    <cellStyle name="40% - 강조색1 4" xfId="50875" hidden="1"/>
    <cellStyle name="40% - 강조색1 4" xfId="51490" hidden="1"/>
    <cellStyle name="40% - 강조색1 4" xfId="51532" hidden="1"/>
    <cellStyle name="40% - 강조색1 4" xfId="51574" hidden="1"/>
    <cellStyle name="40% - 강조색1 4" xfId="51616" hidden="1"/>
    <cellStyle name="40% - 강조색1 4" xfId="51658" hidden="1"/>
    <cellStyle name="40% - 강조색1 4" xfId="51700" hidden="1"/>
    <cellStyle name="40% - 강조색1 4" xfId="51742" hidden="1"/>
    <cellStyle name="40% - 강조색1 4" xfId="51784" hidden="1"/>
    <cellStyle name="40% - 강조색1 4" xfId="51826" hidden="1"/>
    <cellStyle name="40% - 강조색1 4" xfId="51868" hidden="1"/>
    <cellStyle name="40% - 강조색1 4" xfId="50967" hidden="1"/>
    <cellStyle name="40% - 강조색1 4" xfId="51896" hidden="1"/>
    <cellStyle name="40% - 강조색1 4" xfId="51936" hidden="1"/>
    <cellStyle name="40% - 강조색1 4" xfId="51976" hidden="1"/>
    <cellStyle name="40% - 강조색1 4" xfId="52016" hidden="1"/>
    <cellStyle name="40% - 강조색1 4" xfId="52056" hidden="1"/>
    <cellStyle name="40% - 강조색1 4" xfId="52096" hidden="1"/>
    <cellStyle name="40% - 강조색1 4" xfId="52136" hidden="1"/>
    <cellStyle name="40% - 강조색1 4" xfId="52176" hidden="1"/>
    <cellStyle name="40% - 강조색1 4" xfId="52216" hidden="1"/>
    <cellStyle name="40% - 강조색1 4" xfId="52256" hidden="1"/>
    <cellStyle name="40% - 강조색1 4" xfId="52296" hidden="1"/>
    <cellStyle name="40% - 강조색1 4" xfId="52336" hidden="1"/>
    <cellStyle name="40% - 강조색1 4 2" xfId="1697"/>
    <cellStyle name="40% - 강조색1 4 3" xfId="1698"/>
    <cellStyle name="40% - 강조색1 4 4" xfId="1699"/>
    <cellStyle name="40% - 강조색1 4 5" xfId="1700"/>
    <cellStyle name="40% - 강조색1 40" xfId="1701"/>
    <cellStyle name="40% - 강조색1 41" xfId="1702"/>
    <cellStyle name="40% - 강조색1 42" xfId="1703"/>
    <cellStyle name="40% - 강조색1 43" xfId="1704"/>
    <cellStyle name="40% - 강조색1 44" xfId="1705"/>
    <cellStyle name="40% - 강조색1 45" xfId="1706"/>
    <cellStyle name="40% - 강조색1 46" xfId="1707"/>
    <cellStyle name="40% - 강조색1 47" xfId="1708"/>
    <cellStyle name="40% - 강조색1 48" xfId="1709"/>
    <cellStyle name="40% - 강조색1 49" xfId="1710"/>
    <cellStyle name="40% - 강조색1 5" xfId="1711"/>
    <cellStyle name="40% - 강조색1 50" xfId="1712"/>
    <cellStyle name="40% - 강조색1 51" xfId="1713"/>
    <cellStyle name="40% - 강조색1 52" xfId="1714"/>
    <cellStyle name="40% - 강조색1 6" xfId="1715"/>
    <cellStyle name="40% - 강조색1 7" xfId="1716"/>
    <cellStyle name="40% - 강조색1 8" xfId="1717"/>
    <cellStyle name="40% - 강조색1 9" xfId="1718"/>
    <cellStyle name="40% - 강조색2 10" xfId="1719"/>
    <cellStyle name="40% - 강조색2 11" xfId="1720"/>
    <cellStyle name="40% - 강조색2 12" xfId="1721"/>
    <cellStyle name="40% - 강조색2 13" xfId="1722"/>
    <cellStyle name="40% - 강조색2 14" xfId="1723"/>
    <cellStyle name="40% - 강조색2 15" xfId="1724"/>
    <cellStyle name="40% - 강조색2 16" xfId="1725"/>
    <cellStyle name="40% - 강조색2 17" xfId="1726"/>
    <cellStyle name="40% - 강조색2 18" xfId="1727"/>
    <cellStyle name="40% - 강조색2 19" xfId="1728"/>
    <cellStyle name="40% - 강조색2 2" xfId="119"/>
    <cellStyle name="40% - 강조색2 2 10" xfId="1729"/>
    <cellStyle name="40% - 강조색2 2 100" xfId="1730"/>
    <cellStyle name="40% - 강조색2 2 101" xfId="1731"/>
    <cellStyle name="40% - 강조색2 2 102" xfId="1732"/>
    <cellStyle name="40% - 강조색2 2 103" xfId="1733"/>
    <cellStyle name="40% - 강조색2 2 104" xfId="1734"/>
    <cellStyle name="40% - 강조색2 2 105" xfId="1735"/>
    <cellStyle name="40% - 강조색2 2 106" xfId="1736"/>
    <cellStyle name="40% - 강조색2 2 107" xfId="1737"/>
    <cellStyle name="40% - 강조색2 2 108" xfId="1738"/>
    <cellStyle name="40% - 강조색2 2 109" xfId="1739"/>
    <cellStyle name="40% - 강조색2 2 11" xfId="1740"/>
    <cellStyle name="40% - 강조색2 2 110" xfId="1741"/>
    <cellStyle name="40% - 강조색2 2 111" xfId="1742"/>
    <cellStyle name="40% - 강조색2 2 112" xfId="1743"/>
    <cellStyle name="40% - 강조색2 2 12" xfId="1744"/>
    <cellStyle name="40% - 강조색2 2 13" xfId="1745"/>
    <cellStyle name="40% - 강조색2 2 14" xfId="1746"/>
    <cellStyle name="40% - 강조색2 2 15" xfId="1747"/>
    <cellStyle name="40% - 강조색2 2 16" xfId="1748"/>
    <cellStyle name="40% - 강조색2 2 17" xfId="1749"/>
    <cellStyle name="40% - 강조색2 2 18" xfId="1750"/>
    <cellStyle name="40% - 강조색2 2 19" xfId="1751"/>
    <cellStyle name="40% - 강조색2 2 2" xfId="120"/>
    <cellStyle name="40% - 강조색2 2 2 10" xfId="1752"/>
    <cellStyle name="40% - 강조색2 2 2 11" xfId="1753"/>
    <cellStyle name="40% - 강조색2 2 2 12" xfId="1754"/>
    <cellStyle name="40% - 강조색2 2 2 13" xfId="1755"/>
    <cellStyle name="40% - 강조색2 2 2 14" xfId="1756"/>
    <cellStyle name="40% - 강조색2 2 2 15" xfId="1757"/>
    <cellStyle name="40% - 강조색2 2 2 2" xfId="1758"/>
    <cellStyle name="40% - 강조색2 2 2 2 2" xfId="1759"/>
    <cellStyle name="40% - 강조색2 2 2 2 3" xfId="1760"/>
    <cellStyle name="40% - 강조색2 2 2 2 4" xfId="1761"/>
    <cellStyle name="40% - 강조색2 2 2 2 5" xfId="1762"/>
    <cellStyle name="40% - 강조색2 2 2 3" xfId="1763"/>
    <cellStyle name="40% - 강조색2 2 2 4" xfId="1764"/>
    <cellStyle name="40% - 강조색2 2 2 5" xfId="1765"/>
    <cellStyle name="40% - 강조색2 2 2 6" xfId="1766"/>
    <cellStyle name="40% - 강조색2 2 2 7" xfId="1767"/>
    <cellStyle name="40% - 강조색2 2 2 8" xfId="1768"/>
    <cellStyle name="40% - 강조색2 2 2 9" xfId="1769"/>
    <cellStyle name="40% - 강조색2 2 20" xfId="1770"/>
    <cellStyle name="40% - 강조색2 2 21" xfId="1771"/>
    <cellStyle name="40% - 강조색2 2 22" xfId="1772"/>
    <cellStyle name="40% - 강조색2 2 23" xfId="1773"/>
    <cellStyle name="40% - 강조색2 2 24" xfId="1774"/>
    <cellStyle name="40% - 강조색2 2 25" xfId="1775"/>
    <cellStyle name="40% - 강조색2 2 26" xfId="1776"/>
    <cellStyle name="40% - 강조색2 2 27" xfId="1777"/>
    <cellStyle name="40% - 강조색2 2 28" xfId="1778"/>
    <cellStyle name="40% - 강조색2 2 29" xfId="1779"/>
    <cellStyle name="40% - 강조색2 2 3" xfId="1780"/>
    <cellStyle name="40% - 강조색2 2 3 2" xfId="1781"/>
    <cellStyle name="40% - 강조색2 2 3 3" xfId="1782"/>
    <cellStyle name="40% - 강조색2 2 3 4" xfId="1783"/>
    <cellStyle name="40% - 강조색2 2 3 5" xfId="1784"/>
    <cellStyle name="40% - 강조색2 2 30" xfId="1785"/>
    <cellStyle name="40% - 강조색2 2 31" xfId="1786"/>
    <cellStyle name="40% - 강조색2 2 32" xfId="1787"/>
    <cellStyle name="40% - 강조색2 2 33" xfId="1788"/>
    <cellStyle name="40% - 강조색2 2 34" xfId="1789"/>
    <cellStyle name="40% - 강조색2 2 35" xfId="1790"/>
    <cellStyle name="40% - 강조색2 2 36" xfId="1791"/>
    <cellStyle name="40% - 강조색2 2 37" xfId="1792"/>
    <cellStyle name="40% - 강조색2 2 38" xfId="1793"/>
    <cellStyle name="40% - 강조색2 2 39" xfId="1794"/>
    <cellStyle name="40% - 강조색2 2 4" xfId="1795"/>
    <cellStyle name="40% - 강조색2 2 40" xfId="1796"/>
    <cellStyle name="40% - 강조색2 2 41" xfId="1797"/>
    <cellStyle name="40% - 강조색2 2 42" xfId="1798"/>
    <cellStyle name="40% - 강조색2 2 43" xfId="1799"/>
    <cellStyle name="40% - 강조색2 2 44" xfId="1800"/>
    <cellStyle name="40% - 강조색2 2 45" xfId="1801"/>
    <cellStyle name="40% - 강조색2 2 46" xfId="1802"/>
    <cellStyle name="40% - 강조색2 2 47" xfId="1803"/>
    <cellStyle name="40% - 강조색2 2 48" xfId="1804"/>
    <cellStyle name="40% - 강조색2 2 49" xfId="1805"/>
    <cellStyle name="40% - 강조색2 2 5" xfId="1806"/>
    <cellStyle name="40% - 강조색2 2 50" xfId="1807"/>
    <cellStyle name="40% - 강조색2 2 51" xfId="1808"/>
    <cellStyle name="40% - 강조색2 2 52" xfId="1809"/>
    <cellStyle name="40% - 강조색2 2 53" xfId="1810"/>
    <cellStyle name="40% - 강조색2 2 54" xfId="1811"/>
    <cellStyle name="40% - 강조색2 2 55" xfId="1812"/>
    <cellStyle name="40% - 강조색2 2 56" xfId="1813"/>
    <cellStyle name="40% - 강조색2 2 57" xfId="1814"/>
    <cellStyle name="40% - 강조색2 2 58" xfId="1815"/>
    <cellStyle name="40% - 강조색2 2 59" xfId="1816"/>
    <cellStyle name="40% - 강조색2 2 6" xfId="1817"/>
    <cellStyle name="40% - 강조색2 2 60" xfId="1818"/>
    <cellStyle name="40% - 강조색2 2 61" xfId="1819"/>
    <cellStyle name="40% - 강조색2 2 62" xfId="1820"/>
    <cellStyle name="40% - 강조색2 2 63" xfId="1821"/>
    <cellStyle name="40% - 강조색2 2 64" xfId="1822"/>
    <cellStyle name="40% - 강조색2 2 65" xfId="1823"/>
    <cellStyle name="40% - 강조색2 2 66" xfId="1824"/>
    <cellStyle name="40% - 강조색2 2 67" xfId="1825"/>
    <cellStyle name="40% - 강조색2 2 68" xfId="1826"/>
    <cellStyle name="40% - 강조색2 2 69" xfId="1827"/>
    <cellStyle name="40% - 강조색2 2 7" xfId="1828"/>
    <cellStyle name="40% - 강조색2 2 70" xfId="1829"/>
    <cellStyle name="40% - 강조색2 2 71" xfId="1830"/>
    <cellStyle name="40% - 강조색2 2 72" xfId="1831"/>
    <cellStyle name="40% - 강조색2 2 73" xfId="1832"/>
    <cellStyle name="40% - 강조색2 2 74" xfId="1833"/>
    <cellStyle name="40% - 강조색2 2 75" xfId="1834"/>
    <cellStyle name="40% - 강조색2 2 76" xfId="1835"/>
    <cellStyle name="40% - 강조색2 2 77" xfId="1836"/>
    <cellStyle name="40% - 강조색2 2 78" xfId="1837"/>
    <cellStyle name="40% - 강조색2 2 79" xfId="1838"/>
    <cellStyle name="40% - 강조색2 2 8" xfId="1839"/>
    <cellStyle name="40% - 강조색2 2 80" xfId="1840"/>
    <cellStyle name="40% - 강조색2 2 81" xfId="1841"/>
    <cellStyle name="40% - 강조색2 2 82" xfId="1842"/>
    <cellStyle name="40% - 강조색2 2 83" xfId="1843"/>
    <cellStyle name="40% - 강조색2 2 84" xfId="1844"/>
    <cellStyle name="40% - 강조색2 2 85" xfId="1845"/>
    <cellStyle name="40% - 강조색2 2 86" xfId="1846"/>
    <cellStyle name="40% - 강조색2 2 87" xfId="1847"/>
    <cellStyle name="40% - 강조색2 2 88" xfId="1848"/>
    <cellStyle name="40% - 강조색2 2 89" xfId="1849"/>
    <cellStyle name="40% - 강조색2 2 9" xfId="1850"/>
    <cellStyle name="40% - 강조색2 2 90" xfId="1851"/>
    <cellStyle name="40% - 강조색2 2 91" xfId="1852"/>
    <cellStyle name="40% - 강조색2 2 92" xfId="1853"/>
    <cellStyle name="40% - 강조색2 2 93" xfId="1854"/>
    <cellStyle name="40% - 강조색2 2 94" xfId="1855"/>
    <cellStyle name="40% - 강조색2 2 95" xfId="1856"/>
    <cellStyle name="40% - 강조색2 2 96" xfId="1857"/>
    <cellStyle name="40% - 강조색2 2 97" xfId="1858"/>
    <cellStyle name="40% - 강조색2 2 98" xfId="1859"/>
    <cellStyle name="40% - 강조색2 2 99" xfId="1860"/>
    <cellStyle name="40% - 강조색2 20" xfId="1861"/>
    <cellStyle name="40% - 강조색2 21" xfId="1862"/>
    <cellStyle name="40% - 강조색2 22" xfId="1863"/>
    <cellStyle name="40% - 강조색2 23" xfId="1864"/>
    <cellStyle name="40% - 강조색2 24" xfId="1865"/>
    <cellStyle name="40% - 강조색2 25" xfId="1866"/>
    <cellStyle name="40% - 강조색2 26" xfId="1867"/>
    <cellStyle name="40% - 강조색2 27" xfId="1868"/>
    <cellStyle name="40% - 강조색2 28" xfId="1869"/>
    <cellStyle name="40% - 강조색2 29" xfId="1870"/>
    <cellStyle name="40% - 강조색2 3" xfId="121"/>
    <cellStyle name="40% - 강조색2 30" xfId="1871"/>
    <cellStyle name="40% - 강조색2 31" xfId="1872"/>
    <cellStyle name="40% - 강조색2 32" xfId="1873"/>
    <cellStyle name="40% - 강조색2 33" xfId="1874"/>
    <cellStyle name="40% - 강조색2 34" xfId="1875"/>
    <cellStyle name="40% - 강조색2 35" xfId="1876"/>
    <cellStyle name="40% - 강조색2 36" xfId="1877"/>
    <cellStyle name="40% - 강조색2 37" xfId="1878"/>
    <cellStyle name="40% - 강조색2 38" xfId="1879"/>
    <cellStyle name="40% - 강조색2 39" xfId="1880"/>
    <cellStyle name="40% - 강조색2 4" xfId="11730" hidden="1"/>
    <cellStyle name="40% - 강조색2 4" xfId="11776" hidden="1"/>
    <cellStyle name="40% - 강조색2 4" xfId="11822" hidden="1"/>
    <cellStyle name="40% - 강조색2 4" xfId="11868" hidden="1"/>
    <cellStyle name="40% - 강조색2 4" xfId="11914" hidden="1"/>
    <cellStyle name="40% - 강조색2 4" xfId="11960" hidden="1"/>
    <cellStyle name="40% - 강조색2 4" xfId="12006" hidden="1"/>
    <cellStyle name="40% - 강조색2 4" xfId="12052" hidden="1"/>
    <cellStyle name="40% - 강조색2 4" xfId="12098" hidden="1"/>
    <cellStyle name="40% - 강조색2 4" xfId="12144" hidden="1"/>
    <cellStyle name="40% - 강조색2 4" xfId="12190" hidden="1"/>
    <cellStyle name="40% - 강조색2 4" xfId="12236" hidden="1"/>
    <cellStyle name="40% - 강조색2 4" xfId="12326" hidden="1"/>
    <cellStyle name="40% - 강조색2 4" xfId="12367" hidden="1"/>
    <cellStyle name="40% - 강조색2 4" xfId="12409" hidden="1"/>
    <cellStyle name="40% - 강조색2 4" xfId="12451" hidden="1"/>
    <cellStyle name="40% - 강조색2 4" xfId="12493" hidden="1"/>
    <cellStyle name="40% - 강조색2 4" xfId="12535" hidden="1"/>
    <cellStyle name="40% - 강조색2 4" xfId="12577" hidden="1"/>
    <cellStyle name="40% - 강조색2 4" xfId="12619" hidden="1"/>
    <cellStyle name="40% - 강조색2 4" xfId="12661" hidden="1"/>
    <cellStyle name="40% - 강조색2 4" xfId="12703" hidden="1"/>
    <cellStyle name="40% - 강조색2 4" xfId="12745" hidden="1"/>
    <cellStyle name="40% - 강조색2 4" xfId="12787" hidden="1"/>
    <cellStyle name="40% - 강조색2 4" xfId="12281" hidden="1"/>
    <cellStyle name="40% - 강조색2 4" xfId="12969" hidden="1"/>
    <cellStyle name="40% - 강조색2 4" xfId="13009" hidden="1"/>
    <cellStyle name="40% - 강조색2 4" xfId="13049" hidden="1"/>
    <cellStyle name="40% - 강조색2 4" xfId="13089" hidden="1"/>
    <cellStyle name="40% - 강조색2 4" xfId="13129" hidden="1"/>
    <cellStyle name="40% - 강조색2 4" xfId="13169" hidden="1"/>
    <cellStyle name="40% - 강조색2 4" xfId="13209" hidden="1"/>
    <cellStyle name="40% - 강조색2 4" xfId="13249" hidden="1"/>
    <cellStyle name="40% - 강조색2 4" xfId="13289" hidden="1"/>
    <cellStyle name="40% - 강조색2 4" xfId="13329" hidden="1"/>
    <cellStyle name="40% - 강조색2 4" xfId="13369" hidden="1"/>
    <cellStyle name="40% - 강조색2 4" xfId="13409" hidden="1"/>
    <cellStyle name="40% - 강조색2 4" xfId="12865" hidden="1"/>
    <cellStyle name="40% - 강조색2 4" xfId="12826" hidden="1"/>
    <cellStyle name="40% - 강조색2 4" xfId="13451" hidden="1"/>
    <cellStyle name="40% - 강조색2 4" xfId="13493" hidden="1"/>
    <cellStyle name="40% - 강조색2 4" xfId="13535" hidden="1"/>
    <cellStyle name="40% - 강조색2 4" xfId="13577" hidden="1"/>
    <cellStyle name="40% - 강조색2 4" xfId="13619" hidden="1"/>
    <cellStyle name="40% - 강조색2 4" xfId="13661" hidden="1"/>
    <cellStyle name="40% - 강조색2 4" xfId="13703" hidden="1"/>
    <cellStyle name="40% - 강조색2 4" xfId="13745" hidden="1"/>
    <cellStyle name="40% - 강조색2 4" xfId="13787" hidden="1"/>
    <cellStyle name="40% - 강조색2 4" xfId="13829" hidden="1"/>
    <cellStyle name="40% - 강조색2 4" xfId="12919" hidden="1"/>
    <cellStyle name="40% - 강조색2 4" xfId="13857" hidden="1"/>
    <cellStyle name="40% - 강조색2 4" xfId="13897" hidden="1"/>
    <cellStyle name="40% - 강조색2 4" xfId="13937" hidden="1"/>
    <cellStyle name="40% - 강조색2 4" xfId="13977" hidden="1"/>
    <cellStyle name="40% - 강조색2 4" xfId="14017" hidden="1"/>
    <cellStyle name="40% - 강조색2 4" xfId="14057" hidden="1"/>
    <cellStyle name="40% - 강조색2 4" xfId="14097" hidden="1"/>
    <cellStyle name="40% - 강조색2 4" xfId="14137" hidden="1"/>
    <cellStyle name="40% - 강조색2 4" xfId="14177" hidden="1"/>
    <cellStyle name="40% - 강조색2 4" xfId="14217" hidden="1"/>
    <cellStyle name="40% - 강조색2 4" xfId="14257" hidden="1"/>
    <cellStyle name="40% - 강조색2 4" xfId="14297" hidden="1"/>
    <cellStyle name="40% - 강조색2 4" xfId="14403" hidden="1"/>
    <cellStyle name="40% - 강조색2 4" xfId="14443" hidden="1"/>
    <cellStyle name="40% - 강조색2 4" xfId="14483" hidden="1"/>
    <cellStyle name="40% - 강조색2 4" xfId="14523" hidden="1"/>
    <cellStyle name="40% - 강조색2 4" xfId="14563" hidden="1"/>
    <cellStyle name="40% - 강조색2 4" xfId="14603" hidden="1"/>
    <cellStyle name="40% - 강조색2 4" xfId="14643" hidden="1"/>
    <cellStyle name="40% - 강조색2 4" xfId="14683" hidden="1"/>
    <cellStyle name="40% - 강조색2 4" xfId="14723" hidden="1"/>
    <cellStyle name="40% - 강조색2 4" xfId="14763" hidden="1"/>
    <cellStyle name="40% - 강조색2 4" xfId="14803" hidden="1"/>
    <cellStyle name="40% - 강조색2 4" xfId="14843" hidden="1"/>
    <cellStyle name="40% - 강조색2 4" xfId="14927" hidden="1"/>
    <cellStyle name="40% - 강조색2 4" xfId="14968" hidden="1"/>
    <cellStyle name="40% - 강조색2 4" xfId="15010" hidden="1"/>
    <cellStyle name="40% - 강조색2 4" xfId="15052" hidden="1"/>
    <cellStyle name="40% - 강조색2 4" xfId="15094" hidden="1"/>
    <cellStyle name="40% - 강조색2 4" xfId="15136" hidden="1"/>
    <cellStyle name="40% - 강조색2 4" xfId="15178" hidden="1"/>
    <cellStyle name="40% - 강조색2 4" xfId="15220" hidden="1"/>
    <cellStyle name="40% - 강조색2 4" xfId="15262" hidden="1"/>
    <cellStyle name="40% - 강조색2 4" xfId="15304" hidden="1"/>
    <cellStyle name="40% - 강조색2 4" xfId="15346" hidden="1"/>
    <cellStyle name="40% - 강조색2 4" xfId="15388" hidden="1"/>
    <cellStyle name="40% - 강조색2 4" xfId="14884" hidden="1"/>
    <cellStyle name="40% - 강조색2 4" xfId="15567" hidden="1"/>
    <cellStyle name="40% - 강조색2 4" xfId="15607" hidden="1"/>
    <cellStyle name="40% - 강조색2 4" xfId="15647" hidden="1"/>
    <cellStyle name="40% - 강조색2 4" xfId="15687" hidden="1"/>
    <cellStyle name="40% - 강조색2 4" xfId="15727" hidden="1"/>
    <cellStyle name="40% - 강조색2 4" xfId="15767" hidden="1"/>
    <cellStyle name="40% - 강조색2 4" xfId="15807" hidden="1"/>
    <cellStyle name="40% - 강조색2 4" xfId="15847" hidden="1"/>
    <cellStyle name="40% - 강조색2 4" xfId="15887" hidden="1"/>
    <cellStyle name="40% - 강조색2 4" xfId="15927" hidden="1"/>
    <cellStyle name="40% - 강조색2 4" xfId="15967" hidden="1"/>
    <cellStyle name="40% - 강조색2 4" xfId="16007" hidden="1"/>
    <cellStyle name="40% - 강조색2 4" xfId="15465" hidden="1"/>
    <cellStyle name="40% - 강조색2 4" xfId="15426" hidden="1"/>
    <cellStyle name="40% - 강조색2 4" xfId="16049" hidden="1"/>
    <cellStyle name="40% - 강조색2 4" xfId="16091" hidden="1"/>
    <cellStyle name="40% - 강조색2 4" xfId="16133" hidden="1"/>
    <cellStyle name="40% - 강조색2 4" xfId="16175" hidden="1"/>
    <cellStyle name="40% - 강조색2 4" xfId="16217" hidden="1"/>
    <cellStyle name="40% - 강조색2 4" xfId="16259" hidden="1"/>
    <cellStyle name="40% - 강조색2 4" xfId="16301" hidden="1"/>
    <cellStyle name="40% - 강조색2 4" xfId="16343" hidden="1"/>
    <cellStyle name="40% - 강조색2 4" xfId="16385" hidden="1"/>
    <cellStyle name="40% - 강조색2 4" xfId="16427" hidden="1"/>
    <cellStyle name="40% - 강조색2 4" xfId="15518" hidden="1"/>
    <cellStyle name="40% - 강조색2 4" xfId="16455" hidden="1"/>
    <cellStyle name="40% - 강조색2 4" xfId="16495" hidden="1"/>
    <cellStyle name="40% - 강조색2 4" xfId="16535" hidden="1"/>
    <cellStyle name="40% - 강조색2 4" xfId="16575" hidden="1"/>
    <cellStyle name="40% - 강조색2 4" xfId="16615" hidden="1"/>
    <cellStyle name="40% - 강조색2 4" xfId="16655" hidden="1"/>
    <cellStyle name="40% - 강조색2 4" xfId="16695" hidden="1"/>
    <cellStyle name="40% - 강조색2 4" xfId="16735" hidden="1"/>
    <cellStyle name="40% - 강조색2 4" xfId="16775" hidden="1"/>
    <cellStyle name="40% - 강조색2 4" xfId="16815" hidden="1"/>
    <cellStyle name="40% - 강조색2 4" xfId="16855" hidden="1"/>
    <cellStyle name="40% - 강조색2 4" xfId="16895" hidden="1"/>
    <cellStyle name="40% - 강조색2 4" xfId="14322" hidden="1"/>
    <cellStyle name="40% - 강조색2 4" xfId="16946" hidden="1"/>
    <cellStyle name="40% - 강조색2 4" xfId="16987" hidden="1"/>
    <cellStyle name="40% - 강조색2 4" xfId="17027" hidden="1"/>
    <cellStyle name="40% - 강조색2 4" xfId="17067" hidden="1"/>
    <cellStyle name="40% - 강조색2 4" xfId="17107" hidden="1"/>
    <cellStyle name="40% - 강조색2 4" xfId="17147" hidden="1"/>
    <cellStyle name="40% - 강조색2 4" xfId="17187" hidden="1"/>
    <cellStyle name="40% - 강조색2 4" xfId="17227" hidden="1"/>
    <cellStyle name="40% - 강조색2 4" xfId="17267" hidden="1"/>
    <cellStyle name="40% - 강조색2 4" xfId="17307" hidden="1"/>
    <cellStyle name="40% - 강조색2 4" xfId="17347" hidden="1"/>
    <cellStyle name="40% - 강조색2 4" xfId="17431" hidden="1"/>
    <cellStyle name="40% - 강조색2 4" xfId="17472" hidden="1"/>
    <cellStyle name="40% - 강조색2 4" xfId="17514" hidden="1"/>
    <cellStyle name="40% - 강조색2 4" xfId="17556" hidden="1"/>
    <cellStyle name="40% - 강조색2 4" xfId="17598" hidden="1"/>
    <cellStyle name="40% - 강조색2 4" xfId="17640" hidden="1"/>
    <cellStyle name="40% - 강조색2 4" xfId="17682" hidden="1"/>
    <cellStyle name="40% - 강조색2 4" xfId="17724" hidden="1"/>
    <cellStyle name="40% - 강조색2 4" xfId="17766" hidden="1"/>
    <cellStyle name="40% - 강조색2 4" xfId="17808" hidden="1"/>
    <cellStyle name="40% - 강조색2 4" xfId="17850" hidden="1"/>
    <cellStyle name="40% - 강조색2 4" xfId="17892" hidden="1"/>
    <cellStyle name="40% - 강조색2 4" xfId="17388" hidden="1"/>
    <cellStyle name="40% - 강조색2 4" xfId="18071" hidden="1"/>
    <cellStyle name="40% - 강조색2 4" xfId="18111" hidden="1"/>
    <cellStyle name="40% - 강조색2 4" xfId="18151" hidden="1"/>
    <cellStyle name="40% - 강조색2 4" xfId="18191" hidden="1"/>
    <cellStyle name="40% - 강조색2 4" xfId="18231" hidden="1"/>
    <cellStyle name="40% - 강조색2 4" xfId="18271" hidden="1"/>
    <cellStyle name="40% - 강조색2 4" xfId="18311" hidden="1"/>
    <cellStyle name="40% - 강조색2 4" xfId="18351" hidden="1"/>
    <cellStyle name="40% - 강조색2 4" xfId="18391" hidden="1"/>
    <cellStyle name="40% - 강조색2 4" xfId="18431" hidden="1"/>
    <cellStyle name="40% - 강조색2 4" xfId="18471" hidden="1"/>
    <cellStyle name="40% - 강조색2 4" xfId="18511" hidden="1"/>
    <cellStyle name="40% - 강조색2 4" xfId="17969" hidden="1"/>
    <cellStyle name="40% - 강조색2 4" xfId="17930" hidden="1"/>
    <cellStyle name="40% - 강조색2 4" xfId="18553" hidden="1"/>
    <cellStyle name="40% - 강조색2 4" xfId="18595" hidden="1"/>
    <cellStyle name="40% - 강조색2 4" xfId="18637" hidden="1"/>
    <cellStyle name="40% - 강조색2 4" xfId="18679" hidden="1"/>
    <cellStyle name="40% - 강조색2 4" xfId="18721" hidden="1"/>
    <cellStyle name="40% - 강조색2 4" xfId="18763" hidden="1"/>
    <cellStyle name="40% - 강조색2 4" xfId="18805" hidden="1"/>
    <cellStyle name="40% - 강조색2 4" xfId="18847" hidden="1"/>
    <cellStyle name="40% - 강조색2 4" xfId="18889" hidden="1"/>
    <cellStyle name="40% - 강조색2 4" xfId="18931" hidden="1"/>
    <cellStyle name="40% - 강조색2 4" xfId="18022" hidden="1"/>
    <cellStyle name="40% - 강조색2 4" xfId="18959" hidden="1"/>
    <cellStyle name="40% - 강조색2 4" xfId="18999" hidden="1"/>
    <cellStyle name="40% - 강조색2 4" xfId="19039" hidden="1"/>
    <cellStyle name="40% - 강조색2 4" xfId="19079" hidden="1"/>
    <cellStyle name="40% - 강조색2 4" xfId="19119" hidden="1"/>
    <cellStyle name="40% - 강조색2 4" xfId="19159" hidden="1"/>
    <cellStyle name="40% - 강조색2 4" xfId="19199" hidden="1"/>
    <cellStyle name="40% - 강조색2 4" xfId="19239" hidden="1"/>
    <cellStyle name="40% - 강조색2 4" xfId="19279" hidden="1"/>
    <cellStyle name="40% - 강조색2 4" xfId="19319" hidden="1"/>
    <cellStyle name="40% - 강조색2 4" xfId="19359" hidden="1"/>
    <cellStyle name="40% - 강조색2 4" xfId="19399" hidden="1"/>
    <cellStyle name="40% - 강조색2 4" xfId="14370" hidden="1"/>
    <cellStyle name="40% - 강조색2 4" xfId="19449" hidden="1"/>
    <cellStyle name="40% - 강조색2 4" xfId="19489" hidden="1"/>
    <cellStyle name="40% - 강조색2 4" xfId="19529" hidden="1"/>
    <cellStyle name="40% - 강조색2 4" xfId="19569" hidden="1"/>
    <cellStyle name="40% - 강조색2 4" xfId="19609" hidden="1"/>
    <cellStyle name="40% - 강조색2 4" xfId="19649" hidden="1"/>
    <cellStyle name="40% - 강조색2 4" xfId="19689" hidden="1"/>
    <cellStyle name="40% - 강조색2 4" xfId="19729" hidden="1"/>
    <cellStyle name="40% - 강조색2 4" xfId="19769" hidden="1"/>
    <cellStyle name="40% - 강조색2 4" xfId="19809" hidden="1"/>
    <cellStyle name="40% - 강조색2 4" xfId="19849" hidden="1"/>
    <cellStyle name="40% - 강조색2 4" xfId="19933" hidden="1"/>
    <cellStyle name="40% - 강조색2 4" xfId="19974" hidden="1"/>
    <cellStyle name="40% - 강조색2 4" xfId="20016" hidden="1"/>
    <cellStyle name="40% - 강조색2 4" xfId="20058" hidden="1"/>
    <cellStyle name="40% - 강조색2 4" xfId="20100" hidden="1"/>
    <cellStyle name="40% - 강조색2 4" xfId="20142" hidden="1"/>
    <cellStyle name="40% - 강조색2 4" xfId="20184" hidden="1"/>
    <cellStyle name="40% - 강조색2 4" xfId="20226" hidden="1"/>
    <cellStyle name="40% - 강조색2 4" xfId="20268" hidden="1"/>
    <cellStyle name="40% - 강조색2 4" xfId="20310" hidden="1"/>
    <cellStyle name="40% - 강조색2 4" xfId="20352" hidden="1"/>
    <cellStyle name="40% - 강조색2 4" xfId="20394" hidden="1"/>
    <cellStyle name="40% - 강조색2 4" xfId="19890" hidden="1"/>
    <cellStyle name="40% - 강조색2 4" xfId="20573" hidden="1"/>
    <cellStyle name="40% - 강조색2 4" xfId="20613" hidden="1"/>
    <cellStyle name="40% - 강조색2 4" xfId="20653" hidden="1"/>
    <cellStyle name="40% - 강조색2 4" xfId="20693" hidden="1"/>
    <cellStyle name="40% - 강조색2 4" xfId="20733" hidden="1"/>
    <cellStyle name="40% - 강조색2 4" xfId="20773" hidden="1"/>
    <cellStyle name="40% - 강조색2 4" xfId="20813" hidden="1"/>
    <cellStyle name="40% - 강조색2 4" xfId="20853" hidden="1"/>
    <cellStyle name="40% - 강조색2 4" xfId="20893" hidden="1"/>
    <cellStyle name="40% - 강조색2 4" xfId="20933" hidden="1"/>
    <cellStyle name="40% - 강조색2 4" xfId="20973" hidden="1"/>
    <cellStyle name="40% - 강조색2 4" xfId="21013" hidden="1"/>
    <cellStyle name="40% - 강조색2 4" xfId="20471" hidden="1"/>
    <cellStyle name="40% - 강조색2 4" xfId="20432" hidden="1"/>
    <cellStyle name="40% - 강조색2 4" xfId="21055" hidden="1"/>
    <cellStyle name="40% - 강조색2 4" xfId="21097" hidden="1"/>
    <cellStyle name="40% - 강조색2 4" xfId="21139" hidden="1"/>
    <cellStyle name="40% - 강조색2 4" xfId="21181" hidden="1"/>
    <cellStyle name="40% - 강조색2 4" xfId="21223" hidden="1"/>
    <cellStyle name="40% - 강조색2 4" xfId="21265" hidden="1"/>
    <cellStyle name="40% - 강조색2 4" xfId="21307" hidden="1"/>
    <cellStyle name="40% - 강조색2 4" xfId="21349" hidden="1"/>
    <cellStyle name="40% - 강조색2 4" xfId="21391" hidden="1"/>
    <cellStyle name="40% - 강조색2 4" xfId="21433" hidden="1"/>
    <cellStyle name="40% - 강조색2 4" xfId="20524" hidden="1"/>
    <cellStyle name="40% - 강조색2 4" xfId="21461" hidden="1"/>
    <cellStyle name="40% - 강조색2 4" xfId="21501" hidden="1"/>
    <cellStyle name="40% - 강조색2 4" xfId="21541" hidden="1"/>
    <cellStyle name="40% - 강조색2 4" xfId="21581" hidden="1"/>
    <cellStyle name="40% - 강조색2 4" xfId="21621" hidden="1"/>
    <cellStyle name="40% - 강조색2 4" xfId="21661" hidden="1"/>
    <cellStyle name="40% - 강조색2 4" xfId="21701" hidden="1"/>
    <cellStyle name="40% - 강조색2 4" xfId="21741" hidden="1"/>
    <cellStyle name="40% - 강조색2 4" xfId="21781" hidden="1"/>
    <cellStyle name="40% - 강조색2 4" xfId="21821" hidden="1"/>
    <cellStyle name="40% - 강조색2 4" xfId="21861" hidden="1"/>
    <cellStyle name="40% - 강조색2 4" xfId="21901" hidden="1"/>
    <cellStyle name="40% - 강조색2 4" xfId="21969" hidden="1"/>
    <cellStyle name="40% - 강조색2 4" xfId="22009" hidden="1"/>
    <cellStyle name="40% - 강조색2 4" xfId="22049" hidden="1"/>
    <cellStyle name="40% - 강조색2 4" xfId="22089" hidden="1"/>
    <cellStyle name="40% - 강조색2 4" xfId="22129" hidden="1"/>
    <cellStyle name="40% - 강조색2 4" xfId="22169" hidden="1"/>
    <cellStyle name="40% - 강조색2 4" xfId="22209" hidden="1"/>
    <cellStyle name="40% - 강조색2 4" xfId="22249" hidden="1"/>
    <cellStyle name="40% - 강조색2 4" xfId="22289" hidden="1"/>
    <cellStyle name="40% - 강조색2 4" xfId="22329" hidden="1"/>
    <cellStyle name="40% - 강조색2 4" xfId="22369" hidden="1"/>
    <cellStyle name="40% - 강조색2 4" xfId="22409" hidden="1"/>
    <cellStyle name="40% - 강조색2 4" xfId="22493" hidden="1"/>
    <cellStyle name="40% - 강조색2 4" xfId="22534" hidden="1"/>
    <cellStyle name="40% - 강조색2 4" xfId="22576" hidden="1"/>
    <cellStyle name="40% - 강조색2 4" xfId="22618" hidden="1"/>
    <cellStyle name="40% - 강조색2 4" xfId="22660" hidden="1"/>
    <cellStyle name="40% - 강조색2 4" xfId="22702" hidden="1"/>
    <cellStyle name="40% - 강조색2 4" xfId="22744" hidden="1"/>
    <cellStyle name="40% - 강조색2 4" xfId="22786" hidden="1"/>
    <cellStyle name="40% - 강조색2 4" xfId="22828" hidden="1"/>
    <cellStyle name="40% - 강조색2 4" xfId="22870" hidden="1"/>
    <cellStyle name="40% - 강조색2 4" xfId="22912" hidden="1"/>
    <cellStyle name="40% - 강조색2 4" xfId="22954" hidden="1"/>
    <cellStyle name="40% - 강조색2 4" xfId="22450" hidden="1"/>
    <cellStyle name="40% - 강조색2 4" xfId="23133" hidden="1"/>
    <cellStyle name="40% - 강조색2 4" xfId="23173" hidden="1"/>
    <cellStyle name="40% - 강조색2 4" xfId="23213" hidden="1"/>
    <cellStyle name="40% - 강조색2 4" xfId="23253" hidden="1"/>
    <cellStyle name="40% - 강조색2 4" xfId="23293" hidden="1"/>
    <cellStyle name="40% - 강조색2 4" xfId="23333" hidden="1"/>
    <cellStyle name="40% - 강조색2 4" xfId="23373" hidden="1"/>
    <cellStyle name="40% - 강조색2 4" xfId="23413" hidden="1"/>
    <cellStyle name="40% - 강조색2 4" xfId="23453" hidden="1"/>
    <cellStyle name="40% - 강조색2 4" xfId="23493" hidden="1"/>
    <cellStyle name="40% - 강조색2 4" xfId="23533" hidden="1"/>
    <cellStyle name="40% - 강조색2 4" xfId="23573" hidden="1"/>
    <cellStyle name="40% - 강조색2 4" xfId="23031" hidden="1"/>
    <cellStyle name="40% - 강조색2 4" xfId="22992" hidden="1"/>
    <cellStyle name="40% - 강조색2 4" xfId="23615" hidden="1"/>
    <cellStyle name="40% - 강조색2 4" xfId="23657" hidden="1"/>
    <cellStyle name="40% - 강조색2 4" xfId="23699" hidden="1"/>
    <cellStyle name="40% - 강조색2 4" xfId="23741" hidden="1"/>
    <cellStyle name="40% - 강조색2 4" xfId="23783" hidden="1"/>
    <cellStyle name="40% - 강조색2 4" xfId="23825" hidden="1"/>
    <cellStyle name="40% - 강조색2 4" xfId="23867" hidden="1"/>
    <cellStyle name="40% - 강조색2 4" xfId="23909" hidden="1"/>
    <cellStyle name="40% - 강조색2 4" xfId="23951" hidden="1"/>
    <cellStyle name="40% - 강조색2 4" xfId="23993" hidden="1"/>
    <cellStyle name="40% - 강조색2 4" xfId="23084" hidden="1"/>
    <cellStyle name="40% - 강조색2 4" xfId="24021" hidden="1"/>
    <cellStyle name="40% - 강조색2 4" xfId="24061" hidden="1"/>
    <cellStyle name="40% - 강조색2 4" xfId="24101" hidden="1"/>
    <cellStyle name="40% - 강조색2 4" xfId="24141" hidden="1"/>
    <cellStyle name="40% - 강조색2 4" xfId="24181" hidden="1"/>
    <cellStyle name="40% - 강조색2 4" xfId="24221" hidden="1"/>
    <cellStyle name="40% - 강조색2 4" xfId="24261" hidden="1"/>
    <cellStyle name="40% - 강조색2 4" xfId="24301" hidden="1"/>
    <cellStyle name="40% - 강조색2 4" xfId="24341" hidden="1"/>
    <cellStyle name="40% - 강조색2 4" xfId="24381" hidden="1"/>
    <cellStyle name="40% - 강조색2 4" xfId="24421" hidden="1"/>
    <cellStyle name="40% - 강조색2 4" xfId="24461" hidden="1"/>
    <cellStyle name="40% - 강조색2 4" xfId="24559" hidden="1"/>
    <cellStyle name="40% - 강조색2 4" xfId="24599" hidden="1"/>
    <cellStyle name="40% - 강조색2 4" xfId="24641" hidden="1"/>
    <cellStyle name="40% - 강조색2 4" xfId="24682" hidden="1"/>
    <cellStyle name="40% - 강조색2 4" xfId="24722" hidden="1"/>
    <cellStyle name="40% - 강조색2 4" xfId="24762" hidden="1"/>
    <cellStyle name="40% - 강조색2 4" xfId="24802" hidden="1"/>
    <cellStyle name="40% - 강조색2 4" xfId="24842" hidden="1"/>
    <cellStyle name="40% - 강조색2 4" xfId="24882" hidden="1"/>
    <cellStyle name="40% - 강조색2 4" xfId="24922" hidden="1"/>
    <cellStyle name="40% - 강조색2 4" xfId="24962" hidden="1"/>
    <cellStyle name="40% - 강조색2 4" xfId="25002" hidden="1"/>
    <cellStyle name="40% - 강조색2 4" xfId="25086" hidden="1"/>
    <cellStyle name="40% - 강조색2 4" xfId="25127" hidden="1"/>
    <cellStyle name="40% - 강조색2 4" xfId="25169" hidden="1"/>
    <cellStyle name="40% - 강조색2 4" xfId="25211" hidden="1"/>
    <cellStyle name="40% - 강조색2 4" xfId="25253" hidden="1"/>
    <cellStyle name="40% - 강조색2 4" xfId="25295" hidden="1"/>
    <cellStyle name="40% - 강조색2 4" xfId="25337" hidden="1"/>
    <cellStyle name="40% - 강조색2 4" xfId="25379" hidden="1"/>
    <cellStyle name="40% - 강조색2 4" xfId="25421" hidden="1"/>
    <cellStyle name="40% - 강조색2 4" xfId="25463" hidden="1"/>
    <cellStyle name="40% - 강조색2 4" xfId="25505" hidden="1"/>
    <cellStyle name="40% - 강조색2 4" xfId="25547" hidden="1"/>
    <cellStyle name="40% - 강조색2 4" xfId="25043" hidden="1"/>
    <cellStyle name="40% - 강조색2 4" xfId="25726" hidden="1"/>
    <cellStyle name="40% - 강조색2 4" xfId="25766" hidden="1"/>
    <cellStyle name="40% - 강조색2 4" xfId="25806" hidden="1"/>
    <cellStyle name="40% - 강조색2 4" xfId="25846" hidden="1"/>
    <cellStyle name="40% - 강조색2 4" xfId="25886" hidden="1"/>
    <cellStyle name="40% - 강조색2 4" xfId="25926" hidden="1"/>
    <cellStyle name="40% - 강조색2 4" xfId="25966" hidden="1"/>
    <cellStyle name="40% - 강조색2 4" xfId="26006" hidden="1"/>
    <cellStyle name="40% - 강조색2 4" xfId="26046" hidden="1"/>
    <cellStyle name="40% - 강조색2 4" xfId="26086" hidden="1"/>
    <cellStyle name="40% - 강조색2 4" xfId="26126" hidden="1"/>
    <cellStyle name="40% - 강조색2 4" xfId="26166" hidden="1"/>
    <cellStyle name="40% - 강조색2 4" xfId="25624" hidden="1"/>
    <cellStyle name="40% - 강조색2 4" xfId="25585" hidden="1"/>
    <cellStyle name="40% - 강조색2 4" xfId="26208" hidden="1"/>
    <cellStyle name="40% - 강조색2 4" xfId="26250" hidden="1"/>
    <cellStyle name="40% - 강조색2 4" xfId="26292" hidden="1"/>
    <cellStyle name="40% - 강조색2 4" xfId="26334" hidden="1"/>
    <cellStyle name="40% - 강조색2 4" xfId="26376" hidden="1"/>
    <cellStyle name="40% - 강조색2 4" xfId="26418" hidden="1"/>
    <cellStyle name="40% - 강조색2 4" xfId="26460" hidden="1"/>
    <cellStyle name="40% - 강조색2 4" xfId="26502" hidden="1"/>
    <cellStyle name="40% - 강조색2 4" xfId="26544" hidden="1"/>
    <cellStyle name="40% - 강조색2 4" xfId="26586" hidden="1"/>
    <cellStyle name="40% - 강조색2 4" xfId="25677" hidden="1"/>
    <cellStyle name="40% - 강조색2 4" xfId="26614" hidden="1"/>
    <cellStyle name="40% - 강조색2 4" xfId="26654" hidden="1"/>
    <cellStyle name="40% - 강조색2 4" xfId="26694" hidden="1"/>
    <cellStyle name="40% - 강조색2 4" xfId="26734" hidden="1"/>
    <cellStyle name="40% - 강조색2 4" xfId="26774" hidden="1"/>
    <cellStyle name="40% - 강조색2 4" xfId="26814" hidden="1"/>
    <cellStyle name="40% - 강조색2 4" xfId="26854" hidden="1"/>
    <cellStyle name="40% - 강조색2 4" xfId="26894" hidden="1"/>
    <cellStyle name="40% - 강조색2 4" xfId="26934" hidden="1"/>
    <cellStyle name="40% - 강조색2 4" xfId="26974" hidden="1"/>
    <cellStyle name="40% - 강조색2 4" xfId="27014" hidden="1"/>
    <cellStyle name="40% - 강조색2 4" xfId="27054" hidden="1"/>
    <cellStyle name="40% - 강조색2 4" xfId="24484" hidden="1"/>
    <cellStyle name="40% - 강조색2 4" xfId="27105" hidden="1"/>
    <cellStyle name="40% - 강조색2 4" xfId="27145" hidden="1"/>
    <cellStyle name="40% - 강조색2 4" xfId="27185" hidden="1"/>
    <cellStyle name="40% - 강조색2 4" xfId="27225" hidden="1"/>
    <cellStyle name="40% - 강조색2 4" xfId="27265" hidden="1"/>
    <cellStyle name="40% - 강조색2 4" xfId="27305" hidden="1"/>
    <cellStyle name="40% - 강조색2 4" xfId="27345" hidden="1"/>
    <cellStyle name="40% - 강조색2 4" xfId="27385" hidden="1"/>
    <cellStyle name="40% - 강조색2 4" xfId="27425" hidden="1"/>
    <cellStyle name="40% - 강조색2 4" xfId="27465" hidden="1"/>
    <cellStyle name="40% - 강조색2 4" xfId="27505" hidden="1"/>
    <cellStyle name="40% - 강조색2 4" xfId="27589" hidden="1"/>
    <cellStyle name="40% - 강조색2 4" xfId="27630" hidden="1"/>
    <cellStyle name="40% - 강조색2 4" xfId="27672" hidden="1"/>
    <cellStyle name="40% - 강조색2 4" xfId="27714" hidden="1"/>
    <cellStyle name="40% - 강조색2 4" xfId="27756" hidden="1"/>
    <cellStyle name="40% - 강조색2 4" xfId="27798" hidden="1"/>
    <cellStyle name="40% - 강조색2 4" xfId="27840" hidden="1"/>
    <cellStyle name="40% - 강조색2 4" xfId="27882" hidden="1"/>
    <cellStyle name="40% - 강조색2 4" xfId="27924" hidden="1"/>
    <cellStyle name="40% - 강조색2 4" xfId="27966" hidden="1"/>
    <cellStyle name="40% - 강조색2 4" xfId="28008" hidden="1"/>
    <cellStyle name="40% - 강조색2 4" xfId="28050" hidden="1"/>
    <cellStyle name="40% - 강조색2 4" xfId="27546" hidden="1"/>
    <cellStyle name="40% - 강조색2 4" xfId="28229" hidden="1"/>
    <cellStyle name="40% - 강조색2 4" xfId="28269" hidden="1"/>
    <cellStyle name="40% - 강조색2 4" xfId="28309" hidden="1"/>
    <cellStyle name="40% - 강조색2 4" xfId="28349" hidden="1"/>
    <cellStyle name="40% - 강조색2 4" xfId="28389" hidden="1"/>
    <cellStyle name="40% - 강조색2 4" xfId="28429" hidden="1"/>
    <cellStyle name="40% - 강조색2 4" xfId="28469" hidden="1"/>
    <cellStyle name="40% - 강조색2 4" xfId="28509" hidden="1"/>
    <cellStyle name="40% - 강조색2 4" xfId="28549" hidden="1"/>
    <cellStyle name="40% - 강조색2 4" xfId="28589" hidden="1"/>
    <cellStyle name="40% - 강조색2 4" xfId="28629" hidden="1"/>
    <cellStyle name="40% - 강조색2 4" xfId="28669" hidden="1"/>
    <cellStyle name="40% - 강조색2 4" xfId="28127" hidden="1"/>
    <cellStyle name="40% - 강조색2 4" xfId="28088" hidden="1"/>
    <cellStyle name="40% - 강조색2 4" xfId="28711" hidden="1"/>
    <cellStyle name="40% - 강조색2 4" xfId="28753" hidden="1"/>
    <cellStyle name="40% - 강조색2 4" xfId="28795" hidden="1"/>
    <cellStyle name="40% - 강조색2 4" xfId="28837" hidden="1"/>
    <cellStyle name="40% - 강조색2 4" xfId="28879" hidden="1"/>
    <cellStyle name="40% - 강조색2 4" xfId="28921" hidden="1"/>
    <cellStyle name="40% - 강조색2 4" xfId="28963" hidden="1"/>
    <cellStyle name="40% - 강조색2 4" xfId="29005" hidden="1"/>
    <cellStyle name="40% - 강조색2 4" xfId="29047" hidden="1"/>
    <cellStyle name="40% - 강조색2 4" xfId="29089" hidden="1"/>
    <cellStyle name="40% - 강조색2 4" xfId="28180" hidden="1"/>
    <cellStyle name="40% - 강조색2 4" xfId="29117" hidden="1"/>
    <cellStyle name="40% - 강조색2 4" xfId="29157" hidden="1"/>
    <cellStyle name="40% - 강조색2 4" xfId="29197" hidden="1"/>
    <cellStyle name="40% - 강조색2 4" xfId="29237" hidden="1"/>
    <cellStyle name="40% - 강조색2 4" xfId="29277" hidden="1"/>
    <cellStyle name="40% - 강조색2 4" xfId="29317" hidden="1"/>
    <cellStyle name="40% - 강조색2 4" xfId="29357" hidden="1"/>
    <cellStyle name="40% - 강조색2 4" xfId="29397" hidden="1"/>
    <cellStyle name="40% - 강조색2 4" xfId="29437" hidden="1"/>
    <cellStyle name="40% - 강조색2 4" xfId="29477" hidden="1"/>
    <cellStyle name="40% - 강조색2 4" xfId="29517" hidden="1"/>
    <cellStyle name="40% - 강조색2 4" xfId="29557" hidden="1"/>
    <cellStyle name="40% - 강조색2 4" xfId="24528" hidden="1"/>
    <cellStyle name="40% - 강조색2 4" xfId="29607" hidden="1"/>
    <cellStyle name="40% - 강조색2 4" xfId="29647" hidden="1"/>
    <cellStyle name="40% - 강조색2 4" xfId="29687" hidden="1"/>
    <cellStyle name="40% - 강조색2 4" xfId="29727" hidden="1"/>
    <cellStyle name="40% - 강조색2 4" xfId="29767" hidden="1"/>
    <cellStyle name="40% - 강조색2 4" xfId="29807" hidden="1"/>
    <cellStyle name="40% - 강조색2 4" xfId="29847" hidden="1"/>
    <cellStyle name="40% - 강조색2 4" xfId="29887" hidden="1"/>
    <cellStyle name="40% - 강조색2 4" xfId="29927" hidden="1"/>
    <cellStyle name="40% - 강조색2 4" xfId="29967" hidden="1"/>
    <cellStyle name="40% - 강조색2 4" xfId="30007" hidden="1"/>
    <cellStyle name="40% - 강조색2 4" xfId="30091" hidden="1"/>
    <cellStyle name="40% - 강조색2 4" xfId="30132" hidden="1"/>
    <cellStyle name="40% - 강조색2 4" xfId="30174" hidden="1"/>
    <cellStyle name="40% - 강조색2 4" xfId="30216" hidden="1"/>
    <cellStyle name="40% - 강조색2 4" xfId="30258" hidden="1"/>
    <cellStyle name="40% - 강조색2 4" xfId="30300" hidden="1"/>
    <cellStyle name="40% - 강조색2 4" xfId="30342" hidden="1"/>
    <cellStyle name="40% - 강조색2 4" xfId="30384" hidden="1"/>
    <cellStyle name="40% - 강조색2 4" xfId="30426" hidden="1"/>
    <cellStyle name="40% - 강조색2 4" xfId="30468" hidden="1"/>
    <cellStyle name="40% - 강조색2 4" xfId="30510" hidden="1"/>
    <cellStyle name="40% - 강조색2 4" xfId="30552" hidden="1"/>
    <cellStyle name="40% - 강조색2 4" xfId="30048" hidden="1"/>
    <cellStyle name="40% - 강조색2 4" xfId="30731" hidden="1"/>
    <cellStyle name="40% - 강조색2 4" xfId="30771" hidden="1"/>
    <cellStyle name="40% - 강조색2 4" xfId="30811" hidden="1"/>
    <cellStyle name="40% - 강조색2 4" xfId="30851" hidden="1"/>
    <cellStyle name="40% - 강조색2 4" xfId="30891" hidden="1"/>
    <cellStyle name="40% - 강조색2 4" xfId="30931" hidden="1"/>
    <cellStyle name="40% - 강조색2 4" xfId="30971" hidden="1"/>
    <cellStyle name="40% - 강조색2 4" xfId="31011" hidden="1"/>
    <cellStyle name="40% - 강조색2 4" xfId="31051" hidden="1"/>
    <cellStyle name="40% - 강조색2 4" xfId="31091" hidden="1"/>
    <cellStyle name="40% - 강조색2 4" xfId="31131" hidden="1"/>
    <cellStyle name="40% - 강조색2 4" xfId="31171" hidden="1"/>
    <cellStyle name="40% - 강조색2 4" xfId="30629" hidden="1"/>
    <cellStyle name="40% - 강조색2 4" xfId="30590" hidden="1"/>
    <cellStyle name="40% - 강조색2 4" xfId="31213" hidden="1"/>
    <cellStyle name="40% - 강조색2 4" xfId="31255" hidden="1"/>
    <cellStyle name="40% - 강조색2 4" xfId="31297" hidden="1"/>
    <cellStyle name="40% - 강조색2 4" xfId="31339" hidden="1"/>
    <cellStyle name="40% - 강조색2 4" xfId="31381" hidden="1"/>
    <cellStyle name="40% - 강조색2 4" xfId="31423" hidden="1"/>
    <cellStyle name="40% - 강조색2 4" xfId="31465" hidden="1"/>
    <cellStyle name="40% - 강조색2 4" xfId="31507" hidden="1"/>
    <cellStyle name="40% - 강조색2 4" xfId="31549" hidden="1"/>
    <cellStyle name="40% - 강조색2 4" xfId="31591" hidden="1"/>
    <cellStyle name="40% - 강조색2 4" xfId="30682" hidden="1"/>
    <cellStyle name="40% - 강조색2 4" xfId="31619" hidden="1"/>
    <cellStyle name="40% - 강조색2 4" xfId="31659" hidden="1"/>
    <cellStyle name="40% - 강조색2 4" xfId="31699" hidden="1"/>
    <cellStyle name="40% - 강조색2 4" xfId="31739" hidden="1"/>
    <cellStyle name="40% - 강조색2 4" xfId="31779" hidden="1"/>
    <cellStyle name="40% - 강조색2 4" xfId="31819" hidden="1"/>
    <cellStyle name="40% - 강조색2 4" xfId="31859" hidden="1"/>
    <cellStyle name="40% - 강조색2 4" xfId="31899" hidden="1"/>
    <cellStyle name="40% - 강조색2 4" xfId="31939" hidden="1"/>
    <cellStyle name="40% - 강조색2 4" xfId="31979" hidden="1"/>
    <cellStyle name="40% - 강조색2 4" xfId="32019" hidden="1"/>
    <cellStyle name="40% - 강조색2 4" xfId="32059" hidden="1"/>
    <cellStyle name="40% - 강조색2 4" xfId="32121" hidden="1"/>
    <cellStyle name="40% - 강조색2 4" xfId="32161" hidden="1"/>
    <cellStyle name="40% - 강조색2 4" xfId="32201" hidden="1"/>
    <cellStyle name="40% - 강조색2 4" xfId="32241" hidden="1"/>
    <cellStyle name="40% - 강조색2 4" xfId="32281" hidden="1"/>
    <cellStyle name="40% - 강조색2 4" xfId="32321" hidden="1"/>
    <cellStyle name="40% - 강조색2 4" xfId="32361" hidden="1"/>
    <cellStyle name="40% - 강조색2 4" xfId="32401" hidden="1"/>
    <cellStyle name="40% - 강조색2 4" xfId="32441" hidden="1"/>
    <cellStyle name="40% - 강조색2 4" xfId="32481" hidden="1"/>
    <cellStyle name="40% - 강조색2 4" xfId="32521" hidden="1"/>
    <cellStyle name="40% - 강조색2 4" xfId="32561" hidden="1"/>
    <cellStyle name="40% - 강조색2 4" xfId="32646" hidden="1"/>
    <cellStyle name="40% - 강조색2 4" xfId="32687" hidden="1"/>
    <cellStyle name="40% - 강조색2 4" xfId="32729" hidden="1"/>
    <cellStyle name="40% - 강조색2 4" xfId="32771" hidden="1"/>
    <cellStyle name="40% - 강조색2 4" xfId="32813" hidden="1"/>
    <cellStyle name="40% - 강조색2 4" xfId="32855" hidden="1"/>
    <cellStyle name="40% - 강조색2 4" xfId="32897" hidden="1"/>
    <cellStyle name="40% - 강조색2 4" xfId="32939" hidden="1"/>
    <cellStyle name="40% - 강조색2 4" xfId="32981" hidden="1"/>
    <cellStyle name="40% - 강조색2 4" xfId="33023" hidden="1"/>
    <cellStyle name="40% - 강조색2 4" xfId="33065" hidden="1"/>
    <cellStyle name="40% - 강조색2 4" xfId="33107" hidden="1"/>
    <cellStyle name="40% - 강조색2 4" xfId="32603" hidden="1"/>
    <cellStyle name="40% - 강조색2 4" xfId="33286" hidden="1"/>
    <cellStyle name="40% - 강조색2 4" xfId="33326" hidden="1"/>
    <cellStyle name="40% - 강조색2 4" xfId="33366" hidden="1"/>
    <cellStyle name="40% - 강조색2 4" xfId="33406" hidden="1"/>
    <cellStyle name="40% - 강조색2 4" xfId="33446" hidden="1"/>
    <cellStyle name="40% - 강조색2 4" xfId="33486" hidden="1"/>
    <cellStyle name="40% - 강조색2 4" xfId="33526" hidden="1"/>
    <cellStyle name="40% - 강조색2 4" xfId="33566" hidden="1"/>
    <cellStyle name="40% - 강조색2 4" xfId="33606" hidden="1"/>
    <cellStyle name="40% - 강조색2 4" xfId="33646" hidden="1"/>
    <cellStyle name="40% - 강조색2 4" xfId="33686" hidden="1"/>
    <cellStyle name="40% - 강조색2 4" xfId="33726" hidden="1"/>
    <cellStyle name="40% - 강조색2 4" xfId="33184" hidden="1"/>
    <cellStyle name="40% - 강조색2 4" xfId="33145" hidden="1"/>
    <cellStyle name="40% - 강조색2 4" xfId="33768" hidden="1"/>
    <cellStyle name="40% - 강조색2 4" xfId="33810" hidden="1"/>
    <cellStyle name="40% - 강조색2 4" xfId="33852" hidden="1"/>
    <cellStyle name="40% - 강조색2 4" xfId="33894" hidden="1"/>
    <cellStyle name="40% - 강조색2 4" xfId="33936" hidden="1"/>
    <cellStyle name="40% - 강조색2 4" xfId="33978" hidden="1"/>
    <cellStyle name="40% - 강조색2 4" xfId="34020" hidden="1"/>
    <cellStyle name="40% - 강조색2 4" xfId="34062" hidden="1"/>
    <cellStyle name="40% - 강조색2 4" xfId="34104" hidden="1"/>
    <cellStyle name="40% - 강조색2 4" xfId="34146" hidden="1"/>
    <cellStyle name="40% - 강조색2 4" xfId="33237" hidden="1"/>
    <cellStyle name="40% - 강조색2 4" xfId="34174" hidden="1"/>
    <cellStyle name="40% - 강조색2 4" xfId="34214" hidden="1"/>
    <cellStyle name="40% - 강조색2 4" xfId="34254" hidden="1"/>
    <cellStyle name="40% - 강조색2 4" xfId="34294" hidden="1"/>
    <cellStyle name="40% - 강조색2 4" xfId="34334" hidden="1"/>
    <cellStyle name="40% - 강조색2 4" xfId="34374" hidden="1"/>
    <cellStyle name="40% - 강조색2 4" xfId="34414" hidden="1"/>
    <cellStyle name="40% - 강조색2 4" xfId="34454" hidden="1"/>
    <cellStyle name="40% - 강조색2 4" xfId="34494" hidden="1"/>
    <cellStyle name="40% - 강조색2 4" xfId="34534" hidden="1"/>
    <cellStyle name="40% - 강조색2 4" xfId="34574" hidden="1"/>
    <cellStyle name="40% - 강조색2 4" xfId="34614" hidden="1"/>
    <cellStyle name="40% - 강조색2 4" xfId="34711" hidden="1"/>
    <cellStyle name="40% - 강조색2 4" xfId="34751" hidden="1"/>
    <cellStyle name="40% - 강조색2 4" xfId="34791" hidden="1"/>
    <cellStyle name="40% - 강조색2 4" xfId="34831" hidden="1"/>
    <cellStyle name="40% - 강조색2 4" xfId="34871" hidden="1"/>
    <cellStyle name="40% - 강조색2 4" xfId="34911" hidden="1"/>
    <cellStyle name="40% - 강조색2 4" xfId="34951" hidden="1"/>
    <cellStyle name="40% - 강조색2 4" xfId="34991" hidden="1"/>
    <cellStyle name="40% - 강조색2 4" xfId="35031" hidden="1"/>
    <cellStyle name="40% - 강조색2 4" xfId="35071" hidden="1"/>
    <cellStyle name="40% - 강조색2 4" xfId="35111" hidden="1"/>
    <cellStyle name="40% - 강조색2 4" xfId="35151" hidden="1"/>
    <cellStyle name="40% - 강조색2 4" xfId="35235" hidden="1"/>
    <cellStyle name="40% - 강조색2 4" xfId="35276" hidden="1"/>
    <cellStyle name="40% - 강조색2 4" xfId="35318" hidden="1"/>
    <cellStyle name="40% - 강조색2 4" xfId="35360" hidden="1"/>
    <cellStyle name="40% - 강조색2 4" xfId="35402" hidden="1"/>
    <cellStyle name="40% - 강조색2 4" xfId="35444" hidden="1"/>
    <cellStyle name="40% - 강조색2 4" xfId="35486" hidden="1"/>
    <cellStyle name="40% - 강조색2 4" xfId="35528" hidden="1"/>
    <cellStyle name="40% - 강조색2 4" xfId="35570" hidden="1"/>
    <cellStyle name="40% - 강조색2 4" xfId="35612" hidden="1"/>
    <cellStyle name="40% - 강조색2 4" xfId="35654" hidden="1"/>
    <cellStyle name="40% - 강조색2 4" xfId="35696" hidden="1"/>
    <cellStyle name="40% - 강조색2 4" xfId="35192" hidden="1"/>
    <cellStyle name="40% - 강조색2 4" xfId="35875" hidden="1"/>
    <cellStyle name="40% - 강조색2 4" xfId="35915" hidden="1"/>
    <cellStyle name="40% - 강조색2 4" xfId="35955" hidden="1"/>
    <cellStyle name="40% - 강조색2 4" xfId="35995" hidden="1"/>
    <cellStyle name="40% - 강조색2 4" xfId="36035" hidden="1"/>
    <cellStyle name="40% - 강조색2 4" xfId="36075" hidden="1"/>
    <cellStyle name="40% - 강조색2 4" xfId="36115" hidden="1"/>
    <cellStyle name="40% - 강조색2 4" xfId="36155" hidden="1"/>
    <cellStyle name="40% - 강조색2 4" xfId="36195" hidden="1"/>
    <cellStyle name="40% - 강조색2 4" xfId="36235" hidden="1"/>
    <cellStyle name="40% - 강조색2 4" xfId="36275" hidden="1"/>
    <cellStyle name="40% - 강조색2 4" xfId="36315" hidden="1"/>
    <cellStyle name="40% - 강조색2 4" xfId="35773" hidden="1"/>
    <cellStyle name="40% - 강조색2 4" xfId="35734" hidden="1"/>
    <cellStyle name="40% - 강조색2 4" xfId="36357" hidden="1"/>
    <cellStyle name="40% - 강조색2 4" xfId="36399" hidden="1"/>
    <cellStyle name="40% - 강조색2 4" xfId="36441" hidden="1"/>
    <cellStyle name="40% - 강조색2 4" xfId="36483" hidden="1"/>
    <cellStyle name="40% - 강조색2 4" xfId="36525" hidden="1"/>
    <cellStyle name="40% - 강조색2 4" xfId="36567" hidden="1"/>
    <cellStyle name="40% - 강조색2 4" xfId="36609" hidden="1"/>
    <cellStyle name="40% - 강조색2 4" xfId="36651" hidden="1"/>
    <cellStyle name="40% - 강조색2 4" xfId="36693" hidden="1"/>
    <cellStyle name="40% - 강조색2 4" xfId="36735" hidden="1"/>
    <cellStyle name="40% - 강조색2 4" xfId="35826" hidden="1"/>
    <cellStyle name="40% - 강조색2 4" xfId="36763" hidden="1"/>
    <cellStyle name="40% - 강조색2 4" xfId="36803" hidden="1"/>
    <cellStyle name="40% - 강조색2 4" xfId="36843" hidden="1"/>
    <cellStyle name="40% - 강조색2 4" xfId="36883" hidden="1"/>
    <cellStyle name="40% - 강조색2 4" xfId="36923" hidden="1"/>
    <cellStyle name="40% - 강조색2 4" xfId="36963" hidden="1"/>
    <cellStyle name="40% - 강조색2 4" xfId="37003" hidden="1"/>
    <cellStyle name="40% - 강조색2 4" xfId="37043" hidden="1"/>
    <cellStyle name="40% - 강조색2 4" xfId="37083" hidden="1"/>
    <cellStyle name="40% - 강조색2 4" xfId="37123" hidden="1"/>
    <cellStyle name="40% - 강조색2 4" xfId="37163" hidden="1"/>
    <cellStyle name="40% - 강조색2 4" xfId="37203" hidden="1"/>
    <cellStyle name="40% - 강조색2 4" xfId="34636" hidden="1"/>
    <cellStyle name="40% - 강조색2 4" xfId="37254" hidden="1"/>
    <cellStyle name="40% - 강조색2 4" xfId="37295" hidden="1"/>
    <cellStyle name="40% - 강조색2 4" xfId="37335" hidden="1"/>
    <cellStyle name="40% - 강조색2 4" xfId="37375" hidden="1"/>
    <cellStyle name="40% - 강조색2 4" xfId="37415" hidden="1"/>
    <cellStyle name="40% - 강조색2 4" xfId="37455" hidden="1"/>
    <cellStyle name="40% - 강조색2 4" xfId="37495" hidden="1"/>
    <cellStyle name="40% - 강조색2 4" xfId="37535" hidden="1"/>
    <cellStyle name="40% - 강조색2 4" xfId="37575" hidden="1"/>
    <cellStyle name="40% - 강조색2 4" xfId="37615" hidden="1"/>
    <cellStyle name="40% - 강조색2 4" xfId="37655" hidden="1"/>
    <cellStyle name="40% - 강조색2 4" xfId="37739" hidden="1"/>
    <cellStyle name="40% - 강조색2 4" xfId="37780" hidden="1"/>
    <cellStyle name="40% - 강조색2 4" xfId="37822" hidden="1"/>
    <cellStyle name="40% - 강조색2 4" xfId="37864" hidden="1"/>
    <cellStyle name="40% - 강조색2 4" xfId="37906" hidden="1"/>
    <cellStyle name="40% - 강조색2 4" xfId="37948" hidden="1"/>
    <cellStyle name="40% - 강조색2 4" xfId="37990" hidden="1"/>
    <cellStyle name="40% - 강조색2 4" xfId="38032" hidden="1"/>
    <cellStyle name="40% - 강조색2 4" xfId="38074" hidden="1"/>
    <cellStyle name="40% - 강조색2 4" xfId="38116" hidden="1"/>
    <cellStyle name="40% - 강조색2 4" xfId="38158" hidden="1"/>
    <cellStyle name="40% - 강조색2 4" xfId="38200" hidden="1"/>
    <cellStyle name="40% - 강조색2 4" xfId="37696" hidden="1"/>
    <cellStyle name="40% - 강조색2 4" xfId="38379" hidden="1"/>
    <cellStyle name="40% - 강조색2 4" xfId="38419" hidden="1"/>
    <cellStyle name="40% - 강조색2 4" xfId="38459" hidden="1"/>
    <cellStyle name="40% - 강조색2 4" xfId="38499" hidden="1"/>
    <cellStyle name="40% - 강조색2 4" xfId="38539" hidden="1"/>
    <cellStyle name="40% - 강조색2 4" xfId="38579" hidden="1"/>
    <cellStyle name="40% - 강조색2 4" xfId="38619" hidden="1"/>
    <cellStyle name="40% - 강조색2 4" xfId="38659" hidden="1"/>
    <cellStyle name="40% - 강조색2 4" xfId="38699" hidden="1"/>
    <cellStyle name="40% - 강조색2 4" xfId="38739" hidden="1"/>
    <cellStyle name="40% - 강조색2 4" xfId="38779" hidden="1"/>
    <cellStyle name="40% - 강조색2 4" xfId="38819" hidden="1"/>
    <cellStyle name="40% - 강조색2 4" xfId="38277" hidden="1"/>
    <cellStyle name="40% - 강조색2 4" xfId="38238" hidden="1"/>
    <cellStyle name="40% - 강조색2 4" xfId="38861" hidden="1"/>
    <cellStyle name="40% - 강조색2 4" xfId="38903" hidden="1"/>
    <cellStyle name="40% - 강조색2 4" xfId="38945" hidden="1"/>
    <cellStyle name="40% - 강조색2 4" xfId="38987" hidden="1"/>
    <cellStyle name="40% - 강조색2 4" xfId="39029" hidden="1"/>
    <cellStyle name="40% - 강조색2 4" xfId="39071" hidden="1"/>
    <cellStyle name="40% - 강조색2 4" xfId="39113" hidden="1"/>
    <cellStyle name="40% - 강조색2 4" xfId="39155" hidden="1"/>
    <cellStyle name="40% - 강조색2 4" xfId="39197" hidden="1"/>
    <cellStyle name="40% - 강조색2 4" xfId="39239" hidden="1"/>
    <cellStyle name="40% - 강조색2 4" xfId="38330" hidden="1"/>
    <cellStyle name="40% - 강조색2 4" xfId="39267" hidden="1"/>
    <cellStyle name="40% - 강조색2 4" xfId="39307" hidden="1"/>
    <cellStyle name="40% - 강조색2 4" xfId="39347" hidden="1"/>
    <cellStyle name="40% - 강조색2 4" xfId="39387" hidden="1"/>
    <cellStyle name="40% - 강조색2 4" xfId="39427" hidden="1"/>
    <cellStyle name="40% - 강조색2 4" xfId="39467" hidden="1"/>
    <cellStyle name="40% - 강조색2 4" xfId="39507" hidden="1"/>
    <cellStyle name="40% - 강조색2 4" xfId="39547" hidden="1"/>
    <cellStyle name="40% - 강조색2 4" xfId="39587" hidden="1"/>
    <cellStyle name="40% - 강조색2 4" xfId="39627" hidden="1"/>
    <cellStyle name="40% - 강조색2 4" xfId="39667" hidden="1"/>
    <cellStyle name="40% - 강조색2 4" xfId="39707" hidden="1"/>
    <cellStyle name="40% - 강조색2 4" xfId="34680" hidden="1"/>
    <cellStyle name="40% - 강조색2 4" xfId="39757" hidden="1"/>
    <cellStyle name="40% - 강조색2 4" xfId="39797" hidden="1"/>
    <cellStyle name="40% - 강조색2 4" xfId="39837" hidden="1"/>
    <cellStyle name="40% - 강조색2 4" xfId="39877" hidden="1"/>
    <cellStyle name="40% - 강조색2 4" xfId="39917" hidden="1"/>
    <cellStyle name="40% - 강조색2 4" xfId="39957" hidden="1"/>
    <cellStyle name="40% - 강조색2 4" xfId="39997" hidden="1"/>
    <cellStyle name="40% - 강조색2 4" xfId="40037" hidden="1"/>
    <cellStyle name="40% - 강조색2 4" xfId="40077" hidden="1"/>
    <cellStyle name="40% - 강조색2 4" xfId="40117" hidden="1"/>
    <cellStyle name="40% - 강조색2 4" xfId="40157" hidden="1"/>
    <cellStyle name="40% - 강조색2 4" xfId="40241" hidden="1"/>
    <cellStyle name="40% - 강조색2 4" xfId="40282" hidden="1"/>
    <cellStyle name="40% - 강조색2 4" xfId="40324" hidden="1"/>
    <cellStyle name="40% - 강조색2 4" xfId="40366" hidden="1"/>
    <cellStyle name="40% - 강조색2 4" xfId="40408" hidden="1"/>
    <cellStyle name="40% - 강조색2 4" xfId="40450" hidden="1"/>
    <cellStyle name="40% - 강조색2 4" xfId="40492" hidden="1"/>
    <cellStyle name="40% - 강조색2 4" xfId="40534" hidden="1"/>
    <cellStyle name="40% - 강조색2 4" xfId="40576" hidden="1"/>
    <cellStyle name="40% - 강조색2 4" xfId="40618" hidden="1"/>
    <cellStyle name="40% - 강조색2 4" xfId="40660" hidden="1"/>
    <cellStyle name="40% - 강조색2 4" xfId="40702" hidden="1"/>
    <cellStyle name="40% - 강조색2 4" xfId="40198" hidden="1"/>
    <cellStyle name="40% - 강조색2 4" xfId="40881" hidden="1"/>
    <cellStyle name="40% - 강조색2 4" xfId="40921" hidden="1"/>
    <cellStyle name="40% - 강조색2 4" xfId="40961" hidden="1"/>
    <cellStyle name="40% - 강조색2 4" xfId="41001" hidden="1"/>
    <cellStyle name="40% - 강조색2 4" xfId="41041" hidden="1"/>
    <cellStyle name="40% - 강조색2 4" xfId="41081" hidden="1"/>
    <cellStyle name="40% - 강조색2 4" xfId="41121" hidden="1"/>
    <cellStyle name="40% - 강조색2 4" xfId="41161" hidden="1"/>
    <cellStyle name="40% - 강조색2 4" xfId="41201" hidden="1"/>
    <cellStyle name="40% - 강조색2 4" xfId="41241" hidden="1"/>
    <cellStyle name="40% - 강조색2 4" xfId="41281" hidden="1"/>
    <cellStyle name="40% - 강조색2 4" xfId="41321" hidden="1"/>
    <cellStyle name="40% - 강조색2 4" xfId="40779" hidden="1"/>
    <cellStyle name="40% - 강조색2 4" xfId="40740" hidden="1"/>
    <cellStyle name="40% - 강조색2 4" xfId="41363" hidden="1"/>
    <cellStyle name="40% - 강조색2 4" xfId="41405" hidden="1"/>
    <cellStyle name="40% - 강조색2 4" xfId="41447" hidden="1"/>
    <cellStyle name="40% - 강조색2 4" xfId="41489" hidden="1"/>
    <cellStyle name="40% - 강조색2 4" xfId="41531" hidden="1"/>
    <cellStyle name="40% - 강조색2 4" xfId="41573" hidden="1"/>
    <cellStyle name="40% - 강조색2 4" xfId="41615" hidden="1"/>
    <cellStyle name="40% - 강조색2 4" xfId="41657" hidden="1"/>
    <cellStyle name="40% - 강조색2 4" xfId="41699" hidden="1"/>
    <cellStyle name="40% - 강조색2 4" xfId="41741" hidden="1"/>
    <cellStyle name="40% - 강조색2 4" xfId="40832" hidden="1"/>
    <cellStyle name="40% - 강조색2 4" xfId="41769" hidden="1"/>
    <cellStyle name="40% - 강조색2 4" xfId="41809" hidden="1"/>
    <cellStyle name="40% - 강조색2 4" xfId="41849" hidden="1"/>
    <cellStyle name="40% - 강조색2 4" xfId="41889" hidden="1"/>
    <cellStyle name="40% - 강조색2 4" xfId="41929" hidden="1"/>
    <cellStyle name="40% - 강조색2 4" xfId="41969" hidden="1"/>
    <cellStyle name="40% - 강조색2 4" xfId="42009" hidden="1"/>
    <cellStyle name="40% - 강조색2 4" xfId="42049" hidden="1"/>
    <cellStyle name="40% - 강조색2 4" xfId="42089" hidden="1"/>
    <cellStyle name="40% - 강조색2 4" xfId="42129" hidden="1"/>
    <cellStyle name="40% - 강조색2 4" xfId="42169" hidden="1"/>
    <cellStyle name="40% - 강조색2 4" xfId="42209" hidden="1"/>
    <cellStyle name="40% - 강조색2 4" xfId="42252" hidden="1"/>
    <cellStyle name="40% - 강조색2 4" xfId="42292" hidden="1"/>
    <cellStyle name="40% - 강조색2 4" xfId="42332" hidden="1"/>
    <cellStyle name="40% - 강조색2 4" xfId="42372" hidden="1"/>
    <cellStyle name="40% - 강조색2 4" xfId="42412" hidden="1"/>
    <cellStyle name="40% - 강조색2 4" xfId="42452" hidden="1"/>
    <cellStyle name="40% - 강조색2 4" xfId="42492" hidden="1"/>
    <cellStyle name="40% - 강조색2 4" xfId="42532" hidden="1"/>
    <cellStyle name="40% - 강조색2 4" xfId="42572" hidden="1"/>
    <cellStyle name="40% - 강조색2 4" xfId="42612" hidden="1"/>
    <cellStyle name="40% - 강조색2 4" xfId="42652" hidden="1"/>
    <cellStyle name="40% - 강조색2 4" xfId="42692" hidden="1"/>
    <cellStyle name="40% - 강조색2 4" xfId="42776" hidden="1"/>
    <cellStyle name="40% - 강조색2 4" xfId="42817" hidden="1"/>
    <cellStyle name="40% - 강조색2 4" xfId="42859" hidden="1"/>
    <cellStyle name="40% - 강조색2 4" xfId="42901" hidden="1"/>
    <cellStyle name="40% - 강조색2 4" xfId="42943" hidden="1"/>
    <cellStyle name="40% - 강조색2 4" xfId="42985" hidden="1"/>
    <cellStyle name="40% - 강조색2 4" xfId="43027" hidden="1"/>
    <cellStyle name="40% - 강조색2 4" xfId="43069" hidden="1"/>
    <cellStyle name="40% - 강조색2 4" xfId="43111" hidden="1"/>
    <cellStyle name="40% - 강조색2 4" xfId="43153" hidden="1"/>
    <cellStyle name="40% - 강조색2 4" xfId="43195" hidden="1"/>
    <cellStyle name="40% - 강조색2 4" xfId="43237" hidden="1"/>
    <cellStyle name="40% - 강조색2 4" xfId="42733" hidden="1"/>
    <cellStyle name="40% - 강조색2 4" xfId="43416" hidden="1"/>
    <cellStyle name="40% - 강조색2 4" xfId="43456" hidden="1"/>
    <cellStyle name="40% - 강조색2 4" xfId="43496" hidden="1"/>
    <cellStyle name="40% - 강조색2 4" xfId="43536" hidden="1"/>
    <cellStyle name="40% - 강조색2 4" xfId="43576" hidden="1"/>
    <cellStyle name="40% - 강조색2 4" xfId="43616" hidden="1"/>
    <cellStyle name="40% - 강조색2 4" xfId="43656" hidden="1"/>
    <cellStyle name="40% - 강조색2 4" xfId="43696" hidden="1"/>
    <cellStyle name="40% - 강조색2 4" xfId="43736" hidden="1"/>
    <cellStyle name="40% - 강조색2 4" xfId="43776" hidden="1"/>
    <cellStyle name="40% - 강조색2 4" xfId="43816" hidden="1"/>
    <cellStyle name="40% - 강조색2 4" xfId="43856" hidden="1"/>
    <cellStyle name="40% - 강조색2 4" xfId="43314" hidden="1"/>
    <cellStyle name="40% - 강조색2 4" xfId="43275" hidden="1"/>
    <cellStyle name="40% - 강조색2 4" xfId="43898" hidden="1"/>
    <cellStyle name="40% - 강조색2 4" xfId="43940" hidden="1"/>
    <cellStyle name="40% - 강조색2 4" xfId="43982" hidden="1"/>
    <cellStyle name="40% - 강조색2 4" xfId="44024" hidden="1"/>
    <cellStyle name="40% - 강조색2 4" xfId="44066" hidden="1"/>
    <cellStyle name="40% - 강조색2 4" xfId="44108" hidden="1"/>
    <cellStyle name="40% - 강조색2 4" xfId="44150" hidden="1"/>
    <cellStyle name="40% - 강조색2 4" xfId="44192" hidden="1"/>
    <cellStyle name="40% - 강조색2 4" xfId="44234" hidden="1"/>
    <cellStyle name="40% - 강조색2 4" xfId="44276" hidden="1"/>
    <cellStyle name="40% - 강조색2 4" xfId="43367" hidden="1"/>
    <cellStyle name="40% - 강조색2 4" xfId="44304" hidden="1"/>
    <cellStyle name="40% - 강조색2 4" xfId="44344" hidden="1"/>
    <cellStyle name="40% - 강조색2 4" xfId="44384" hidden="1"/>
    <cellStyle name="40% - 강조색2 4" xfId="44424" hidden="1"/>
    <cellStyle name="40% - 강조색2 4" xfId="44464" hidden="1"/>
    <cellStyle name="40% - 강조색2 4" xfId="44504" hidden="1"/>
    <cellStyle name="40% - 강조색2 4" xfId="44544" hidden="1"/>
    <cellStyle name="40% - 강조색2 4" xfId="44584" hidden="1"/>
    <cellStyle name="40% - 강조색2 4" xfId="44624" hidden="1"/>
    <cellStyle name="40% - 강조색2 4" xfId="44664" hidden="1"/>
    <cellStyle name="40% - 강조색2 4" xfId="44704" hidden="1"/>
    <cellStyle name="40% - 강조색2 4" xfId="44744" hidden="1"/>
    <cellStyle name="40% - 강조색2 4" xfId="44840" hidden="1"/>
    <cellStyle name="40% - 강조색2 4" xfId="44880" hidden="1"/>
    <cellStyle name="40% - 강조색2 4" xfId="44922" hidden="1"/>
    <cellStyle name="40% - 강조색2 4" xfId="44963" hidden="1"/>
    <cellStyle name="40% - 강조색2 4" xfId="45003" hidden="1"/>
    <cellStyle name="40% - 강조색2 4" xfId="45043" hidden="1"/>
    <cellStyle name="40% - 강조색2 4" xfId="45083" hidden="1"/>
    <cellStyle name="40% - 강조색2 4" xfId="45123" hidden="1"/>
    <cellStyle name="40% - 강조색2 4" xfId="45163" hidden="1"/>
    <cellStyle name="40% - 강조색2 4" xfId="45203" hidden="1"/>
    <cellStyle name="40% - 강조색2 4" xfId="45243" hidden="1"/>
    <cellStyle name="40% - 강조색2 4" xfId="45283" hidden="1"/>
    <cellStyle name="40% - 강조색2 4" xfId="45367" hidden="1"/>
    <cellStyle name="40% - 강조색2 4" xfId="45408" hidden="1"/>
    <cellStyle name="40% - 강조색2 4" xfId="45450" hidden="1"/>
    <cellStyle name="40% - 강조색2 4" xfId="45492" hidden="1"/>
    <cellStyle name="40% - 강조색2 4" xfId="45534" hidden="1"/>
    <cellStyle name="40% - 강조색2 4" xfId="45576" hidden="1"/>
    <cellStyle name="40% - 강조색2 4" xfId="45618" hidden="1"/>
    <cellStyle name="40% - 강조색2 4" xfId="45660" hidden="1"/>
    <cellStyle name="40% - 강조색2 4" xfId="45702" hidden="1"/>
    <cellStyle name="40% - 강조색2 4" xfId="45744" hidden="1"/>
    <cellStyle name="40% - 강조색2 4" xfId="45786" hidden="1"/>
    <cellStyle name="40% - 강조색2 4" xfId="45828" hidden="1"/>
    <cellStyle name="40% - 강조색2 4" xfId="45324" hidden="1"/>
    <cellStyle name="40% - 강조색2 4" xfId="46007" hidden="1"/>
    <cellStyle name="40% - 강조색2 4" xfId="46047" hidden="1"/>
    <cellStyle name="40% - 강조색2 4" xfId="46087" hidden="1"/>
    <cellStyle name="40% - 강조색2 4" xfId="46127" hidden="1"/>
    <cellStyle name="40% - 강조색2 4" xfId="46167" hidden="1"/>
    <cellStyle name="40% - 강조색2 4" xfId="46207" hidden="1"/>
    <cellStyle name="40% - 강조색2 4" xfId="46247" hidden="1"/>
    <cellStyle name="40% - 강조색2 4" xfId="46287" hidden="1"/>
    <cellStyle name="40% - 강조색2 4" xfId="46327" hidden="1"/>
    <cellStyle name="40% - 강조색2 4" xfId="46367" hidden="1"/>
    <cellStyle name="40% - 강조색2 4" xfId="46407" hidden="1"/>
    <cellStyle name="40% - 강조색2 4" xfId="46447" hidden="1"/>
    <cellStyle name="40% - 강조색2 4" xfId="45905" hidden="1"/>
    <cellStyle name="40% - 강조색2 4" xfId="45866" hidden="1"/>
    <cellStyle name="40% - 강조색2 4" xfId="46489" hidden="1"/>
    <cellStyle name="40% - 강조색2 4" xfId="46531" hidden="1"/>
    <cellStyle name="40% - 강조색2 4" xfId="46573" hidden="1"/>
    <cellStyle name="40% - 강조색2 4" xfId="46615" hidden="1"/>
    <cellStyle name="40% - 강조색2 4" xfId="46657" hidden="1"/>
    <cellStyle name="40% - 강조색2 4" xfId="46699" hidden="1"/>
    <cellStyle name="40% - 강조색2 4" xfId="46741" hidden="1"/>
    <cellStyle name="40% - 강조색2 4" xfId="46783" hidden="1"/>
    <cellStyle name="40% - 강조색2 4" xfId="46825" hidden="1"/>
    <cellStyle name="40% - 강조색2 4" xfId="46867" hidden="1"/>
    <cellStyle name="40% - 강조색2 4" xfId="45958" hidden="1"/>
    <cellStyle name="40% - 강조색2 4" xfId="46895" hidden="1"/>
    <cellStyle name="40% - 강조색2 4" xfId="46935" hidden="1"/>
    <cellStyle name="40% - 강조색2 4" xfId="46975" hidden="1"/>
    <cellStyle name="40% - 강조색2 4" xfId="47015" hidden="1"/>
    <cellStyle name="40% - 강조색2 4" xfId="47055" hidden="1"/>
    <cellStyle name="40% - 강조색2 4" xfId="47095" hidden="1"/>
    <cellStyle name="40% - 강조색2 4" xfId="47135" hidden="1"/>
    <cellStyle name="40% - 강조색2 4" xfId="47175" hidden="1"/>
    <cellStyle name="40% - 강조색2 4" xfId="47215" hidden="1"/>
    <cellStyle name="40% - 강조색2 4" xfId="47255" hidden="1"/>
    <cellStyle name="40% - 강조색2 4" xfId="47295" hidden="1"/>
    <cellStyle name="40% - 강조색2 4" xfId="47335" hidden="1"/>
    <cellStyle name="40% - 강조색2 4" xfId="44766" hidden="1"/>
    <cellStyle name="40% - 강조색2 4" xfId="47386" hidden="1"/>
    <cellStyle name="40% - 강조색2 4" xfId="47426" hidden="1"/>
    <cellStyle name="40% - 강조색2 4" xfId="47466" hidden="1"/>
    <cellStyle name="40% - 강조색2 4" xfId="47506" hidden="1"/>
    <cellStyle name="40% - 강조색2 4" xfId="47546" hidden="1"/>
    <cellStyle name="40% - 강조색2 4" xfId="47586" hidden="1"/>
    <cellStyle name="40% - 강조색2 4" xfId="47626" hidden="1"/>
    <cellStyle name="40% - 강조색2 4" xfId="47666" hidden="1"/>
    <cellStyle name="40% - 강조색2 4" xfId="47706" hidden="1"/>
    <cellStyle name="40% - 강조색2 4" xfId="47746" hidden="1"/>
    <cellStyle name="40% - 강조색2 4" xfId="47786" hidden="1"/>
    <cellStyle name="40% - 강조색2 4" xfId="47870" hidden="1"/>
    <cellStyle name="40% - 강조색2 4" xfId="47911" hidden="1"/>
    <cellStyle name="40% - 강조색2 4" xfId="47953" hidden="1"/>
    <cellStyle name="40% - 강조색2 4" xfId="47995" hidden="1"/>
    <cellStyle name="40% - 강조색2 4" xfId="48037" hidden="1"/>
    <cellStyle name="40% - 강조색2 4" xfId="48079" hidden="1"/>
    <cellStyle name="40% - 강조색2 4" xfId="48121" hidden="1"/>
    <cellStyle name="40% - 강조색2 4" xfId="48163" hidden="1"/>
    <cellStyle name="40% - 강조색2 4" xfId="48205" hidden="1"/>
    <cellStyle name="40% - 강조색2 4" xfId="48247" hidden="1"/>
    <cellStyle name="40% - 강조색2 4" xfId="48289" hidden="1"/>
    <cellStyle name="40% - 강조색2 4" xfId="48331" hidden="1"/>
    <cellStyle name="40% - 강조색2 4" xfId="47827" hidden="1"/>
    <cellStyle name="40% - 강조색2 4" xfId="48510" hidden="1"/>
    <cellStyle name="40% - 강조색2 4" xfId="48550" hidden="1"/>
    <cellStyle name="40% - 강조색2 4" xfId="48590" hidden="1"/>
    <cellStyle name="40% - 강조색2 4" xfId="48630" hidden="1"/>
    <cellStyle name="40% - 강조색2 4" xfId="48670" hidden="1"/>
    <cellStyle name="40% - 강조색2 4" xfId="48710" hidden="1"/>
    <cellStyle name="40% - 강조색2 4" xfId="48750" hidden="1"/>
    <cellStyle name="40% - 강조색2 4" xfId="48790" hidden="1"/>
    <cellStyle name="40% - 강조색2 4" xfId="48830" hidden="1"/>
    <cellStyle name="40% - 강조색2 4" xfId="48870" hidden="1"/>
    <cellStyle name="40% - 강조색2 4" xfId="48910" hidden="1"/>
    <cellStyle name="40% - 강조색2 4" xfId="48950" hidden="1"/>
    <cellStyle name="40% - 강조색2 4" xfId="48408" hidden="1"/>
    <cellStyle name="40% - 강조색2 4" xfId="48369" hidden="1"/>
    <cellStyle name="40% - 강조색2 4" xfId="48992" hidden="1"/>
    <cellStyle name="40% - 강조색2 4" xfId="49034" hidden="1"/>
    <cellStyle name="40% - 강조색2 4" xfId="49076" hidden="1"/>
    <cellStyle name="40% - 강조색2 4" xfId="49118" hidden="1"/>
    <cellStyle name="40% - 강조색2 4" xfId="49160" hidden="1"/>
    <cellStyle name="40% - 강조색2 4" xfId="49202" hidden="1"/>
    <cellStyle name="40% - 강조색2 4" xfId="49244" hidden="1"/>
    <cellStyle name="40% - 강조색2 4" xfId="49286" hidden="1"/>
    <cellStyle name="40% - 강조색2 4" xfId="49328" hidden="1"/>
    <cellStyle name="40% - 강조색2 4" xfId="49370" hidden="1"/>
    <cellStyle name="40% - 강조색2 4" xfId="48461" hidden="1"/>
    <cellStyle name="40% - 강조색2 4" xfId="49398" hidden="1"/>
    <cellStyle name="40% - 강조색2 4" xfId="49438" hidden="1"/>
    <cellStyle name="40% - 강조색2 4" xfId="49478" hidden="1"/>
    <cellStyle name="40% - 강조색2 4" xfId="49518" hidden="1"/>
    <cellStyle name="40% - 강조색2 4" xfId="49558" hidden="1"/>
    <cellStyle name="40% - 강조색2 4" xfId="49598" hidden="1"/>
    <cellStyle name="40% - 강조색2 4" xfId="49638" hidden="1"/>
    <cellStyle name="40% - 강조색2 4" xfId="49678" hidden="1"/>
    <cellStyle name="40% - 강조색2 4" xfId="49718" hidden="1"/>
    <cellStyle name="40% - 강조색2 4" xfId="49758" hidden="1"/>
    <cellStyle name="40% - 강조색2 4" xfId="49798" hidden="1"/>
    <cellStyle name="40% - 강조색2 4" xfId="49838" hidden="1"/>
    <cellStyle name="40% - 강조색2 4" xfId="44809" hidden="1"/>
    <cellStyle name="40% - 강조색2 4" xfId="49888" hidden="1"/>
    <cellStyle name="40% - 강조색2 4" xfId="49928" hidden="1"/>
    <cellStyle name="40% - 강조색2 4" xfId="49968" hidden="1"/>
    <cellStyle name="40% - 강조색2 4" xfId="50008" hidden="1"/>
    <cellStyle name="40% - 강조색2 4" xfId="50048" hidden="1"/>
    <cellStyle name="40% - 강조색2 4" xfId="50088" hidden="1"/>
    <cellStyle name="40% - 강조색2 4" xfId="50128" hidden="1"/>
    <cellStyle name="40% - 강조색2 4" xfId="50168" hidden="1"/>
    <cellStyle name="40% - 강조색2 4" xfId="50208" hidden="1"/>
    <cellStyle name="40% - 강조색2 4" xfId="50248" hidden="1"/>
    <cellStyle name="40% - 강조색2 4" xfId="50288" hidden="1"/>
    <cellStyle name="40% - 강조색2 4" xfId="50372" hidden="1"/>
    <cellStyle name="40% - 강조색2 4" xfId="50413" hidden="1"/>
    <cellStyle name="40% - 강조색2 4" xfId="50455" hidden="1"/>
    <cellStyle name="40% - 강조색2 4" xfId="50497" hidden="1"/>
    <cellStyle name="40% - 강조색2 4" xfId="50539" hidden="1"/>
    <cellStyle name="40% - 강조색2 4" xfId="50581" hidden="1"/>
    <cellStyle name="40% - 강조색2 4" xfId="50623" hidden="1"/>
    <cellStyle name="40% - 강조색2 4" xfId="50665" hidden="1"/>
    <cellStyle name="40% - 강조색2 4" xfId="50707" hidden="1"/>
    <cellStyle name="40% - 강조색2 4" xfId="50749" hidden="1"/>
    <cellStyle name="40% - 강조색2 4" xfId="50791" hidden="1"/>
    <cellStyle name="40% - 강조색2 4" xfId="50833" hidden="1"/>
    <cellStyle name="40% - 강조색2 4" xfId="50329" hidden="1"/>
    <cellStyle name="40% - 강조색2 4" xfId="51012" hidden="1"/>
    <cellStyle name="40% - 강조색2 4" xfId="51052" hidden="1"/>
    <cellStyle name="40% - 강조색2 4" xfId="51092" hidden="1"/>
    <cellStyle name="40% - 강조색2 4" xfId="51132" hidden="1"/>
    <cellStyle name="40% - 강조색2 4" xfId="51172" hidden="1"/>
    <cellStyle name="40% - 강조색2 4" xfId="51212" hidden="1"/>
    <cellStyle name="40% - 강조색2 4" xfId="51252" hidden="1"/>
    <cellStyle name="40% - 강조색2 4" xfId="51292" hidden="1"/>
    <cellStyle name="40% - 강조색2 4" xfId="51332" hidden="1"/>
    <cellStyle name="40% - 강조색2 4" xfId="51372" hidden="1"/>
    <cellStyle name="40% - 강조색2 4" xfId="51412" hidden="1"/>
    <cellStyle name="40% - 강조색2 4" xfId="51452" hidden="1"/>
    <cellStyle name="40% - 강조색2 4" xfId="50910" hidden="1"/>
    <cellStyle name="40% - 강조색2 4" xfId="50871" hidden="1"/>
    <cellStyle name="40% - 강조색2 4" xfId="51494" hidden="1"/>
    <cellStyle name="40% - 강조색2 4" xfId="51536" hidden="1"/>
    <cellStyle name="40% - 강조색2 4" xfId="51578" hidden="1"/>
    <cellStyle name="40% - 강조색2 4" xfId="51620" hidden="1"/>
    <cellStyle name="40% - 강조색2 4" xfId="51662" hidden="1"/>
    <cellStyle name="40% - 강조색2 4" xfId="51704" hidden="1"/>
    <cellStyle name="40% - 강조색2 4" xfId="51746" hidden="1"/>
    <cellStyle name="40% - 강조색2 4" xfId="51788" hidden="1"/>
    <cellStyle name="40% - 강조색2 4" xfId="51830" hidden="1"/>
    <cellStyle name="40% - 강조색2 4" xfId="51872" hidden="1"/>
    <cellStyle name="40% - 강조색2 4" xfId="50963" hidden="1"/>
    <cellStyle name="40% - 강조색2 4" xfId="51900" hidden="1"/>
    <cellStyle name="40% - 강조색2 4" xfId="51940" hidden="1"/>
    <cellStyle name="40% - 강조색2 4" xfId="51980" hidden="1"/>
    <cellStyle name="40% - 강조색2 4" xfId="52020" hidden="1"/>
    <cellStyle name="40% - 강조색2 4" xfId="52060" hidden="1"/>
    <cellStyle name="40% - 강조색2 4" xfId="52100" hidden="1"/>
    <cellStyle name="40% - 강조색2 4" xfId="52140" hidden="1"/>
    <cellStyle name="40% - 강조색2 4" xfId="52180" hidden="1"/>
    <cellStyle name="40% - 강조색2 4" xfId="52220" hidden="1"/>
    <cellStyle name="40% - 강조색2 4" xfId="52260" hidden="1"/>
    <cellStyle name="40% - 강조색2 4" xfId="52300" hidden="1"/>
    <cellStyle name="40% - 강조색2 4" xfId="52340" hidden="1"/>
    <cellStyle name="40% - 강조색2 4 2" xfId="1881"/>
    <cellStyle name="40% - 강조색2 4 3" xfId="1882"/>
    <cellStyle name="40% - 강조색2 4 4" xfId="1883"/>
    <cellStyle name="40% - 강조색2 4 5" xfId="1884"/>
    <cellStyle name="40% - 강조색2 40" xfId="1885"/>
    <cellStyle name="40% - 강조색2 41" xfId="1886"/>
    <cellStyle name="40% - 강조색2 42" xfId="1887"/>
    <cellStyle name="40% - 강조색2 43" xfId="1888"/>
    <cellStyle name="40% - 강조색2 44" xfId="1889"/>
    <cellStyle name="40% - 강조색2 45" xfId="1890"/>
    <cellStyle name="40% - 강조색2 46" xfId="1891"/>
    <cellStyle name="40% - 강조색2 47" xfId="1892"/>
    <cellStyle name="40% - 강조색2 48" xfId="1893"/>
    <cellStyle name="40% - 강조색2 49" xfId="1894"/>
    <cellStyle name="40% - 강조색2 5" xfId="1895"/>
    <cellStyle name="40% - 강조색2 50" xfId="1896"/>
    <cellStyle name="40% - 강조색2 51" xfId="1897"/>
    <cellStyle name="40% - 강조색2 52" xfId="1898"/>
    <cellStyle name="40% - 강조색2 6" xfId="1899"/>
    <cellStyle name="40% - 강조색2 7" xfId="1900"/>
    <cellStyle name="40% - 강조색2 8" xfId="1901"/>
    <cellStyle name="40% - 강조색2 9" xfId="1902"/>
    <cellStyle name="40% - 강조색3 10" xfId="1903"/>
    <cellStyle name="40% - 강조색3 11" xfId="1904"/>
    <cellStyle name="40% - 강조색3 12" xfId="1905"/>
    <cellStyle name="40% - 강조색3 13" xfId="1906"/>
    <cellStyle name="40% - 강조색3 14" xfId="1907"/>
    <cellStyle name="40% - 강조색3 15" xfId="1908"/>
    <cellStyle name="40% - 강조색3 16" xfId="1909"/>
    <cellStyle name="40% - 강조색3 17" xfId="1910"/>
    <cellStyle name="40% - 강조색3 18" xfId="1911"/>
    <cellStyle name="40% - 강조색3 19" xfId="1912"/>
    <cellStyle name="40% - 강조색3 2" xfId="122"/>
    <cellStyle name="40% - 강조색3 2 10" xfId="1913"/>
    <cellStyle name="40% - 강조색3 2 100" xfId="1914"/>
    <cellStyle name="40% - 강조색3 2 101" xfId="1915"/>
    <cellStyle name="40% - 강조색3 2 102" xfId="1916"/>
    <cellStyle name="40% - 강조색3 2 103" xfId="1917"/>
    <cellStyle name="40% - 강조색3 2 104" xfId="1918"/>
    <cellStyle name="40% - 강조색3 2 105" xfId="1919"/>
    <cellStyle name="40% - 강조색3 2 106" xfId="1920"/>
    <cellStyle name="40% - 강조색3 2 107" xfId="1921"/>
    <cellStyle name="40% - 강조색3 2 108" xfId="1922"/>
    <cellStyle name="40% - 강조색3 2 109" xfId="1923"/>
    <cellStyle name="40% - 강조색3 2 11" xfId="1924"/>
    <cellStyle name="40% - 강조색3 2 110" xfId="1925"/>
    <cellStyle name="40% - 강조색3 2 111" xfId="1926"/>
    <cellStyle name="40% - 강조색3 2 112" xfId="1927"/>
    <cellStyle name="40% - 강조색3 2 12" xfId="1928"/>
    <cellStyle name="40% - 강조색3 2 13" xfId="1929"/>
    <cellStyle name="40% - 강조색3 2 14" xfId="1930"/>
    <cellStyle name="40% - 강조색3 2 15" xfId="1931"/>
    <cellStyle name="40% - 강조색3 2 16" xfId="1932"/>
    <cellStyle name="40% - 강조색3 2 17" xfId="1933"/>
    <cellStyle name="40% - 강조색3 2 18" xfId="1934"/>
    <cellStyle name="40% - 강조색3 2 19" xfId="1935"/>
    <cellStyle name="40% - 강조색3 2 2" xfId="123"/>
    <cellStyle name="40% - 강조색3 2 2 10" xfId="1936"/>
    <cellStyle name="40% - 강조색3 2 2 11" xfId="1937"/>
    <cellStyle name="40% - 강조색3 2 2 12" xfId="1938"/>
    <cellStyle name="40% - 강조색3 2 2 13" xfId="1939"/>
    <cellStyle name="40% - 강조색3 2 2 14" xfId="1940"/>
    <cellStyle name="40% - 강조색3 2 2 15" xfId="1941"/>
    <cellStyle name="40% - 강조색3 2 2 2" xfId="1942"/>
    <cellStyle name="40% - 강조색3 2 2 2 2" xfId="1943"/>
    <cellStyle name="40% - 강조색3 2 2 2 3" xfId="1944"/>
    <cellStyle name="40% - 강조색3 2 2 2 4" xfId="1945"/>
    <cellStyle name="40% - 강조색3 2 2 2 5" xfId="1946"/>
    <cellStyle name="40% - 강조색3 2 2 3" xfId="1947"/>
    <cellStyle name="40% - 강조색3 2 2 4" xfId="1948"/>
    <cellStyle name="40% - 강조색3 2 2 5" xfId="1949"/>
    <cellStyle name="40% - 강조색3 2 2 6" xfId="1950"/>
    <cellStyle name="40% - 강조색3 2 2 7" xfId="1951"/>
    <cellStyle name="40% - 강조색3 2 2 8" xfId="1952"/>
    <cellStyle name="40% - 강조색3 2 2 9" xfId="1953"/>
    <cellStyle name="40% - 강조색3 2 20" xfId="1954"/>
    <cellStyle name="40% - 강조색3 2 21" xfId="1955"/>
    <cellStyle name="40% - 강조색3 2 22" xfId="1956"/>
    <cellStyle name="40% - 강조색3 2 23" xfId="1957"/>
    <cellStyle name="40% - 강조색3 2 24" xfId="1958"/>
    <cellStyle name="40% - 강조색3 2 25" xfId="1959"/>
    <cellStyle name="40% - 강조색3 2 26" xfId="1960"/>
    <cellStyle name="40% - 강조색3 2 27" xfId="1961"/>
    <cellStyle name="40% - 강조색3 2 28" xfId="1962"/>
    <cellStyle name="40% - 강조색3 2 29" xfId="1963"/>
    <cellStyle name="40% - 강조색3 2 3" xfId="1964"/>
    <cellStyle name="40% - 강조색3 2 3 2" xfId="1965"/>
    <cellStyle name="40% - 강조색3 2 3 3" xfId="1966"/>
    <cellStyle name="40% - 강조색3 2 3 4" xfId="1967"/>
    <cellStyle name="40% - 강조색3 2 3 5" xfId="1968"/>
    <cellStyle name="40% - 강조색3 2 30" xfId="1969"/>
    <cellStyle name="40% - 강조색3 2 31" xfId="1970"/>
    <cellStyle name="40% - 강조색3 2 32" xfId="1971"/>
    <cellStyle name="40% - 강조색3 2 33" xfId="1972"/>
    <cellStyle name="40% - 강조색3 2 34" xfId="1973"/>
    <cellStyle name="40% - 강조색3 2 35" xfId="1974"/>
    <cellStyle name="40% - 강조색3 2 36" xfId="1975"/>
    <cellStyle name="40% - 강조색3 2 37" xfId="1976"/>
    <cellStyle name="40% - 강조색3 2 38" xfId="1977"/>
    <cellStyle name="40% - 강조색3 2 39" xfId="1978"/>
    <cellStyle name="40% - 강조색3 2 4" xfId="1979"/>
    <cellStyle name="40% - 강조색3 2 40" xfId="1980"/>
    <cellStyle name="40% - 강조색3 2 41" xfId="1981"/>
    <cellStyle name="40% - 강조색3 2 42" xfId="1982"/>
    <cellStyle name="40% - 강조색3 2 43" xfId="1983"/>
    <cellStyle name="40% - 강조색3 2 44" xfId="1984"/>
    <cellStyle name="40% - 강조색3 2 45" xfId="1985"/>
    <cellStyle name="40% - 강조색3 2 46" xfId="1986"/>
    <cellStyle name="40% - 강조색3 2 47" xfId="1987"/>
    <cellStyle name="40% - 강조색3 2 48" xfId="1988"/>
    <cellStyle name="40% - 강조색3 2 49" xfId="1989"/>
    <cellStyle name="40% - 강조색3 2 5" xfId="1990"/>
    <cellStyle name="40% - 강조색3 2 50" xfId="1991"/>
    <cellStyle name="40% - 강조색3 2 51" xfId="1992"/>
    <cellStyle name="40% - 강조색3 2 52" xfId="1993"/>
    <cellStyle name="40% - 강조색3 2 53" xfId="1994"/>
    <cellStyle name="40% - 강조색3 2 54" xfId="1995"/>
    <cellStyle name="40% - 강조색3 2 55" xfId="1996"/>
    <cellStyle name="40% - 강조색3 2 56" xfId="1997"/>
    <cellStyle name="40% - 강조색3 2 57" xfId="1998"/>
    <cellStyle name="40% - 강조색3 2 58" xfId="1999"/>
    <cellStyle name="40% - 강조색3 2 59" xfId="2000"/>
    <cellStyle name="40% - 강조색3 2 6" xfId="2001"/>
    <cellStyle name="40% - 강조색3 2 60" xfId="2002"/>
    <cellStyle name="40% - 강조색3 2 61" xfId="2003"/>
    <cellStyle name="40% - 강조색3 2 62" xfId="2004"/>
    <cellStyle name="40% - 강조색3 2 63" xfId="2005"/>
    <cellStyle name="40% - 강조색3 2 64" xfId="2006"/>
    <cellStyle name="40% - 강조색3 2 65" xfId="2007"/>
    <cellStyle name="40% - 강조색3 2 66" xfId="2008"/>
    <cellStyle name="40% - 강조색3 2 67" xfId="2009"/>
    <cellStyle name="40% - 강조색3 2 68" xfId="2010"/>
    <cellStyle name="40% - 강조색3 2 69" xfId="2011"/>
    <cellStyle name="40% - 강조색3 2 7" xfId="2012"/>
    <cellStyle name="40% - 강조색3 2 70" xfId="2013"/>
    <cellStyle name="40% - 강조색3 2 71" xfId="2014"/>
    <cellStyle name="40% - 강조색3 2 72" xfId="2015"/>
    <cellStyle name="40% - 강조색3 2 73" xfId="2016"/>
    <cellStyle name="40% - 강조색3 2 74" xfId="2017"/>
    <cellStyle name="40% - 강조색3 2 75" xfId="2018"/>
    <cellStyle name="40% - 강조색3 2 76" xfId="2019"/>
    <cellStyle name="40% - 강조색3 2 77" xfId="2020"/>
    <cellStyle name="40% - 강조색3 2 78" xfId="2021"/>
    <cellStyle name="40% - 강조색3 2 79" xfId="2022"/>
    <cellStyle name="40% - 강조색3 2 8" xfId="2023"/>
    <cellStyle name="40% - 강조색3 2 80" xfId="2024"/>
    <cellStyle name="40% - 강조색3 2 81" xfId="2025"/>
    <cellStyle name="40% - 강조색3 2 82" xfId="2026"/>
    <cellStyle name="40% - 강조색3 2 83" xfId="2027"/>
    <cellStyle name="40% - 강조색3 2 84" xfId="2028"/>
    <cellStyle name="40% - 강조색3 2 85" xfId="2029"/>
    <cellStyle name="40% - 강조색3 2 86" xfId="2030"/>
    <cellStyle name="40% - 강조색3 2 87" xfId="2031"/>
    <cellStyle name="40% - 강조색3 2 88" xfId="2032"/>
    <cellStyle name="40% - 강조색3 2 89" xfId="2033"/>
    <cellStyle name="40% - 강조색3 2 9" xfId="2034"/>
    <cellStyle name="40% - 강조색3 2 90" xfId="2035"/>
    <cellStyle name="40% - 강조색3 2 91" xfId="2036"/>
    <cellStyle name="40% - 강조색3 2 92" xfId="2037"/>
    <cellStyle name="40% - 강조색3 2 93" xfId="2038"/>
    <cellStyle name="40% - 강조색3 2 94" xfId="2039"/>
    <cellStyle name="40% - 강조색3 2 95" xfId="2040"/>
    <cellStyle name="40% - 강조색3 2 96" xfId="2041"/>
    <cellStyle name="40% - 강조색3 2 97" xfId="2042"/>
    <cellStyle name="40% - 강조색3 2 98" xfId="2043"/>
    <cellStyle name="40% - 강조색3 2 99" xfId="2044"/>
    <cellStyle name="40% - 강조색3 20" xfId="2045"/>
    <cellStyle name="40% - 강조색3 21" xfId="2046"/>
    <cellStyle name="40% - 강조색3 22" xfId="2047"/>
    <cellStyle name="40% - 강조색3 23" xfId="2048"/>
    <cellStyle name="40% - 강조색3 24" xfId="2049"/>
    <cellStyle name="40% - 강조색3 25" xfId="2050"/>
    <cellStyle name="40% - 강조색3 26" xfId="2051"/>
    <cellStyle name="40% - 강조색3 27" xfId="2052"/>
    <cellStyle name="40% - 강조색3 28" xfId="2053"/>
    <cellStyle name="40% - 강조색3 29" xfId="2054"/>
    <cellStyle name="40% - 강조색3 3" xfId="124"/>
    <cellStyle name="40% - 강조색3 30" xfId="2055"/>
    <cellStyle name="40% - 강조색3 31" xfId="2056"/>
    <cellStyle name="40% - 강조색3 32" xfId="2057"/>
    <cellStyle name="40% - 강조색3 33" xfId="2058"/>
    <cellStyle name="40% - 강조색3 34" xfId="2059"/>
    <cellStyle name="40% - 강조색3 35" xfId="2060"/>
    <cellStyle name="40% - 강조색3 36" xfId="2061"/>
    <cellStyle name="40% - 강조색3 37" xfId="2062"/>
    <cellStyle name="40% - 강조색3 38" xfId="2063"/>
    <cellStyle name="40% - 강조색3 39" xfId="2064"/>
    <cellStyle name="40% - 강조색3 4" xfId="11734" hidden="1"/>
    <cellStyle name="40% - 강조색3 4" xfId="11780" hidden="1"/>
    <cellStyle name="40% - 강조색3 4" xfId="11826" hidden="1"/>
    <cellStyle name="40% - 강조색3 4" xfId="11872" hidden="1"/>
    <cellStyle name="40% - 강조색3 4" xfId="11918" hidden="1"/>
    <cellStyle name="40% - 강조색3 4" xfId="11964" hidden="1"/>
    <cellStyle name="40% - 강조색3 4" xfId="12010" hidden="1"/>
    <cellStyle name="40% - 강조색3 4" xfId="12056" hidden="1"/>
    <cellStyle name="40% - 강조색3 4" xfId="12102" hidden="1"/>
    <cellStyle name="40% - 강조색3 4" xfId="12148" hidden="1"/>
    <cellStyle name="40% - 강조색3 4" xfId="12194" hidden="1"/>
    <cellStyle name="40% - 강조색3 4" xfId="12240" hidden="1"/>
    <cellStyle name="40% - 강조색3 4" xfId="12330" hidden="1"/>
    <cellStyle name="40% - 강조색3 4" xfId="12371" hidden="1"/>
    <cellStyle name="40% - 강조색3 4" xfId="12413" hidden="1"/>
    <cellStyle name="40% - 강조색3 4" xfId="12455" hidden="1"/>
    <cellStyle name="40% - 강조색3 4" xfId="12497" hidden="1"/>
    <cellStyle name="40% - 강조색3 4" xfId="12539" hidden="1"/>
    <cellStyle name="40% - 강조색3 4" xfId="12581" hidden="1"/>
    <cellStyle name="40% - 강조색3 4" xfId="12623" hidden="1"/>
    <cellStyle name="40% - 강조색3 4" xfId="12665" hidden="1"/>
    <cellStyle name="40% - 강조색3 4" xfId="12707" hidden="1"/>
    <cellStyle name="40% - 강조색3 4" xfId="12749" hidden="1"/>
    <cellStyle name="40% - 강조색3 4" xfId="12791" hidden="1"/>
    <cellStyle name="40% - 강조색3 4" xfId="12285" hidden="1"/>
    <cellStyle name="40% - 강조색3 4" xfId="12973" hidden="1"/>
    <cellStyle name="40% - 강조색3 4" xfId="13013" hidden="1"/>
    <cellStyle name="40% - 강조색3 4" xfId="13053" hidden="1"/>
    <cellStyle name="40% - 강조색3 4" xfId="13093" hidden="1"/>
    <cellStyle name="40% - 강조색3 4" xfId="13133" hidden="1"/>
    <cellStyle name="40% - 강조색3 4" xfId="13173" hidden="1"/>
    <cellStyle name="40% - 강조색3 4" xfId="13213" hidden="1"/>
    <cellStyle name="40% - 강조색3 4" xfId="13253" hidden="1"/>
    <cellStyle name="40% - 강조색3 4" xfId="13293" hidden="1"/>
    <cellStyle name="40% - 강조색3 4" xfId="13333" hidden="1"/>
    <cellStyle name="40% - 강조색3 4" xfId="13373" hidden="1"/>
    <cellStyle name="40% - 강조색3 4" xfId="13413" hidden="1"/>
    <cellStyle name="40% - 강조색3 4" xfId="12861" hidden="1"/>
    <cellStyle name="40% - 강조색3 4" xfId="12823" hidden="1"/>
    <cellStyle name="40% - 강조색3 4" xfId="13455" hidden="1"/>
    <cellStyle name="40% - 강조색3 4" xfId="13497" hidden="1"/>
    <cellStyle name="40% - 강조색3 4" xfId="13539" hidden="1"/>
    <cellStyle name="40% - 강조색3 4" xfId="13581" hidden="1"/>
    <cellStyle name="40% - 강조색3 4" xfId="13623" hidden="1"/>
    <cellStyle name="40% - 강조색3 4" xfId="13665" hidden="1"/>
    <cellStyle name="40% - 강조색3 4" xfId="13707" hidden="1"/>
    <cellStyle name="40% - 강조색3 4" xfId="13749" hidden="1"/>
    <cellStyle name="40% - 강조색3 4" xfId="13791" hidden="1"/>
    <cellStyle name="40% - 강조색3 4" xfId="13833" hidden="1"/>
    <cellStyle name="40% - 강조색3 4" xfId="12915" hidden="1"/>
    <cellStyle name="40% - 강조색3 4" xfId="13861" hidden="1"/>
    <cellStyle name="40% - 강조색3 4" xfId="13901" hidden="1"/>
    <cellStyle name="40% - 강조색3 4" xfId="13941" hidden="1"/>
    <cellStyle name="40% - 강조색3 4" xfId="13981" hidden="1"/>
    <cellStyle name="40% - 강조색3 4" xfId="14021" hidden="1"/>
    <cellStyle name="40% - 강조색3 4" xfId="14061" hidden="1"/>
    <cellStyle name="40% - 강조색3 4" xfId="14101" hidden="1"/>
    <cellStyle name="40% - 강조색3 4" xfId="14141" hidden="1"/>
    <cellStyle name="40% - 강조색3 4" xfId="14181" hidden="1"/>
    <cellStyle name="40% - 강조색3 4" xfId="14221" hidden="1"/>
    <cellStyle name="40% - 강조색3 4" xfId="14261" hidden="1"/>
    <cellStyle name="40% - 강조색3 4" xfId="14301" hidden="1"/>
    <cellStyle name="40% - 강조색3 4" xfId="14407" hidden="1"/>
    <cellStyle name="40% - 강조색3 4" xfId="14447" hidden="1"/>
    <cellStyle name="40% - 강조색3 4" xfId="14487" hidden="1"/>
    <cellStyle name="40% - 강조색3 4" xfId="14527" hidden="1"/>
    <cellStyle name="40% - 강조색3 4" xfId="14567" hidden="1"/>
    <cellStyle name="40% - 강조색3 4" xfId="14607" hidden="1"/>
    <cellStyle name="40% - 강조색3 4" xfId="14647" hidden="1"/>
    <cellStyle name="40% - 강조색3 4" xfId="14687" hidden="1"/>
    <cellStyle name="40% - 강조색3 4" xfId="14727" hidden="1"/>
    <cellStyle name="40% - 강조색3 4" xfId="14767" hidden="1"/>
    <cellStyle name="40% - 강조색3 4" xfId="14807" hidden="1"/>
    <cellStyle name="40% - 강조색3 4" xfId="14847" hidden="1"/>
    <cellStyle name="40% - 강조색3 4" xfId="14931" hidden="1"/>
    <cellStyle name="40% - 강조색3 4" xfId="14972" hidden="1"/>
    <cellStyle name="40% - 강조색3 4" xfId="15014" hidden="1"/>
    <cellStyle name="40% - 강조색3 4" xfId="15056" hidden="1"/>
    <cellStyle name="40% - 강조색3 4" xfId="15098" hidden="1"/>
    <cellStyle name="40% - 강조색3 4" xfId="15140" hidden="1"/>
    <cellStyle name="40% - 강조색3 4" xfId="15182" hidden="1"/>
    <cellStyle name="40% - 강조색3 4" xfId="15224" hidden="1"/>
    <cellStyle name="40% - 강조색3 4" xfId="15266" hidden="1"/>
    <cellStyle name="40% - 강조색3 4" xfId="15308" hidden="1"/>
    <cellStyle name="40% - 강조색3 4" xfId="15350" hidden="1"/>
    <cellStyle name="40% - 강조색3 4" xfId="15392" hidden="1"/>
    <cellStyle name="40% - 강조색3 4" xfId="14888" hidden="1"/>
    <cellStyle name="40% - 강조색3 4" xfId="15571" hidden="1"/>
    <cellStyle name="40% - 강조색3 4" xfId="15611" hidden="1"/>
    <cellStyle name="40% - 강조색3 4" xfId="15651" hidden="1"/>
    <cellStyle name="40% - 강조색3 4" xfId="15691" hidden="1"/>
    <cellStyle name="40% - 강조색3 4" xfId="15731" hidden="1"/>
    <cellStyle name="40% - 강조색3 4" xfId="15771" hidden="1"/>
    <cellStyle name="40% - 강조색3 4" xfId="15811" hidden="1"/>
    <cellStyle name="40% - 강조색3 4" xfId="15851" hidden="1"/>
    <cellStyle name="40% - 강조색3 4" xfId="15891" hidden="1"/>
    <cellStyle name="40% - 강조색3 4" xfId="15931" hidden="1"/>
    <cellStyle name="40% - 강조색3 4" xfId="15971" hidden="1"/>
    <cellStyle name="40% - 강조색3 4" xfId="16011" hidden="1"/>
    <cellStyle name="40% - 강조색3 4" xfId="15461" hidden="1"/>
    <cellStyle name="40% - 강조색3 4" xfId="15423" hidden="1"/>
    <cellStyle name="40% - 강조색3 4" xfId="16053" hidden="1"/>
    <cellStyle name="40% - 강조색3 4" xfId="16095" hidden="1"/>
    <cellStyle name="40% - 강조색3 4" xfId="16137" hidden="1"/>
    <cellStyle name="40% - 강조색3 4" xfId="16179" hidden="1"/>
    <cellStyle name="40% - 강조색3 4" xfId="16221" hidden="1"/>
    <cellStyle name="40% - 강조색3 4" xfId="16263" hidden="1"/>
    <cellStyle name="40% - 강조색3 4" xfId="16305" hidden="1"/>
    <cellStyle name="40% - 강조색3 4" xfId="16347" hidden="1"/>
    <cellStyle name="40% - 강조색3 4" xfId="16389" hidden="1"/>
    <cellStyle name="40% - 강조색3 4" xfId="16431" hidden="1"/>
    <cellStyle name="40% - 강조색3 4" xfId="15514" hidden="1"/>
    <cellStyle name="40% - 강조색3 4" xfId="16459" hidden="1"/>
    <cellStyle name="40% - 강조색3 4" xfId="16499" hidden="1"/>
    <cellStyle name="40% - 강조색3 4" xfId="16539" hidden="1"/>
    <cellStyle name="40% - 강조색3 4" xfId="16579" hidden="1"/>
    <cellStyle name="40% - 강조색3 4" xfId="16619" hidden="1"/>
    <cellStyle name="40% - 강조색3 4" xfId="16659" hidden="1"/>
    <cellStyle name="40% - 강조색3 4" xfId="16699" hidden="1"/>
    <cellStyle name="40% - 강조색3 4" xfId="16739" hidden="1"/>
    <cellStyle name="40% - 강조색3 4" xfId="16779" hidden="1"/>
    <cellStyle name="40% - 강조색3 4" xfId="16819" hidden="1"/>
    <cellStyle name="40% - 강조색3 4" xfId="16859" hidden="1"/>
    <cellStyle name="40% - 강조색3 4" xfId="16899" hidden="1"/>
    <cellStyle name="40% - 강조색3 4" xfId="14318" hidden="1"/>
    <cellStyle name="40% - 강조색3 4" xfId="16950" hidden="1"/>
    <cellStyle name="40% - 강조색3 4" xfId="16991" hidden="1"/>
    <cellStyle name="40% - 강조색3 4" xfId="17031" hidden="1"/>
    <cellStyle name="40% - 강조색3 4" xfId="17071" hidden="1"/>
    <cellStyle name="40% - 강조색3 4" xfId="17111" hidden="1"/>
    <cellStyle name="40% - 강조색3 4" xfId="17151" hidden="1"/>
    <cellStyle name="40% - 강조색3 4" xfId="17191" hidden="1"/>
    <cellStyle name="40% - 강조색3 4" xfId="17231" hidden="1"/>
    <cellStyle name="40% - 강조색3 4" xfId="17271" hidden="1"/>
    <cellStyle name="40% - 강조색3 4" xfId="17311" hidden="1"/>
    <cellStyle name="40% - 강조색3 4" xfId="17351" hidden="1"/>
    <cellStyle name="40% - 강조색3 4" xfId="17435" hidden="1"/>
    <cellStyle name="40% - 강조색3 4" xfId="17476" hidden="1"/>
    <cellStyle name="40% - 강조색3 4" xfId="17518" hidden="1"/>
    <cellStyle name="40% - 강조색3 4" xfId="17560" hidden="1"/>
    <cellStyle name="40% - 강조색3 4" xfId="17602" hidden="1"/>
    <cellStyle name="40% - 강조색3 4" xfId="17644" hidden="1"/>
    <cellStyle name="40% - 강조색3 4" xfId="17686" hidden="1"/>
    <cellStyle name="40% - 강조색3 4" xfId="17728" hidden="1"/>
    <cellStyle name="40% - 강조색3 4" xfId="17770" hidden="1"/>
    <cellStyle name="40% - 강조색3 4" xfId="17812" hidden="1"/>
    <cellStyle name="40% - 강조색3 4" xfId="17854" hidden="1"/>
    <cellStyle name="40% - 강조색3 4" xfId="17896" hidden="1"/>
    <cellStyle name="40% - 강조색3 4" xfId="17392" hidden="1"/>
    <cellStyle name="40% - 강조색3 4" xfId="18075" hidden="1"/>
    <cellStyle name="40% - 강조색3 4" xfId="18115" hidden="1"/>
    <cellStyle name="40% - 강조색3 4" xfId="18155" hidden="1"/>
    <cellStyle name="40% - 강조색3 4" xfId="18195" hidden="1"/>
    <cellStyle name="40% - 강조색3 4" xfId="18235" hidden="1"/>
    <cellStyle name="40% - 강조색3 4" xfId="18275" hidden="1"/>
    <cellStyle name="40% - 강조색3 4" xfId="18315" hidden="1"/>
    <cellStyle name="40% - 강조색3 4" xfId="18355" hidden="1"/>
    <cellStyle name="40% - 강조색3 4" xfId="18395" hidden="1"/>
    <cellStyle name="40% - 강조색3 4" xfId="18435" hidden="1"/>
    <cellStyle name="40% - 강조색3 4" xfId="18475" hidden="1"/>
    <cellStyle name="40% - 강조색3 4" xfId="18515" hidden="1"/>
    <cellStyle name="40% - 강조색3 4" xfId="17965" hidden="1"/>
    <cellStyle name="40% - 강조색3 4" xfId="17927" hidden="1"/>
    <cellStyle name="40% - 강조색3 4" xfId="18557" hidden="1"/>
    <cellStyle name="40% - 강조색3 4" xfId="18599" hidden="1"/>
    <cellStyle name="40% - 강조색3 4" xfId="18641" hidden="1"/>
    <cellStyle name="40% - 강조색3 4" xfId="18683" hidden="1"/>
    <cellStyle name="40% - 강조색3 4" xfId="18725" hidden="1"/>
    <cellStyle name="40% - 강조색3 4" xfId="18767" hidden="1"/>
    <cellStyle name="40% - 강조색3 4" xfId="18809" hidden="1"/>
    <cellStyle name="40% - 강조색3 4" xfId="18851" hidden="1"/>
    <cellStyle name="40% - 강조색3 4" xfId="18893" hidden="1"/>
    <cellStyle name="40% - 강조색3 4" xfId="18935" hidden="1"/>
    <cellStyle name="40% - 강조색3 4" xfId="18018" hidden="1"/>
    <cellStyle name="40% - 강조색3 4" xfId="18963" hidden="1"/>
    <cellStyle name="40% - 강조색3 4" xfId="19003" hidden="1"/>
    <cellStyle name="40% - 강조색3 4" xfId="19043" hidden="1"/>
    <cellStyle name="40% - 강조색3 4" xfId="19083" hidden="1"/>
    <cellStyle name="40% - 강조색3 4" xfId="19123" hidden="1"/>
    <cellStyle name="40% - 강조색3 4" xfId="19163" hidden="1"/>
    <cellStyle name="40% - 강조색3 4" xfId="19203" hidden="1"/>
    <cellStyle name="40% - 강조색3 4" xfId="19243" hidden="1"/>
    <cellStyle name="40% - 강조색3 4" xfId="19283" hidden="1"/>
    <cellStyle name="40% - 강조색3 4" xfId="19323" hidden="1"/>
    <cellStyle name="40% - 강조색3 4" xfId="19363" hidden="1"/>
    <cellStyle name="40% - 강조색3 4" xfId="19403" hidden="1"/>
    <cellStyle name="40% - 강조색3 4" xfId="14374" hidden="1"/>
    <cellStyle name="40% - 강조색3 4" xfId="19453" hidden="1"/>
    <cellStyle name="40% - 강조색3 4" xfId="19493" hidden="1"/>
    <cellStyle name="40% - 강조색3 4" xfId="19533" hidden="1"/>
    <cellStyle name="40% - 강조색3 4" xfId="19573" hidden="1"/>
    <cellStyle name="40% - 강조색3 4" xfId="19613" hidden="1"/>
    <cellStyle name="40% - 강조색3 4" xfId="19653" hidden="1"/>
    <cellStyle name="40% - 강조색3 4" xfId="19693" hidden="1"/>
    <cellStyle name="40% - 강조색3 4" xfId="19733" hidden="1"/>
    <cellStyle name="40% - 강조색3 4" xfId="19773" hidden="1"/>
    <cellStyle name="40% - 강조색3 4" xfId="19813" hidden="1"/>
    <cellStyle name="40% - 강조색3 4" xfId="19853" hidden="1"/>
    <cellStyle name="40% - 강조색3 4" xfId="19937" hidden="1"/>
    <cellStyle name="40% - 강조색3 4" xfId="19978" hidden="1"/>
    <cellStyle name="40% - 강조색3 4" xfId="20020" hidden="1"/>
    <cellStyle name="40% - 강조색3 4" xfId="20062" hidden="1"/>
    <cellStyle name="40% - 강조색3 4" xfId="20104" hidden="1"/>
    <cellStyle name="40% - 강조색3 4" xfId="20146" hidden="1"/>
    <cellStyle name="40% - 강조색3 4" xfId="20188" hidden="1"/>
    <cellStyle name="40% - 강조색3 4" xfId="20230" hidden="1"/>
    <cellStyle name="40% - 강조색3 4" xfId="20272" hidden="1"/>
    <cellStyle name="40% - 강조색3 4" xfId="20314" hidden="1"/>
    <cellStyle name="40% - 강조색3 4" xfId="20356" hidden="1"/>
    <cellStyle name="40% - 강조색3 4" xfId="20398" hidden="1"/>
    <cellStyle name="40% - 강조색3 4" xfId="19894" hidden="1"/>
    <cellStyle name="40% - 강조색3 4" xfId="20577" hidden="1"/>
    <cellStyle name="40% - 강조색3 4" xfId="20617" hidden="1"/>
    <cellStyle name="40% - 강조색3 4" xfId="20657" hidden="1"/>
    <cellStyle name="40% - 강조색3 4" xfId="20697" hidden="1"/>
    <cellStyle name="40% - 강조색3 4" xfId="20737" hidden="1"/>
    <cellStyle name="40% - 강조색3 4" xfId="20777" hidden="1"/>
    <cellStyle name="40% - 강조색3 4" xfId="20817" hidden="1"/>
    <cellStyle name="40% - 강조색3 4" xfId="20857" hidden="1"/>
    <cellStyle name="40% - 강조색3 4" xfId="20897" hidden="1"/>
    <cellStyle name="40% - 강조색3 4" xfId="20937" hidden="1"/>
    <cellStyle name="40% - 강조색3 4" xfId="20977" hidden="1"/>
    <cellStyle name="40% - 강조색3 4" xfId="21017" hidden="1"/>
    <cellStyle name="40% - 강조색3 4" xfId="20467" hidden="1"/>
    <cellStyle name="40% - 강조색3 4" xfId="20429" hidden="1"/>
    <cellStyle name="40% - 강조색3 4" xfId="21059" hidden="1"/>
    <cellStyle name="40% - 강조색3 4" xfId="21101" hidden="1"/>
    <cellStyle name="40% - 강조색3 4" xfId="21143" hidden="1"/>
    <cellStyle name="40% - 강조색3 4" xfId="21185" hidden="1"/>
    <cellStyle name="40% - 강조색3 4" xfId="21227" hidden="1"/>
    <cellStyle name="40% - 강조색3 4" xfId="21269" hidden="1"/>
    <cellStyle name="40% - 강조색3 4" xfId="21311" hidden="1"/>
    <cellStyle name="40% - 강조색3 4" xfId="21353" hidden="1"/>
    <cellStyle name="40% - 강조색3 4" xfId="21395" hidden="1"/>
    <cellStyle name="40% - 강조색3 4" xfId="21437" hidden="1"/>
    <cellStyle name="40% - 강조색3 4" xfId="20520" hidden="1"/>
    <cellStyle name="40% - 강조색3 4" xfId="21465" hidden="1"/>
    <cellStyle name="40% - 강조색3 4" xfId="21505" hidden="1"/>
    <cellStyle name="40% - 강조색3 4" xfId="21545" hidden="1"/>
    <cellStyle name="40% - 강조색3 4" xfId="21585" hidden="1"/>
    <cellStyle name="40% - 강조색3 4" xfId="21625" hidden="1"/>
    <cellStyle name="40% - 강조색3 4" xfId="21665" hidden="1"/>
    <cellStyle name="40% - 강조색3 4" xfId="21705" hidden="1"/>
    <cellStyle name="40% - 강조색3 4" xfId="21745" hidden="1"/>
    <cellStyle name="40% - 강조색3 4" xfId="21785" hidden="1"/>
    <cellStyle name="40% - 강조색3 4" xfId="21825" hidden="1"/>
    <cellStyle name="40% - 강조색3 4" xfId="21865" hidden="1"/>
    <cellStyle name="40% - 강조색3 4" xfId="21905" hidden="1"/>
    <cellStyle name="40% - 강조색3 4" xfId="21973" hidden="1"/>
    <cellStyle name="40% - 강조색3 4" xfId="22013" hidden="1"/>
    <cellStyle name="40% - 강조색3 4" xfId="22053" hidden="1"/>
    <cellStyle name="40% - 강조색3 4" xfId="22093" hidden="1"/>
    <cellStyle name="40% - 강조색3 4" xfId="22133" hidden="1"/>
    <cellStyle name="40% - 강조색3 4" xfId="22173" hidden="1"/>
    <cellStyle name="40% - 강조색3 4" xfId="22213" hidden="1"/>
    <cellStyle name="40% - 강조색3 4" xfId="22253" hidden="1"/>
    <cellStyle name="40% - 강조색3 4" xfId="22293" hidden="1"/>
    <cellStyle name="40% - 강조색3 4" xfId="22333" hidden="1"/>
    <cellStyle name="40% - 강조색3 4" xfId="22373" hidden="1"/>
    <cellStyle name="40% - 강조색3 4" xfId="22413" hidden="1"/>
    <cellStyle name="40% - 강조색3 4" xfId="22497" hidden="1"/>
    <cellStyle name="40% - 강조색3 4" xfId="22538" hidden="1"/>
    <cellStyle name="40% - 강조색3 4" xfId="22580" hidden="1"/>
    <cellStyle name="40% - 강조색3 4" xfId="22622" hidden="1"/>
    <cellStyle name="40% - 강조색3 4" xfId="22664" hidden="1"/>
    <cellStyle name="40% - 강조색3 4" xfId="22706" hidden="1"/>
    <cellStyle name="40% - 강조색3 4" xfId="22748" hidden="1"/>
    <cellStyle name="40% - 강조색3 4" xfId="22790" hidden="1"/>
    <cellStyle name="40% - 강조색3 4" xfId="22832" hidden="1"/>
    <cellStyle name="40% - 강조색3 4" xfId="22874" hidden="1"/>
    <cellStyle name="40% - 강조색3 4" xfId="22916" hidden="1"/>
    <cellStyle name="40% - 강조색3 4" xfId="22958" hidden="1"/>
    <cellStyle name="40% - 강조색3 4" xfId="22454" hidden="1"/>
    <cellStyle name="40% - 강조색3 4" xfId="23137" hidden="1"/>
    <cellStyle name="40% - 강조색3 4" xfId="23177" hidden="1"/>
    <cellStyle name="40% - 강조색3 4" xfId="23217" hidden="1"/>
    <cellStyle name="40% - 강조색3 4" xfId="23257" hidden="1"/>
    <cellStyle name="40% - 강조색3 4" xfId="23297" hidden="1"/>
    <cellStyle name="40% - 강조색3 4" xfId="23337" hidden="1"/>
    <cellStyle name="40% - 강조색3 4" xfId="23377" hidden="1"/>
    <cellStyle name="40% - 강조색3 4" xfId="23417" hidden="1"/>
    <cellStyle name="40% - 강조색3 4" xfId="23457" hidden="1"/>
    <cellStyle name="40% - 강조색3 4" xfId="23497" hidden="1"/>
    <cellStyle name="40% - 강조색3 4" xfId="23537" hidden="1"/>
    <cellStyle name="40% - 강조색3 4" xfId="23577" hidden="1"/>
    <cellStyle name="40% - 강조색3 4" xfId="23027" hidden="1"/>
    <cellStyle name="40% - 강조색3 4" xfId="22989" hidden="1"/>
    <cellStyle name="40% - 강조색3 4" xfId="23619" hidden="1"/>
    <cellStyle name="40% - 강조색3 4" xfId="23661" hidden="1"/>
    <cellStyle name="40% - 강조색3 4" xfId="23703" hidden="1"/>
    <cellStyle name="40% - 강조색3 4" xfId="23745" hidden="1"/>
    <cellStyle name="40% - 강조색3 4" xfId="23787" hidden="1"/>
    <cellStyle name="40% - 강조색3 4" xfId="23829" hidden="1"/>
    <cellStyle name="40% - 강조색3 4" xfId="23871" hidden="1"/>
    <cellStyle name="40% - 강조색3 4" xfId="23913" hidden="1"/>
    <cellStyle name="40% - 강조색3 4" xfId="23955" hidden="1"/>
    <cellStyle name="40% - 강조색3 4" xfId="23997" hidden="1"/>
    <cellStyle name="40% - 강조색3 4" xfId="23080" hidden="1"/>
    <cellStyle name="40% - 강조색3 4" xfId="24025" hidden="1"/>
    <cellStyle name="40% - 강조색3 4" xfId="24065" hidden="1"/>
    <cellStyle name="40% - 강조색3 4" xfId="24105" hidden="1"/>
    <cellStyle name="40% - 강조색3 4" xfId="24145" hidden="1"/>
    <cellStyle name="40% - 강조색3 4" xfId="24185" hidden="1"/>
    <cellStyle name="40% - 강조색3 4" xfId="24225" hidden="1"/>
    <cellStyle name="40% - 강조색3 4" xfId="24265" hidden="1"/>
    <cellStyle name="40% - 강조색3 4" xfId="24305" hidden="1"/>
    <cellStyle name="40% - 강조색3 4" xfId="24345" hidden="1"/>
    <cellStyle name="40% - 강조색3 4" xfId="24385" hidden="1"/>
    <cellStyle name="40% - 강조색3 4" xfId="24425" hidden="1"/>
    <cellStyle name="40% - 강조색3 4" xfId="24465" hidden="1"/>
    <cellStyle name="40% - 강조색3 4" xfId="24563" hidden="1"/>
    <cellStyle name="40% - 강조색3 4" xfId="24603" hidden="1"/>
    <cellStyle name="40% - 강조색3 4" xfId="24645" hidden="1"/>
    <cellStyle name="40% - 강조색3 4" xfId="24686" hidden="1"/>
    <cellStyle name="40% - 강조색3 4" xfId="24726" hidden="1"/>
    <cellStyle name="40% - 강조색3 4" xfId="24766" hidden="1"/>
    <cellStyle name="40% - 강조색3 4" xfId="24806" hidden="1"/>
    <cellStyle name="40% - 강조색3 4" xfId="24846" hidden="1"/>
    <cellStyle name="40% - 강조색3 4" xfId="24886" hidden="1"/>
    <cellStyle name="40% - 강조색3 4" xfId="24926" hidden="1"/>
    <cellStyle name="40% - 강조색3 4" xfId="24966" hidden="1"/>
    <cellStyle name="40% - 강조색3 4" xfId="25006" hidden="1"/>
    <cellStyle name="40% - 강조색3 4" xfId="25090" hidden="1"/>
    <cellStyle name="40% - 강조색3 4" xfId="25131" hidden="1"/>
    <cellStyle name="40% - 강조색3 4" xfId="25173" hidden="1"/>
    <cellStyle name="40% - 강조색3 4" xfId="25215" hidden="1"/>
    <cellStyle name="40% - 강조색3 4" xfId="25257" hidden="1"/>
    <cellStyle name="40% - 강조색3 4" xfId="25299" hidden="1"/>
    <cellStyle name="40% - 강조색3 4" xfId="25341" hidden="1"/>
    <cellStyle name="40% - 강조색3 4" xfId="25383" hidden="1"/>
    <cellStyle name="40% - 강조색3 4" xfId="25425" hidden="1"/>
    <cellStyle name="40% - 강조색3 4" xfId="25467" hidden="1"/>
    <cellStyle name="40% - 강조색3 4" xfId="25509" hidden="1"/>
    <cellStyle name="40% - 강조색3 4" xfId="25551" hidden="1"/>
    <cellStyle name="40% - 강조색3 4" xfId="25047" hidden="1"/>
    <cellStyle name="40% - 강조색3 4" xfId="25730" hidden="1"/>
    <cellStyle name="40% - 강조색3 4" xfId="25770" hidden="1"/>
    <cellStyle name="40% - 강조색3 4" xfId="25810" hidden="1"/>
    <cellStyle name="40% - 강조색3 4" xfId="25850" hidden="1"/>
    <cellStyle name="40% - 강조색3 4" xfId="25890" hidden="1"/>
    <cellStyle name="40% - 강조색3 4" xfId="25930" hidden="1"/>
    <cellStyle name="40% - 강조색3 4" xfId="25970" hidden="1"/>
    <cellStyle name="40% - 강조색3 4" xfId="26010" hidden="1"/>
    <cellStyle name="40% - 강조색3 4" xfId="26050" hidden="1"/>
    <cellStyle name="40% - 강조색3 4" xfId="26090" hidden="1"/>
    <cellStyle name="40% - 강조색3 4" xfId="26130" hidden="1"/>
    <cellStyle name="40% - 강조색3 4" xfId="26170" hidden="1"/>
    <cellStyle name="40% - 강조색3 4" xfId="25620" hidden="1"/>
    <cellStyle name="40% - 강조색3 4" xfId="25582" hidden="1"/>
    <cellStyle name="40% - 강조색3 4" xfId="26212" hidden="1"/>
    <cellStyle name="40% - 강조색3 4" xfId="26254" hidden="1"/>
    <cellStyle name="40% - 강조색3 4" xfId="26296" hidden="1"/>
    <cellStyle name="40% - 강조색3 4" xfId="26338" hidden="1"/>
    <cellStyle name="40% - 강조색3 4" xfId="26380" hidden="1"/>
    <cellStyle name="40% - 강조색3 4" xfId="26422" hidden="1"/>
    <cellStyle name="40% - 강조색3 4" xfId="26464" hidden="1"/>
    <cellStyle name="40% - 강조색3 4" xfId="26506" hidden="1"/>
    <cellStyle name="40% - 강조색3 4" xfId="26548" hidden="1"/>
    <cellStyle name="40% - 강조색3 4" xfId="26590" hidden="1"/>
    <cellStyle name="40% - 강조색3 4" xfId="25673" hidden="1"/>
    <cellStyle name="40% - 강조색3 4" xfId="26618" hidden="1"/>
    <cellStyle name="40% - 강조색3 4" xfId="26658" hidden="1"/>
    <cellStyle name="40% - 강조색3 4" xfId="26698" hidden="1"/>
    <cellStyle name="40% - 강조색3 4" xfId="26738" hidden="1"/>
    <cellStyle name="40% - 강조색3 4" xfId="26778" hidden="1"/>
    <cellStyle name="40% - 강조색3 4" xfId="26818" hidden="1"/>
    <cellStyle name="40% - 강조색3 4" xfId="26858" hidden="1"/>
    <cellStyle name="40% - 강조색3 4" xfId="26898" hidden="1"/>
    <cellStyle name="40% - 강조색3 4" xfId="26938" hidden="1"/>
    <cellStyle name="40% - 강조색3 4" xfId="26978" hidden="1"/>
    <cellStyle name="40% - 강조색3 4" xfId="27018" hidden="1"/>
    <cellStyle name="40% - 강조색3 4" xfId="27058" hidden="1"/>
    <cellStyle name="40% - 강조색3 4" xfId="24480" hidden="1"/>
    <cellStyle name="40% - 강조색3 4" xfId="27109" hidden="1"/>
    <cellStyle name="40% - 강조색3 4" xfId="27149" hidden="1"/>
    <cellStyle name="40% - 강조색3 4" xfId="27189" hidden="1"/>
    <cellStyle name="40% - 강조색3 4" xfId="27229" hidden="1"/>
    <cellStyle name="40% - 강조색3 4" xfId="27269" hidden="1"/>
    <cellStyle name="40% - 강조색3 4" xfId="27309" hidden="1"/>
    <cellStyle name="40% - 강조색3 4" xfId="27349" hidden="1"/>
    <cellStyle name="40% - 강조색3 4" xfId="27389" hidden="1"/>
    <cellStyle name="40% - 강조색3 4" xfId="27429" hidden="1"/>
    <cellStyle name="40% - 강조색3 4" xfId="27469" hidden="1"/>
    <cellStyle name="40% - 강조색3 4" xfId="27509" hidden="1"/>
    <cellStyle name="40% - 강조색3 4" xfId="27593" hidden="1"/>
    <cellStyle name="40% - 강조색3 4" xfId="27634" hidden="1"/>
    <cellStyle name="40% - 강조색3 4" xfId="27676" hidden="1"/>
    <cellStyle name="40% - 강조색3 4" xfId="27718" hidden="1"/>
    <cellStyle name="40% - 강조색3 4" xfId="27760" hidden="1"/>
    <cellStyle name="40% - 강조색3 4" xfId="27802" hidden="1"/>
    <cellStyle name="40% - 강조색3 4" xfId="27844" hidden="1"/>
    <cellStyle name="40% - 강조색3 4" xfId="27886" hidden="1"/>
    <cellStyle name="40% - 강조색3 4" xfId="27928" hidden="1"/>
    <cellStyle name="40% - 강조색3 4" xfId="27970" hidden="1"/>
    <cellStyle name="40% - 강조색3 4" xfId="28012" hidden="1"/>
    <cellStyle name="40% - 강조색3 4" xfId="28054" hidden="1"/>
    <cellStyle name="40% - 강조색3 4" xfId="27550" hidden="1"/>
    <cellStyle name="40% - 강조색3 4" xfId="28233" hidden="1"/>
    <cellStyle name="40% - 강조색3 4" xfId="28273" hidden="1"/>
    <cellStyle name="40% - 강조색3 4" xfId="28313" hidden="1"/>
    <cellStyle name="40% - 강조색3 4" xfId="28353" hidden="1"/>
    <cellStyle name="40% - 강조색3 4" xfId="28393" hidden="1"/>
    <cellStyle name="40% - 강조색3 4" xfId="28433" hidden="1"/>
    <cellStyle name="40% - 강조색3 4" xfId="28473" hidden="1"/>
    <cellStyle name="40% - 강조색3 4" xfId="28513" hidden="1"/>
    <cellStyle name="40% - 강조색3 4" xfId="28553" hidden="1"/>
    <cellStyle name="40% - 강조색3 4" xfId="28593" hidden="1"/>
    <cellStyle name="40% - 강조색3 4" xfId="28633" hidden="1"/>
    <cellStyle name="40% - 강조색3 4" xfId="28673" hidden="1"/>
    <cellStyle name="40% - 강조색3 4" xfId="28123" hidden="1"/>
    <cellStyle name="40% - 강조색3 4" xfId="28085" hidden="1"/>
    <cellStyle name="40% - 강조색3 4" xfId="28715" hidden="1"/>
    <cellStyle name="40% - 강조색3 4" xfId="28757" hidden="1"/>
    <cellStyle name="40% - 강조색3 4" xfId="28799" hidden="1"/>
    <cellStyle name="40% - 강조색3 4" xfId="28841" hidden="1"/>
    <cellStyle name="40% - 강조색3 4" xfId="28883" hidden="1"/>
    <cellStyle name="40% - 강조색3 4" xfId="28925" hidden="1"/>
    <cellStyle name="40% - 강조색3 4" xfId="28967" hidden="1"/>
    <cellStyle name="40% - 강조색3 4" xfId="29009" hidden="1"/>
    <cellStyle name="40% - 강조색3 4" xfId="29051" hidden="1"/>
    <cellStyle name="40% - 강조색3 4" xfId="29093" hidden="1"/>
    <cellStyle name="40% - 강조색3 4" xfId="28176" hidden="1"/>
    <cellStyle name="40% - 강조색3 4" xfId="29121" hidden="1"/>
    <cellStyle name="40% - 강조색3 4" xfId="29161" hidden="1"/>
    <cellStyle name="40% - 강조색3 4" xfId="29201" hidden="1"/>
    <cellStyle name="40% - 강조색3 4" xfId="29241" hidden="1"/>
    <cellStyle name="40% - 강조색3 4" xfId="29281" hidden="1"/>
    <cellStyle name="40% - 강조색3 4" xfId="29321" hidden="1"/>
    <cellStyle name="40% - 강조색3 4" xfId="29361" hidden="1"/>
    <cellStyle name="40% - 강조색3 4" xfId="29401" hidden="1"/>
    <cellStyle name="40% - 강조색3 4" xfId="29441" hidden="1"/>
    <cellStyle name="40% - 강조색3 4" xfId="29481" hidden="1"/>
    <cellStyle name="40% - 강조색3 4" xfId="29521" hidden="1"/>
    <cellStyle name="40% - 강조색3 4" xfId="29561" hidden="1"/>
    <cellStyle name="40% - 강조색3 4" xfId="24532" hidden="1"/>
    <cellStyle name="40% - 강조색3 4" xfId="29611" hidden="1"/>
    <cellStyle name="40% - 강조색3 4" xfId="29651" hidden="1"/>
    <cellStyle name="40% - 강조색3 4" xfId="29691" hidden="1"/>
    <cellStyle name="40% - 강조색3 4" xfId="29731" hidden="1"/>
    <cellStyle name="40% - 강조색3 4" xfId="29771" hidden="1"/>
    <cellStyle name="40% - 강조색3 4" xfId="29811" hidden="1"/>
    <cellStyle name="40% - 강조색3 4" xfId="29851" hidden="1"/>
    <cellStyle name="40% - 강조색3 4" xfId="29891" hidden="1"/>
    <cellStyle name="40% - 강조색3 4" xfId="29931" hidden="1"/>
    <cellStyle name="40% - 강조색3 4" xfId="29971" hidden="1"/>
    <cellStyle name="40% - 강조색3 4" xfId="30011" hidden="1"/>
    <cellStyle name="40% - 강조색3 4" xfId="30095" hidden="1"/>
    <cellStyle name="40% - 강조색3 4" xfId="30136" hidden="1"/>
    <cellStyle name="40% - 강조색3 4" xfId="30178" hidden="1"/>
    <cellStyle name="40% - 강조색3 4" xfId="30220" hidden="1"/>
    <cellStyle name="40% - 강조색3 4" xfId="30262" hidden="1"/>
    <cellStyle name="40% - 강조색3 4" xfId="30304" hidden="1"/>
    <cellStyle name="40% - 강조색3 4" xfId="30346" hidden="1"/>
    <cellStyle name="40% - 강조색3 4" xfId="30388" hidden="1"/>
    <cellStyle name="40% - 강조색3 4" xfId="30430" hidden="1"/>
    <cellStyle name="40% - 강조색3 4" xfId="30472" hidden="1"/>
    <cellStyle name="40% - 강조색3 4" xfId="30514" hidden="1"/>
    <cellStyle name="40% - 강조색3 4" xfId="30556" hidden="1"/>
    <cellStyle name="40% - 강조색3 4" xfId="30052" hidden="1"/>
    <cellStyle name="40% - 강조색3 4" xfId="30735" hidden="1"/>
    <cellStyle name="40% - 강조색3 4" xfId="30775" hidden="1"/>
    <cellStyle name="40% - 강조색3 4" xfId="30815" hidden="1"/>
    <cellStyle name="40% - 강조색3 4" xfId="30855" hidden="1"/>
    <cellStyle name="40% - 강조색3 4" xfId="30895" hidden="1"/>
    <cellStyle name="40% - 강조색3 4" xfId="30935" hidden="1"/>
    <cellStyle name="40% - 강조색3 4" xfId="30975" hidden="1"/>
    <cellStyle name="40% - 강조색3 4" xfId="31015" hidden="1"/>
    <cellStyle name="40% - 강조색3 4" xfId="31055" hidden="1"/>
    <cellStyle name="40% - 강조색3 4" xfId="31095" hidden="1"/>
    <cellStyle name="40% - 강조색3 4" xfId="31135" hidden="1"/>
    <cellStyle name="40% - 강조색3 4" xfId="31175" hidden="1"/>
    <cellStyle name="40% - 강조색3 4" xfId="30625" hidden="1"/>
    <cellStyle name="40% - 강조색3 4" xfId="30587" hidden="1"/>
    <cellStyle name="40% - 강조색3 4" xfId="31217" hidden="1"/>
    <cellStyle name="40% - 강조색3 4" xfId="31259" hidden="1"/>
    <cellStyle name="40% - 강조색3 4" xfId="31301" hidden="1"/>
    <cellStyle name="40% - 강조색3 4" xfId="31343" hidden="1"/>
    <cellStyle name="40% - 강조색3 4" xfId="31385" hidden="1"/>
    <cellStyle name="40% - 강조색3 4" xfId="31427" hidden="1"/>
    <cellStyle name="40% - 강조색3 4" xfId="31469" hidden="1"/>
    <cellStyle name="40% - 강조색3 4" xfId="31511" hidden="1"/>
    <cellStyle name="40% - 강조색3 4" xfId="31553" hidden="1"/>
    <cellStyle name="40% - 강조색3 4" xfId="31595" hidden="1"/>
    <cellStyle name="40% - 강조색3 4" xfId="30678" hidden="1"/>
    <cellStyle name="40% - 강조색3 4" xfId="31623" hidden="1"/>
    <cellStyle name="40% - 강조색3 4" xfId="31663" hidden="1"/>
    <cellStyle name="40% - 강조색3 4" xfId="31703" hidden="1"/>
    <cellStyle name="40% - 강조색3 4" xfId="31743" hidden="1"/>
    <cellStyle name="40% - 강조색3 4" xfId="31783" hidden="1"/>
    <cellStyle name="40% - 강조색3 4" xfId="31823" hidden="1"/>
    <cellStyle name="40% - 강조색3 4" xfId="31863" hidden="1"/>
    <cellStyle name="40% - 강조색3 4" xfId="31903" hidden="1"/>
    <cellStyle name="40% - 강조색3 4" xfId="31943" hidden="1"/>
    <cellStyle name="40% - 강조색3 4" xfId="31983" hidden="1"/>
    <cellStyle name="40% - 강조색3 4" xfId="32023" hidden="1"/>
    <cellStyle name="40% - 강조색3 4" xfId="32063" hidden="1"/>
    <cellStyle name="40% - 강조색3 4" xfId="32125" hidden="1"/>
    <cellStyle name="40% - 강조색3 4" xfId="32165" hidden="1"/>
    <cellStyle name="40% - 강조색3 4" xfId="32205" hidden="1"/>
    <cellStyle name="40% - 강조색3 4" xfId="32245" hidden="1"/>
    <cellStyle name="40% - 강조색3 4" xfId="32285" hidden="1"/>
    <cellStyle name="40% - 강조색3 4" xfId="32325" hidden="1"/>
    <cellStyle name="40% - 강조색3 4" xfId="32365" hidden="1"/>
    <cellStyle name="40% - 강조색3 4" xfId="32405" hidden="1"/>
    <cellStyle name="40% - 강조색3 4" xfId="32445" hidden="1"/>
    <cellStyle name="40% - 강조색3 4" xfId="32485" hidden="1"/>
    <cellStyle name="40% - 강조색3 4" xfId="32525" hidden="1"/>
    <cellStyle name="40% - 강조색3 4" xfId="32565" hidden="1"/>
    <cellStyle name="40% - 강조색3 4" xfId="32650" hidden="1"/>
    <cellStyle name="40% - 강조색3 4" xfId="32691" hidden="1"/>
    <cellStyle name="40% - 강조색3 4" xfId="32733" hidden="1"/>
    <cellStyle name="40% - 강조색3 4" xfId="32775" hidden="1"/>
    <cellStyle name="40% - 강조색3 4" xfId="32817" hidden="1"/>
    <cellStyle name="40% - 강조색3 4" xfId="32859" hidden="1"/>
    <cellStyle name="40% - 강조색3 4" xfId="32901" hidden="1"/>
    <cellStyle name="40% - 강조색3 4" xfId="32943" hidden="1"/>
    <cellStyle name="40% - 강조색3 4" xfId="32985" hidden="1"/>
    <cellStyle name="40% - 강조색3 4" xfId="33027" hidden="1"/>
    <cellStyle name="40% - 강조색3 4" xfId="33069" hidden="1"/>
    <cellStyle name="40% - 강조색3 4" xfId="33111" hidden="1"/>
    <cellStyle name="40% - 강조색3 4" xfId="32607" hidden="1"/>
    <cellStyle name="40% - 강조색3 4" xfId="33290" hidden="1"/>
    <cellStyle name="40% - 강조색3 4" xfId="33330" hidden="1"/>
    <cellStyle name="40% - 강조색3 4" xfId="33370" hidden="1"/>
    <cellStyle name="40% - 강조색3 4" xfId="33410" hidden="1"/>
    <cellStyle name="40% - 강조색3 4" xfId="33450" hidden="1"/>
    <cellStyle name="40% - 강조색3 4" xfId="33490" hidden="1"/>
    <cellStyle name="40% - 강조색3 4" xfId="33530" hidden="1"/>
    <cellStyle name="40% - 강조색3 4" xfId="33570" hidden="1"/>
    <cellStyle name="40% - 강조색3 4" xfId="33610" hidden="1"/>
    <cellStyle name="40% - 강조색3 4" xfId="33650" hidden="1"/>
    <cellStyle name="40% - 강조색3 4" xfId="33690" hidden="1"/>
    <cellStyle name="40% - 강조색3 4" xfId="33730" hidden="1"/>
    <cellStyle name="40% - 강조색3 4" xfId="33180" hidden="1"/>
    <cellStyle name="40% - 강조색3 4" xfId="33142" hidden="1"/>
    <cellStyle name="40% - 강조색3 4" xfId="33772" hidden="1"/>
    <cellStyle name="40% - 강조색3 4" xfId="33814" hidden="1"/>
    <cellStyle name="40% - 강조색3 4" xfId="33856" hidden="1"/>
    <cellStyle name="40% - 강조색3 4" xfId="33898" hidden="1"/>
    <cellStyle name="40% - 강조색3 4" xfId="33940" hidden="1"/>
    <cellStyle name="40% - 강조색3 4" xfId="33982" hidden="1"/>
    <cellStyle name="40% - 강조색3 4" xfId="34024" hidden="1"/>
    <cellStyle name="40% - 강조색3 4" xfId="34066" hidden="1"/>
    <cellStyle name="40% - 강조색3 4" xfId="34108" hidden="1"/>
    <cellStyle name="40% - 강조색3 4" xfId="34150" hidden="1"/>
    <cellStyle name="40% - 강조색3 4" xfId="33233" hidden="1"/>
    <cellStyle name="40% - 강조색3 4" xfId="34178" hidden="1"/>
    <cellStyle name="40% - 강조색3 4" xfId="34218" hidden="1"/>
    <cellStyle name="40% - 강조색3 4" xfId="34258" hidden="1"/>
    <cellStyle name="40% - 강조색3 4" xfId="34298" hidden="1"/>
    <cellStyle name="40% - 강조색3 4" xfId="34338" hidden="1"/>
    <cellStyle name="40% - 강조색3 4" xfId="34378" hidden="1"/>
    <cellStyle name="40% - 강조색3 4" xfId="34418" hidden="1"/>
    <cellStyle name="40% - 강조색3 4" xfId="34458" hidden="1"/>
    <cellStyle name="40% - 강조색3 4" xfId="34498" hidden="1"/>
    <cellStyle name="40% - 강조색3 4" xfId="34538" hidden="1"/>
    <cellStyle name="40% - 강조색3 4" xfId="34578" hidden="1"/>
    <cellStyle name="40% - 강조색3 4" xfId="34618" hidden="1"/>
    <cellStyle name="40% - 강조색3 4" xfId="34715" hidden="1"/>
    <cellStyle name="40% - 강조색3 4" xfId="34755" hidden="1"/>
    <cellStyle name="40% - 강조색3 4" xfId="34795" hidden="1"/>
    <cellStyle name="40% - 강조색3 4" xfId="34835" hidden="1"/>
    <cellStyle name="40% - 강조색3 4" xfId="34875" hidden="1"/>
    <cellStyle name="40% - 강조색3 4" xfId="34915" hidden="1"/>
    <cellStyle name="40% - 강조색3 4" xfId="34955" hidden="1"/>
    <cellStyle name="40% - 강조색3 4" xfId="34995" hidden="1"/>
    <cellStyle name="40% - 강조색3 4" xfId="35035" hidden="1"/>
    <cellStyle name="40% - 강조색3 4" xfId="35075" hidden="1"/>
    <cellStyle name="40% - 강조색3 4" xfId="35115" hidden="1"/>
    <cellStyle name="40% - 강조색3 4" xfId="35155" hidden="1"/>
    <cellStyle name="40% - 강조색3 4" xfId="35239" hidden="1"/>
    <cellStyle name="40% - 강조색3 4" xfId="35280" hidden="1"/>
    <cellStyle name="40% - 강조색3 4" xfId="35322" hidden="1"/>
    <cellStyle name="40% - 강조색3 4" xfId="35364" hidden="1"/>
    <cellStyle name="40% - 강조색3 4" xfId="35406" hidden="1"/>
    <cellStyle name="40% - 강조색3 4" xfId="35448" hidden="1"/>
    <cellStyle name="40% - 강조색3 4" xfId="35490" hidden="1"/>
    <cellStyle name="40% - 강조색3 4" xfId="35532" hidden="1"/>
    <cellStyle name="40% - 강조색3 4" xfId="35574" hidden="1"/>
    <cellStyle name="40% - 강조색3 4" xfId="35616" hidden="1"/>
    <cellStyle name="40% - 강조색3 4" xfId="35658" hidden="1"/>
    <cellStyle name="40% - 강조색3 4" xfId="35700" hidden="1"/>
    <cellStyle name="40% - 강조색3 4" xfId="35196" hidden="1"/>
    <cellStyle name="40% - 강조색3 4" xfId="35879" hidden="1"/>
    <cellStyle name="40% - 강조색3 4" xfId="35919" hidden="1"/>
    <cellStyle name="40% - 강조색3 4" xfId="35959" hidden="1"/>
    <cellStyle name="40% - 강조색3 4" xfId="35999" hidden="1"/>
    <cellStyle name="40% - 강조색3 4" xfId="36039" hidden="1"/>
    <cellStyle name="40% - 강조색3 4" xfId="36079" hidden="1"/>
    <cellStyle name="40% - 강조색3 4" xfId="36119" hidden="1"/>
    <cellStyle name="40% - 강조색3 4" xfId="36159" hidden="1"/>
    <cellStyle name="40% - 강조색3 4" xfId="36199" hidden="1"/>
    <cellStyle name="40% - 강조색3 4" xfId="36239" hidden="1"/>
    <cellStyle name="40% - 강조색3 4" xfId="36279" hidden="1"/>
    <cellStyle name="40% - 강조색3 4" xfId="36319" hidden="1"/>
    <cellStyle name="40% - 강조색3 4" xfId="35769" hidden="1"/>
    <cellStyle name="40% - 강조색3 4" xfId="35731" hidden="1"/>
    <cellStyle name="40% - 강조색3 4" xfId="36361" hidden="1"/>
    <cellStyle name="40% - 강조색3 4" xfId="36403" hidden="1"/>
    <cellStyle name="40% - 강조색3 4" xfId="36445" hidden="1"/>
    <cellStyle name="40% - 강조색3 4" xfId="36487" hidden="1"/>
    <cellStyle name="40% - 강조색3 4" xfId="36529" hidden="1"/>
    <cellStyle name="40% - 강조색3 4" xfId="36571" hidden="1"/>
    <cellStyle name="40% - 강조색3 4" xfId="36613" hidden="1"/>
    <cellStyle name="40% - 강조색3 4" xfId="36655" hidden="1"/>
    <cellStyle name="40% - 강조색3 4" xfId="36697" hidden="1"/>
    <cellStyle name="40% - 강조색3 4" xfId="36739" hidden="1"/>
    <cellStyle name="40% - 강조색3 4" xfId="35822" hidden="1"/>
    <cellStyle name="40% - 강조색3 4" xfId="36767" hidden="1"/>
    <cellStyle name="40% - 강조색3 4" xfId="36807" hidden="1"/>
    <cellStyle name="40% - 강조색3 4" xfId="36847" hidden="1"/>
    <cellStyle name="40% - 강조색3 4" xfId="36887" hidden="1"/>
    <cellStyle name="40% - 강조색3 4" xfId="36927" hidden="1"/>
    <cellStyle name="40% - 강조색3 4" xfId="36967" hidden="1"/>
    <cellStyle name="40% - 강조색3 4" xfId="37007" hidden="1"/>
    <cellStyle name="40% - 강조색3 4" xfId="37047" hidden="1"/>
    <cellStyle name="40% - 강조색3 4" xfId="37087" hidden="1"/>
    <cellStyle name="40% - 강조색3 4" xfId="37127" hidden="1"/>
    <cellStyle name="40% - 강조색3 4" xfId="37167" hidden="1"/>
    <cellStyle name="40% - 강조색3 4" xfId="37207" hidden="1"/>
    <cellStyle name="40% - 강조색3 4" xfId="34632" hidden="1"/>
    <cellStyle name="40% - 강조색3 4" xfId="37258" hidden="1"/>
    <cellStyle name="40% - 강조색3 4" xfId="37299" hidden="1"/>
    <cellStyle name="40% - 강조색3 4" xfId="37339" hidden="1"/>
    <cellStyle name="40% - 강조색3 4" xfId="37379" hidden="1"/>
    <cellStyle name="40% - 강조색3 4" xfId="37419" hidden="1"/>
    <cellStyle name="40% - 강조색3 4" xfId="37459" hidden="1"/>
    <cellStyle name="40% - 강조색3 4" xfId="37499" hidden="1"/>
    <cellStyle name="40% - 강조색3 4" xfId="37539" hidden="1"/>
    <cellStyle name="40% - 강조색3 4" xfId="37579" hidden="1"/>
    <cellStyle name="40% - 강조색3 4" xfId="37619" hidden="1"/>
    <cellStyle name="40% - 강조색3 4" xfId="37659" hidden="1"/>
    <cellStyle name="40% - 강조색3 4" xfId="37743" hidden="1"/>
    <cellStyle name="40% - 강조색3 4" xfId="37784" hidden="1"/>
    <cellStyle name="40% - 강조색3 4" xfId="37826" hidden="1"/>
    <cellStyle name="40% - 강조색3 4" xfId="37868" hidden="1"/>
    <cellStyle name="40% - 강조색3 4" xfId="37910" hidden="1"/>
    <cellStyle name="40% - 강조색3 4" xfId="37952" hidden="1"/>
    <cellStyle name="40% - 강조색3 4" xfId="37994" hidden="1"/>
    <cellStyle name="40% - 강조색3 4" xfId="38036" hidden="1"/>
    <cellStyle name="40% - 강조색3 4" xfId="38078" hidden="1"/>
    <cellStyle name="40% - 강조색3 4" xfId="38120" hidden="1"/>
    <cellStyle name="40% - 강조색3 4" xfId="38162" hidden="1"/>
    <cellStyle name="40% - 강조색3 4" xfId="38204" hidden="1"/>
    <cellStyle name="40% - 강조색3 4" xfId="37700" hidden="1"/>
    <cellStyle name="40% - 강조색3 4" xfId="38383" hidden="1"/>
    <cellStyle name="40% - 강조색3 4" xfId="38423" hidden="1"/>
    <cellStyle name="40% - 강조색3 4" xfId="38463" hidden="1"/>
    <cellStyle name="40% - 강조색3 4" xfId="38503" hidden="1"/>
    <cellStyle name="40% - 강조색3 4" xfId="38543" hidden="1"/>
    <cellStyle name="40% - 강조색3 4" xfId="38583" hidden="1"/>
    <cellStyle name="40% - 강조색3 4" xfId="38623" hidden="1"/>
    <cellStyle name="40% - 강조색3 4" xfId="38663" hidden="1"/>
    <cellStyle name="40% - 강조색3 4" xfId="38703" hidden="1"/>
    <cellStyle name="40% - 강조색3 4" xfId="38743" hidden="1"/>
    <cellStyle name="40% - 강조색3 4" xfId="38783" hidden="1"/>
    <cellStyle name="40% - 강조색3 4" xfId="38823" hidden="1"/>
    <cellStyle name="40% - 강조색3 4" xfId="38273" hidden="1"/>
    <cellStyle name="40% - 강조색3 4" xfId="38235" hidden="1"/>
    <cellStyle name="40% - 강조색3 4" xfId="38865" hidden="1"/>
    <cellStyle name="40% - 강조색3 4" xfId="38907" hidden="1"/>
    <cellStyle name="40% - 강조색3 4" xfId="38949" hidden="1"/>
    <cellStyle name="40% - 강조색3 4" xfId="38991" hidden="1"/>
    <cellStyle name="40% - 강조색3 4" xfId="39033" hidden="1"/>
    <cellStyle name="40% - 강조색3 4" xfId="39075" hidden="1"/>
    <cellStyle name="40% - 강조색3 4" xfId="39117" hidden="1"/>
    <cellStyle name="40% - 강조색3 4" xfId="39159" hidden="1"/>
    <cellStyle name="40% - 강조색3 4" xfId="39201" hidden="1"/>
    <cellStyle name="40% - 강조색3 4" xfId="39243" hidden="1"/>
    <cellStyle name="40% - 강조색3 4" xfId="38326" hidden="1"/>
    <cellStyle name="40% - 강조색3 4" xfId="39271" hidden="1"/>
    <cellStyle name="40% - 강조색3 4" xfId="39311" hidden="1"/>
    <cellStyle name="40% - 강조색3 4" xfId="39351" hidden="1"/>
    <cellStyle name="40% - 강조색3 4" xfId="39391" hidden="1"/>
    <cellStyle name="40% - 강조색3 4" xfId="39431" hidden="1"/>
    <cellStyle name="40% - 강조색3 4" xfId="39471" hidden="1"/>
    <cellStyle name="40% - 강조색3 4" xfId="39511" hidden="1"/>
    <cellStyle name="40% - 강조색3 4" xfId="39551" hidden="1"/>
    <cellStyle name="40% - 강조색3 4" xfId="39591" hidden="1"/>
    <cellStyle name="40% - 강조색3 4" xfId="39631" hidden="1"/>
    <cellStyle name="40% - 강조색3 4" xfId="39671" hidden="1"/>
    <cellStyle name="40% - 강조색3 4" xfId="39711" hidden="1"/>
    <cellStyle name="40% - 강조색3 4" xfId="34684" hidden="1"/>
    <cellStyle name="40% - 강조색3 4" xfId="39761" hidden="1"/>
    <cellStyle name="40% - 강조색3 4" xfId="39801" hidden="1"/>
    <cellStyle name="40% - 강조색3 4" xfId="39841" hidden="1"/>
    <cellStyle name="40% - 강조색3 4" xfId="39881" hidden="1"/>
    <cellStyle name="40% - 강조색3 4" xfId="39921" hidden="1"/>
    <cellStyle name="40% - 강조색3 4" xfId="39961" hidden="1"/>
    <cellStyle name="40% - 강조색3 4" xfId="40001" hidden="1"/>
    <cellStyle name="40% - 강조색3 4" xfId="40041" hidden="1"/>
    <cellStyle name="40% - 강조색3 4" xfId="40081" hidden="1"/>
    <cellStyle name="40% - 강조색3 4" xfId="40121" hidden="1"/>
    <cellStyle name="40% - 강조색3 4" xfId="40161" hidden="1"/>
    <cellStyle name="40% - 강조색3 4" xfId="40245" hidden="1"/>
    <cellStyle name="40% - 강조색3 4" xfId="40286" hidden="1"/>
    <cellStyle name="40% - 강조색3 4" xfId="40328" hidden="1"/>
    <cellStyle name="40% - 강조색3 4" xfId="40370" hidden="1"/>
    <cellStyle name="40% - 강조색3 4" xfId="40412" hidden="1"/>
    <cellStyle name="40% - 강조색3 4" xfId="40454" hidden="1"/>
    <cellStyle name="40% - 강조색3 4" xfId="40496" hidden="1"/>
    <cellStyle name="40% - 강조색3 4" xfId="40538" hidden="1"/>
    <cellStyle name="40% - 강조색3 4" xfId="40580" hidden="1"/>
    <cellStyle name="40% - 강조색3 4" xfId="40622" hidden="1"/>
    <cellStyle name="40% - 강조색3 4" xfId="40664" hidden="1"/>
    <cellStyle name="40% - 강조색3 4" xfId="40706" hidden="1"/>
    <cellStyle name="40% - 강조색3 4" xfId="40202" hidden="1"/>
    <cellStyle name="40% - 강조색3 4" xfId="40885" hidden="1"/>
    <cellStyle name="40% - 강조색3 4" xfId="40925" hidden="1"/>
    <cellStyle name="40% - 강조색3 4" xfId="40965" hidden="1"/>
    <cellStyle name="40% - 강조색3 4" xfId="41005" hidden="1"/>
    <cellStyle name="40% - 강조색3 4" xfId="41045" hidden="1"/>
    <cellStyle name="40% - 강조색3 4" xfId="41085" hidden="1"/>
    <cellStyle name="40% - 강조색3 4" xfId="41125" hidden="1"/>
    <cellStyle name="40% - 강조색3 4" xfId="41165" hidden="1"/>
    <cellStyle name="40% - 강조색3 4" xfId="41205" hidden="1"/>
    <cellStyle name="40% - 강조색3 4" xfId="41245" hidden="1"/>
    <cellStyle name="40% - 강조색3 4" xfId="41285" hidden="1"/>
    <cellStyle name="40% - 강조색3 4" xfId="41325" hidden="1"/>
    <cellStyle name="40% - 강조색3 4" xfId="40775" hidden="1"/>
    <cellStyle name="40% - 강조색3 4" xfId="40737" hidden="1"/>
    <cellStyle name="40% - 강조색3 4" xfId="41367" hidden="1"/>
    <cellStyle name="40% - 강조색3 4" xfId="41409" hidden="1"/>
    <cellStyle name="40% - 강조색3 4" xfId="41451" hidden="1"/>
    <cellStyle name="40% - 강조색3 4" xfId="41493" hidden="1"/>
    <cellStyle name="40% - 강조색3 4" xfId="41535" hidden="1"/>
    <cellStyle name="40% - 강조색3 4" xfId="41577" hidden="1"/>
    <cellStyle name="40% - 강조색3 4" xfId="41619" hidden="1"/>
    <cellStyle name="40% - 강조색3 4" xfId="41661" hidden="1"/>
    <cellStyle name="40% - 강조색3 4" xfId="41703" hidden="1"/>
    <cellStyle name="40% - 강조색3 4" xfId="41745" hidden="1"/>
    <cellStyle name="40% - 강조색3 4" xfId="40828" hidden="1"/>
    <cellStyle name="40% - 강조색3 4" xfId="41773" hidden="1"/>
    <cellStyle name="40% - 강조색3 4" xfId="41813" hidden="1"/>
    <cellStyle name="40% - 강조색3 4" xfId="41853" hidden="1"/>
    <cellStyle name="40% - 강조색3 4" xfId="41893" hidden="1"/>
    <cellStyle name="40% - 강조색3 4" xfId="41933" hidden="1"/>
    <cellStyle name="40% - 강조색3 4" xfId="41973" hidden="1"/>
    <cellStyle name="40% - 강조색3 4" xfId="42013" hidden="1"/>
    <cellStyle name="40% - 강조색3 4" xfId="42053" hidden="1"/>
    <cellStyle name="40% - 강조색3 4" xfId="42093" hidden="1"/>
    <cellStyle name="40% - 강조색3 4" xfId="42133" hidden="1"/>
    <cellStyle name="40% - 강조색3 4" xfId="42173" hidden="1"/>
    <cellStyle name="40% - 강조색3 4" xfId="42213" hidden="1"/>
    <cellStyle name="40% - 강조색3 4" xfId="42256" hidden="1"/>
    <cellStyle name="40% - 강조색3 4" xfId="42296" hidden="1"/>
    <cellStyle name="40% - 강조색3 4" xfId="42336" hidden="1"/>
    <cellStyle name="40% - 강조색3 4" xfId="42376" hidden="1"/>
    <cellStyle name="40% - 강조색3 4" xfId="42416" hidden="1"/>
    <cellStyle name="40% - 강조색3 4" xfId="42456" hidden="1"/>
    <cellStyle name="40% - 강조색3 4" xfId="42496" hidden="1"/>
    <cellStyle name="40% - 강조색3 4" xfId="42536" hidden="1"/>
    <cellStyle name="40% - 강조색3 4" xfId="42576" hidden="1"/>
    <cellStyle name="40% - 강조색3 4" xfId="42616" hidden="1"/>
    <cellStyle name="40% - 강조색3 4" xfId="42656" hidden="1"/>
    <cellStyle name="40% - 강조색3 4" xfId="42696" hidden="1"/>
    <cellStyle name="40% - 강조색3 4" xfId="42780" hidden="1"/>
    <cellStyle name="40% - 강조색3 4" xfId="42821" hidden="1"/>
    <cellStyle name="40% - 강조색3 4" xfId="42863" hidden="1"/>
    <cellStyle name="40% - 강조색3 4" xfId="42905" hidden="1"/>
    <cellStyle name="40% - 강조색3 4" xfId="42947" hidden="1"/>
    <cellStyle name="40% - 강조색3 4" xfId="42989" hidden="1"/>
    <cellStyle name="40% - 강조색3 4" xfId="43031" hidden="1"/>
    <cellStyle name="40% - 강조색3 4" xfId="43073" hidden="1"/>
    <cellStyle name="40% - 강조색3 4" xfId="43115" hidden="1"/>
    <cellStyle name="40% - 강조색3 4" xfId="43157" hidden="1"/>
    <cellStyle name="40% - 강조색3 4" xfId="43199" hidden="1"/>
    <cellStyle name="40% - 강조색3 4" xfId="43241" hidden="1"/>
    <cellStyle name="40% - 강조색3 4" xfId="42737" hidden="1"/>
    <cellStyle name="40% - 강조색3 4" xfId="43420" hidden="1"/>
    <cellStyle name="40% - 강조색3 4" xfId="43460" hidden="1"/>
    <cellStyle name="40% - 강조색3 4" xfId="43500" hidden="1"/>
    <cellStyle name="40% - 강조색3 4" xfId="43540" hidden="1"/>
    <cellStyle name="40% - 강조색3 4" xfId="43580" hidden="1"/>
    <cellStyle name="40% - 강조색3 4" xfId="43620" hidden="1"/>
    <cellStyle name="40% - 강조색3 4" xfId="43660" hidden="1"/>
    <cellStyle name="40% - 강조색3 4" xfId="43700" hidden="1"/>
    <cellStyle name="40% - 강조색3 4" xfId="43740" hidden="1"/>
    <cellStyle name="40% - 강조색3 4" xfId="43780" hidden="1"/>
    <cellStyle name="40% - 강조색3 4" xfId="43820" hidden="1"/>
    <cellStyle name="40% - 강조색3 4" xfId="43860" hidden="1"/>
    <cellStyle name="40% - 강조색3 4" xfId="43310" hidden="1"/>
    <cellStyle name="40% - 강조색3 4" xfId="43272" hidden="1"/>
    <cellStyle name="40% - 강조색3 4" xfId="43902" hidden="1"/>
    <cellStyle name="40% - 강조색3 4" xfId="43944" hidden="1"/>
    <cellStyle name="40% - 강조색3 4" xfId="43986" hidden="1"/>
    <cellStyle name="40% - 강조색3 4" xfId="44028" hidden="1"/>
    <cellStyle name="40% - 강조색3 4" xfId="44070" hidden="1"/>
    <cellStyle name="40% - 강조색3 4" xfId="44112" hidden="1"/>
    <cellStyle name="40% - 강조색3 4" xfId="44154" hidden="1"/>
    <cellStyle name="40% - 강조색3 4" xfId="44196" hidden="1"/>
    <cellStyle name="40% - 강조색3 4" xfId="44238" hidden="1"/>
    <cellStyle name="40% - 강조색3 4" xfId="44280" hidden="1"/>
    <cellStyle name="40% - 강조색3 4" xfId="43363" hidden="1"/>
    <cellStyle name="40% - 강조색3 4" xfId="44308" hidden="1"/>
    <cellStyle name="40% - 강조색3 4" xfId="44348" hidden="1"/>
    <cellStyle name="40% - 강조색3 4" xfId="44388" hidden="1"/>
    <cellStyle name="40% - 강조색3 4" xfId="44428" hidden="1"/>
    <cellStyle name="40% - 강조색3 4" xfId="44468" hidden="1"/>
    <cellStyle name="40% - 강조색3 4" xfId="44508" hidden="1"/>
    <cellStyle name="40% - 강조색3 4" xfId="44548" hidden="1"/>
    <cellStyle name="40% - 강조색3 4" xfId="44588" hidden="1"/>
    <cellStyle name="40% - 강조색3 4" xfId="44628" hidden="1"/>
    <cellStyle name="40% - 강조색3 4" xfId="44668" hidden="1"/>
    <cellStyle name="40% - 강조색3 4" xfId="44708" hidden="1"/>
    <cellStyle name="40% - 강조색3 4" xfId="44748" hidden="1"/>
    <cellStyle name="40% - 강조색3 4" xfId="44844" hidden="1"/>
    <cellStyle name="40% - 강조색3 4" xfId="44884" hidden="1"/>
    <cellStyle name="40% - 강조색3 4" xfId="44926" hidden="1"/>
    <cellStyle name="40% - 강조색3 4" xfId="44967" hidden="1"/>
    <cellStyle name="40% - 강조색3 4" xfId="45007" hidden="1"/>
    <cellStyle name="40% - 강조색3 4" xfId="45047" hidden="1"/>
    <cellStyle name="40% - 강조색3 4" xfId="45087" hidden="1"/>
    <cellStyle name="40% - 강조색3 4" xfId="45127" hidden="1"/>
    <cellStyle name="40% - 강조색3 4" xfId="45167" hidden="1"/>
    <cellStyle name="40% - 강조색3 4" xfId="45207" hidden="1"/>
    <cellStyle name="40% - 강조색3 4" xfId="45247" hidden="1"/>
    <cellStyle name="40% - 강조색3 4" xfId="45287" hidden="1"/>
    <cellStyle name="40% - 강조색3 4" xfId="45371" hidden="1"/>
    <cellStyle name="40% - 강조색3 4" xfId="45412" hidden="1"/>
    <cellStyle name="40% - 강조색3 4" xfId="45454" hidden="1"/>
    <cellStyle name="40% - 강조색3 4" xfId="45496" hidden="1"/>
    <cellStyle name="40% - 강조색3 4" xfId="45538" hidden="1"/>
    <cellStyle name="40% - 강조색3 4" xfId="45580" hidden="1"/>
    <cellStyle name="40% - 강조색3 4" xfId="45622" hidden="1"/>
    <cellStyle name="40% - 강조색3 4" xfId="45664" hidden="1"/>
    <cellStyle name="40% - 강조색3 4" xfId="45706" hidden="1"/>
    <cellStyle name="40% - 강조색3 4" xfId="45748" hidden="1"/>
    <cellStyle name="40% - 강조색3 4" xfId="45790" hidden="1"/>
    <cellStyle name="40% - 강조색3 4" xfId="45832" hidden="1"/>
    <cellStyle name="40% - 강조색3 4" xfId="45328" hidden="1"/>
    <cellStyle name="40% - 강조색3 4" xfId="46011" hidden="1"/>
    <cellStyle name="40% - 강조색3 4" xfId="46051" hidden="1"/>
    <cellStyle name="40% - 강조색3 4" xfId="46091" hidden="1"/>
    <cellStyle name="40% - 강조색3 4" xfId="46131" hidden="1"/>
    <cellStyle name="40% - 강조색3 4" xfId="46171" hidden="1"/>
    <cellStyle name="40% - 강조색3 4" xfId="46211" hidden="1"/>
    <cellStyle name="40% - 강조색3 4" xfId="46251" hidden="1"/>
    <cellStyle name="40% - 강조색3 4" xfId="46291" hidden="1"/>
    <cellStyle name="40% - 강조색3 4" xfId="46331" hidden="1"/>
    <cellStyle name="40% - 강조색3 4" xfId="46371" hidden="1"/>
    <cellStyle name="40% - 강조색3 4" xfId="46411" hidden="1"/>
    <cellStyle name="40% - 강조색3 4" xfId="46451" hidden="1"/>
    <cellStyle name="40% - 강조색3 4" xfId="45901" hidden="1"/>
    <cellStyle name="40% - 강조색3 4" xfId="45863" hidden="1"/>
    <cellStyle name="40% - 강조색3 4" xfId="46493" hidden="1"/>
    <cellStyle name="40% - 강조색3 4" xfId="46535" hidden="1"/>
    <cellStyle name="40% - 강조색3 4" xfId="46577" hidden="1"/>
    <cellStyle name="40% - 강조색3 4" xfId="46619" hidden="1"/>
    <cellStyle name="40% - 강조색3 4" xfId="46661" hidden="1"/>
    <cellStyle name="40% - 강조색3 4" xfId="46703" hidden="1"/>
    <cellStyle name="40% - 강조색3 4" xfId="46745" hidden="1"/>
    <cellStyle name="40% - 강조색3 4" xfId="46787" hidden="1"/>
    <cellStyle name="40% - 강조색3 4" xfId="46829" hidden="1"/>
    <cellStyle name="40% - 강조색3 4" xfId="46871" hidden="1"/>
    <cellStyle name="40% - 강조색3 4" xfId="45954" hidden="1"/>
    <cellStyle name="40% - 강조색3 4" xfId="46899" hidden="1"/>
    <cellStyle name="40% - 강조색3 4" xfId="46939" hidden="1"/>
    <cellStyle name="40% - 강조색3 4" xfId="46979" hidden="1"/>
    <cellStyle name="40% - 강조색3 4" xfId="47019" hidden="1"/>
    <cellStyle name="40% - 강조색3 4" xfId="47059" hidden="1"/>
    <cellStyle name="40% - 강조색3 4" xfId="47099" hidden="1"/>
    <cellStyle name="40% - 강조색3 4" xfId="47139" hidden="1"/>
    <cellStyle name="40% - 강조색3 4" xfId="47179" hidden="1"/>
    <cellStyle name="40% - 강조색3 4" xfId="47219" hidden="1"/>
    <cellStyle name="40% - 강조색3 4" xfId="47259" hidden="1"/>
    <cellStyle name="40% - 강조색3 4" xfId="47299" hidden="1"/>
    <cellStyle name="40% - 강조색3 4" xfId="47339" hidden="1"/>
    <cellStyle name="40% - 강조색3 4" xfId="44762" hidden="1"/>
    <cellStyle name="40% - 강조색3 4" xfId="47390" hidden="1"/>
    <cellStyle name="40% - 강조색3 4" xfId="47430" hidden="1"/>
    <cellStyle name="40% - 강조색3 4" xfId="47470" hidden="1"/>
    <cellStyle name="40% - 강조색3 4" xfId="47510" hidden="1"/>
    <cellStyle name="40% - 강조색3 4" xfId="47550" hidden="1"/>
    <cellStyle name="40% - 강조색3 4" xfId="47590" hidden="1"/>
    <cellStyle name="40% - 강조색3 4" xfId="47630" hidden="1"/>
    <cellStyle name="40% - 강조색3 4" xfId="47670" hidden="1"/>
    <cellStyle name="40% - 강조색3 4" xfId="47710" hidden="1"/>
    <cellStyle name="40% - 강조색3 4" xfId="47750" hidden="1"/>
    <cellStyle name="40% - 강조색3 4" xfId="47790" hidden="1"/>
    <cellStyle name="40% - 강조색3 4" xfId="47874" hidden="1"/>
    <cellStyle name="40% - 강조색3 4" xfId="47915" hidden="1"/>
    <cellStyle name="40% - 강조색3 4" xfId="47957" hidden="1"/>
    <cellStyle name="40% - 강조색3 4" xfId="47999" hidden="1"/>
    <cellStyle name="40% - 강조색3 4" xfId="48041" hidden="1"/>
    <cellStyle name="40% - 강조색3 4" xfId="48083" hidden="1"/>
    <cellStyle name="40% - 강조색3 4" xfId="48125" hidden="1"/>
    <cellStyle name="40% - 강조색3 4" xfId="48167" hidden="1"/>
    <cellStyle name="40% - 강조색3 4" xfId="48209" hidden="1"/>
    <cellStyle name="40% - 강조색3 4" xfId="48251" hidden="1"/>
    <cellStyle name="40% - 강조색3 4" xfId="48293" hidden="1"/>
    <cellStyle name="40% - 강조색3 4" xfId="48335" hidden="1"/>
    <cellStyle name="40% - 강조색3 4" xfId="47831" hidden="1"/>
    <cellStyle name="40% - 강조색3 4" xfId="48514" hidden="1"/>
    <cellStyle name="40% - 강조색3 4" xfId="48554" hidden="1"/>
    <cellStyle name="40% - 강조색3 4" xfId="48594" hidden="1"/>
    <cellStyle name="40% - 강조색3 4" xfId="48634" hidden="1"/>
    <cellStyle name="40% - 강조색3 4" xfId="48674" hidden="1"/>
    <cellStyle name="40% - 강조색3 4" xfId="48714" hidden="1"/>
    <cellStyle name="40% - 강조색3 4" xfId="48754" hidden="1"/>
    <cellStyle name="40% - 강조색3 4" xfId="48794" hidden="1"/>
    <cellStyle name="40% - 강조색3 4" xfId="48834" hidden="1"/>
    <cellStyle name="40% - 강조색3 4" xfId="48874" hidden="1"/>
    <cellStyle name="40% - 강조색3 4" xfId="48914" hidden="1"/>
    <cellStyle name="40% - 강조색3 4" xfId="48954" hidden="1"/>
    <cellStyle name="40% - 강조색3 4" xfId="48404" hidden="1"/>
    <cellStyle name="40% - 강조색3 4" xfId="48366" hidden="1"/>
    <cellStyle name="40% - 강조색3 4" xfId="48996" hidden="1"/>
    <cellStyle name="40% - 강조색3 4" xfId="49038" hidden="1"/>
    <cellStyle name="40% - 강조색3 4" xfId="49080" hidden="1"/>
    <cellStyle name="40% - 강조색3 4" xfId="49122" hidden="1"/>
    <cellStyle name="40% - 강조색3 4" xfId="49164" hidden="1"/>
    <cellStyle name="40% - 강조색3 4" xfId="49206" hidden="1"/>
    <cellStyle name="40% - 강조색3 4" xfId="49248" hidden="1"/>
    <cellStyle name="40% - 강조색3 4" xfId="49290" hidden="1"/>
    <cellStyle name="40% - 강조색3 4" xfId="49332" hidden="1"/>
    <cellStyle name="40% - 강조색3 4" xfId="49374" hidden="1"/>
    <cellStyle name="40% - 강조색3 4" xfId="48457" hidden="1"/>
    <cellStyle name="40% - 강조색3 4" xfId="49402" hidden="1"/>
    <cellStyle name="40% - 강조색3 4" xfId="49442" hidden="1"/>
    <cellStyle name="40% - 강조색3 4" xfId="49482" hidden="1"/>
    <cellStyle name="40% - 강조색3 4" xfId="49522" hidden="1"/>
    <cellStyle name="40% - 강조색3 4" xfId="49562" hidden="1"/>
    <cellStyle name="40% - 강조색3 4" xfId="49602" hidden="1"/>
    <cellStyle name="40% - 강조색3 4" xfId="49642" hidden="1"/>
    <cellStyle name="40% - 강조색3 4" xfId="49682" hidden="1"/>
    <cellStyle name="40% - 강조색3 4" xfId="49722" hidden="1"/>
    <cellStyle name="40% - 강조색3 4" xfId="49762" hidden="1"/>
    <cellStyle name="40% - 강조색3 4" xfId="49802" hidden="1"/>
    <cellStyle name="40% - 강조색3 4" xfId="49842" hidden="1"/>
    <cellStyle name="40% - 강조색3 4" xfId="44813" hidden="1"/>
    <cellStyle name="40% - 강조색3 4" xfId="49892" hidden="1"/>
    <cellStyle name="40% - 강조색3 4" xfId="49932" hidden="1"/>
    <cellStyle name="40% - 강조색3 4" xfId="49972" hidden="1"/>
    <cellStyle name="40% - 강조색3 4" xfId="50012" hidden="1"/>
    <cellStyle name="40% - 강조색3 4" xfId="50052" hidden="1"/>
    <cellStyle name="40% - 강조색3 4" xfId="50092" hidden="1"/>
    <cellStyle name="40% - 강조색3 4" xfId="50132" hidden="1"/>
    <cellStyle name="40% - 강조색3 4" xfId="50172" hidden="1"/>
    <cellStyle name="40% - 강조색3 4" xfId="50212" hidden="1"/>
    <cellStyle name="40% - 강조색3 4" xfId="50252" hidden="1"/>
    <cellStyle name="40% - 강조색3 4" xfId="50292" hidden="1"/>
    <cellStyle name="40% - 강조색3 4" xfId="50376" hidden="1"/>
    <cellStyle name="40% - 강조색3 4" xfId="50417" hidden="1"/>
    <cellStyle name="40% - 강조색3 4" xfId="50459" hidden="1"/>
    <cellStyle name="40% - 강조색3 4" xfId="50501" hidden="1"/>
    <cellStyle name="40% - 강조색3 4" xfId="50543" hidden="1"/>
    <cellStyle name="40% - 강조색3 4" xfId="50585" hidden="1"/>
    <cellStyle name="40% - 강조색3 4" xfId="50627" hidden="1"/>
    <cellStyle name="40% - 강조색3 4" xfId="50669" hidden="1"/>
    <cellStyle name="40% - 강조색3 4" xfId="50711" hidden="1"/>
    <cellStyle name="40% - 강조색3 4" xfId="50753" hidden="1"/>
    <cellStyle name="40% - 강조색3 4" xfId="50795" hidden="1"/>
    <cellStyle name="40% - 강조색3 4" xfId="50837" hidden="1"/>
    <cellStyle name="40% - 강조색3 4" xfId="50333" hidden="1"/>
    <cellStyle name="40% - 강조색3 4" xfId="51016" hidden="1"/>
    <cellStyle name="40% - 강조색3 4" xfId="51056" hidden="1"/>
    <cellStyle name="40% - 강조색3 4" xfId="51096" hidden="1"/>
    <cellStyle name="40% - 강조색3 4" xfId="51136" hidden="1"/>
    <cellStyle name="40% - 강조색3 4" xfId="51176" hidden="1"/>
    <cellStyle name="40% - 강조색3 4" xfId="51216" hidden="1"/>
    <cellStyle name="40% - 강조색3 4" xfId="51256" hidden="1"/>
    <cellStyle name="40% - 강조색3 4" xfId="51296" hidden="1"/>
    <cellStyle name="40% - 강조색3 4" xfId="51336" hidden="1"/>
    <cellStyle name="40% - 강조색3 4" xfId="51376" hidden="1"/>
    <cellStyle name="40% - 강조색3 4" xfId="51416" hidden="1"/>
    <cellStyle name="40% - 강조색3 4" xfId="51456" hidden="1"/>
    <cellStyle name="40% - 강조색3 4" xfId="50906" hidden="1"/>
    <cellStyle name="40% - 강조색3 4" xfId="50868" hidden="1"/>
    <cellStyle name="40% - 강조색3 4" xfId="51498" hidden="1"/>
    <cellStyle name="40% - 강조색3 4" xfId="51540" hidden="1"/>
    <cellStyle name="40% - 강조색3 4" xfId="51582" hidden="1"/>
    <cellStyle name="40% - 강조색3 4" xfId="51624" hidden="1"/>
    <cellStyle name="40% - 강조색3 4" xfId="51666" hidden="1"/>
    <cellStyle name="40% - 강조색3 4" xfId="51708" hidden="1"/>
    <cellStyle name="40% - 강조색3 4" xfId="51750" hidden="1"/>
    <cellStyle name="40% - 강조색3 4" xfId="51792" hidden="1"/>
    <cellStyle name="40% - 강조색3 4" xfId="51834" hidden="1"/>
    <cellStyle name="40% - 강조색3 4" xfId="51876" hidden="1"/>
    <cellStyle name="40% - 강조색3 4" xfId="50959" hidden="1"/>
    <cellStyle name="40% - 강조색3 4" xfId="51904" hidden="1"/>
    <cellStyle name="40% - 강조색3 4" xfId="51944" hidden="1"/>
    <cellStyle name="40% - 강조색3 4" xfId="51984" hidden="1"/>
    <cellStyle name="40% - 강조색3 4" xfId="52024" hidden="1"/>
    <cellStyle name="40% - 강조색3 4" xfId="52064" hidden="1"/>
    <cellStyle name="40% - 강조색3 4" xfId="52104" hidden="1"/>
    <cellStyle name="40% - 강조색3 4" xfId="52144" hidden="1"/>
    <cellStyle name="40% - 강조색3 4" xfId="52184" hidden="1"/>
    <cellStyle name="40% - 강조색3 4" xfId="52224" hidden="1"/>
    <cellStyle name="40% - 강조색3 4" xfId="52264" hidden="1"/>
    <cellStyle name="40% - 강조색3 4" xfId="52304" hidden="1"/>
    <cellStyle name="40% - 강조색3 4" xfId="52344" hidden="1"/>
    <cellStyle name="40% - 강조색3 4 2" xfId="2065"/>
    <cellStyle name="40% - 강조색3 4 3" xfId="2066"/>
    <cellStyle name="40% - 강조색3 4 4" xfId="2067"/>
    <cellStyle name="40% - 강조색3 4 5" xfId="2068"/>
    <cellStyle name="40% - 강조색3 40" xfId="2069"/>
    <cellStyle name="40% - 강조색3 41" xfId="2070"/>
    <cellStyle name="40% - 강조색3 42" xfId="2071"/>
    <cellStyle name="40% - 강조색3 43" xfId="2072"/>
    <cellStyle name="40% - 강조색3 44" xfId="2073"/>
    <cellStyle name="40% - 강조색3 45" xfId="2074"/>
    <cellStyle name="40% - 강조색3 46" xfId="2075"/>
    <cellStyle name="40% - 강조색3 47" xfId="2076"/>
    <cellStyle name="40% - 강조색3 48" xfId="2077"/>
    <cellStyle name="40% - 강조색3 49" xfId="2078"/>
    <cellStyle name="40% - 강조색3 5" xfId="2079"/>
    <cellStyle name="40% - 강조색3 50" xfId="2080"/>
    <cellStyle name="40% - 강조색3 51" xfId="2081"/>
    <cellStyle name="40% - 강조색3 52" xfId="2082"/>
    <cellStyle name="40% - 강조색3 6" xfId="2083"/>
    <cellStyle name="40% - 강조색3 7" xfId="2084"/>
    <cellStyle name="40% - 강조색3 8" xfId="2085"/>
    <cellStyle name="40% - 강조색3 9" xfId="2086"/>
    <cellStyle name="40% - 강조색4 10" xfId="2087"/>
    <cellStyle name="40% - 강조색4 11" xfId="2088"/>
    <cellStyle name="40% - 강조색4 12" xfId="2089"/>
    <cellStyle name="40% - 강조색4 13" xfId="2090"/>
    <cellStyle name="40% - 강조색4 14" xfId="2091"/>
    <cellStyle name="40% - 강조색4 15" xfId="2092"/>
    <cellStyle name="40% - 강조색4 16" xfId="2093"/>
    <cellStyle name="40% - 강조색4 17" xfId="2094"/>
    <cellStyle name="40% - 강조색4 18" xfId="2095"/>
    <cellStyle name="40% - 강조색4 19" xfId="2096"/>
    <cellStyle name="40% - 강조색4 2" xfId="125"/>
    <cellStyle name="40% - 강조색4 2 10" xfId="2097"/>
    <cellStyle name="40% - 강조색4 2 100" xfId="2098"/>
    <cellStyle name="40% - 강조색4 2 101" xfId="2099"/>
    <cellStyle name="40% - 강조색4 2 102" xfId="2100"/>
    <cellStyle name="40% - 강조색4 2 103" xfId="2101"/>
    <cellStyle name="40% - 강조색4 2 104" xfId="2102"/>
    <cellStyle name="40% - 강조색4 2 105" xfId="2103"/>
    <cellStyle name="40% - 강조색4 2 106" xfId="2104"/>
    <cellStyle name="40% - 강조색4 2 107" xfId="2105"/>
    <cellStyle name="40% - 강조색4 2 108" xfId="2106"/>
    <cellStyle name="40% - 강조색4 2 109" xfId="2107"/>
    <cellStyle name="40% - 강조색4 2 11" xfId="2108"/>
    <cellStyle name="40% - 강조색4 2 110" xfId="2109"/>
    <cellStyle name="40% - 강조색4 2 111" xfId="2110"/>
    <cellStyle name="40% - 강조색4 2 112" xfId="2111"/>
    <cellStyle name="40% - 강조색4 2 12" xfId="2112"/>
    <cellStyle name="40% - 강조색4 2 13" xfId="2113"/>
    <cellStyle name="40% - 강조색4 2 14" xfId="2114"/>
    <cellStyle name="40% - 강조색4 2 15" xfId="2115"/>
    <cellStyle name="40% - 강조색4 2 16" xfId="2116"/>
    <cellStyle name="40% - 강조색4 2 17" xfId="2117"/>
    <cellStyle name="40% - 강조색4 2 18" xfId="2118"/>
    <cellStyle name="40% - 강조색4 2 19" xfId="2119"/>
    <cellStyle name="40% - 강조색4 2 2" xfId="126"/>
    <cellStyle name="40% - 강조색4 2 2 10" xfId="2120"/>
    <cellStyle name="40% - 강조색4 2 2 11" xfId="2121"/>
    <cellStyle name="40% - 강조색4 2 2 12" xfId="2122"/>
    <cellStyle name="40% - 강조색4 2 2 13" xfId="2123"/>
    <cellStyle name="40% - 강조색4 2 2 14" xfId="2124"/>
    <cellStyle name="40% - 강조색4 2 2 15" xfId="2125"/>
    <cellStyle name="40% - 강조색4 2 2 2" xfId="2126"/>
    <cellStyle name="40% - 강조색4 2 2 2 2" xfId="2127"/>
    <cellStyle name="40% - 강조색4 2 2 2 3" xfId="2128"/>
    <cellStyle name="40% - 강조색4 2 2 2 4" xfId="2129"/>
    <cellStyle name="40% - 강조색4 2 2 2 5" xfId="2130"/>
    <cellStyle name="40% - 강조색4 2 2 3" xfId="2131"/>
    <cellStyle name="40% - 강조색4 2 2 4" xfId="2132"/>
    <cellStyle name="40% - 강조색4 2 2 5" xfId="2133"/>
    <cellStyle name="40% - 강조색4 2 2 6" xfId="2134"/>
    <cellStyle name="40% - 강조색4 2 2 7" xfId="2135"/>
    <cellStyle name="40% - 강조색4 2 2 8" xfId="2136"/>
    <cellStyle name="40% - 강조색4 2 2 9" xfId="2137"/>
    <cellStyle name="40% - 강조색4 2 20" xfId="2138"/>
    <cellStyle name="40% - 강조색4 2 21" xfId="2139"/>
    <cellStyle name="40% - 강조색4 2 22" xfId="2140"/>
    <cellStyle name="40% - 강조색4 2 23" xfId="2141"/>
    <cellStyle name="40% - 강조색4 2 24" xfId="2142"/>
    <cellStyle name="40% - 강조색4 2 25" xfId="2143"/>
    <cellStyle name="40% - 강조색4 2 26" xfId="2144"/>
    <cellStyle name="40% - 강조색4 2 27" xfId="2145"/>
    <cellStyle name="40% - 강조색4 2 28" xfId="2146"/>
    <cellStyle name="40% - 강조색4 2 29" xfId="2147"/>
    <cellStyle name="40% - 강조색4 2 3" xfId="2148"/>
    <cellStyle name="40% - 강조색4 2 3 2" xfId="2149"/>
    <cellStyle name="40% - 강조색4 2 3 3" xfId="2150"/>
    <cellStyle name="40% - 강조색4 2 3 4" xfId="2151"/>
    <cellStyle name="40% - 강조색4 2 3 5" xfId="2152"/>
    <cellStyle name="40% - 강조색4 2 30" xfId="2153"/>
    <cellStyle name="40% - 강조색4 2 31" xfId="2154"/>
    <cellStyle name="40% - 강조색4 2 32" xfId="2155"/>
    <cellStyle name="40% - 강조색4 2 33" xfId="2156"/>
    <cellStyle name="40% - 강조색4 2 34" xfId="2157"/>
    <cellStyle name="40% - 강조색4 2 35" xfId="2158"/>
    <cellStyle name="40% - 강조색4 2 36" xfId="2159"/>
    <cellStyle name="40% - 강조색4 2 37" xfId="2160"/>
    <cellStyle name="40% - 강조색4 2 38" xfId="2161"/>
    <cellStyle name="40% - 강조색4 2 39" xfId="2162"/>
    <cellStyle name="40% - 강조색4 2 4" xfId="2163"/>
    <cellStyle name="40% - 강조색4 2 40" xfId="2164"/>
    <cellStyle name="40% - 강조색4 2 41" xfId="2165"/>
    <cellStyle name="40% - 강조색4 2 42" xfId="2166"/>
    <cellStyle name="40% - 강조색4 2 43" xfId="2167"/>
    <cellStyle name="40% - 강조색4 2 44" xfId="2168"/>
    <cellStyle name="40% - 강조색4 2 45" xfId="2169"/>
    <cellStyle name="40% - 강조색4 2 46" xfId="2170"/>
    <cellStyle name="40% - 강조색4 2 47" xfId="2171"/>
    <cellStyle name="40% - 강조색4 2 48" xfId="2172"/>
    <cellStyle name="40% - 강조색4 2 49" xfId="2173"/>
    <cellStyle name="40% - 강조색4 2 5" xfId="2174"/>
    <cellStyle name="40% - 강조색4 2 50" xfId="2175"/>
    <cellStyle name="40% - 강조색4 2 51" xfId="2176"/>
    <cellStyle name="40% - 강조색4 2 52" xfId="2177"/>
    <cellStyle name="40% - 강조색4 2 53" xfId="2178"/>
    <cellStyle name="40% - 강조색4 2 54" xfId="2179"/>
    <cellStyle name="40% - 강조색4 2 55" xfId="2180"/>
    <cellStyle name="40% - 강조색4 2 56" xfId="2181"/>
    <cellStyle name="40% - 강조색4 2 57" xfId="2182"/>
    <cellStyle name="40% - 강조색4 2 58" xfId="2183"/>
    <cellStyle name="40% - 강조색4 2 59" xfId="2184"/>
    <cellStyle name="40% - 강조색4 2 6" xfId="2185"/>
    <cellStyle name="40% - 강조색4 2 60" xfId="2186"/>
    <cellStyle name="40% - 강조색4 2 61" xfId="2187"/>
    <cellStyle name="40% - 강조색4 2 62" xfId="2188"/>
    <cellStyle name="40% - 강조색4 2 63" xfId="2189"/>
    <cellStyle name="40% - 강조색4 2 64" xfId="2190"/>
    <cellStyle name="40% - 강조색4 2 65" xfId="2191"/>
    <cellStyle name="40% - 강조색4 2 66" xfId="2192"/>
    <cellStyle name="40% - 강조색4 2 67" xfId="2193"/>
    <cellStyle name="40% - 강조색4 2 68" xfId="2194"/>
    <cellStyle name="40% - 강조색4 2 69" xfId="2195"/>
    <cellStyle name="40% - 강조색4 2 7" xfId="2196"/>
    <cellStyle name="40% - 강조색4 2 70" xfId="2197"/>
    <cellStyle name="40% - 강조색4 2 71" xfId="2198"/>
    <cellStyle name="40% - 강조색4 2 72" xfId="2199"/>
    <cellStyle name="40% - 강조색4 2 73" xfId="2200"/>
    <cellStyle name="40% - 강조색4 2 74" xfId="2201"/>
    <cellStyle name="40% - 강조색4 2 75" xfId="2202"/>
    <cellStyle name="40% - 강조색4 2 76" xfId="2203"/>
    <cellStyle name="40% - 강조색4 2 77" xfId="2204"/>
    <cellStyle name="40% - 강조색4 2 78" xfId="2205"/>
    <cellStyle name="40% - 강조색4 2 79" xfId="2206"/>
    <cellStyle name="40% - 강조색4 2 8" xfId="2207"/>
    <cellStyle name="40% - 강조색4 2 80" xfId="2208"/>
    <cellStyle name="40% - 강조색4 2 81" xfId="2209"/>
    <cellStyle name="40% - 강조색4 2 82" xfId="2210"/>
    <cellStyle name="40% - 강조색4 2 83" xfId="2211"/>
    <cellStyle name="40% - 강조색4 2 84" xfId="2212"/>
    <cellStyle name="40% - 강조색4 2 85" xfId="2213"/>
    <cellStyle name="40% - 강조색4 2 86" xfId="2214"/>
    <cellStyle name="40% - 강조색4 2 87" xfId="2215"/>
    <cellStyle name="40% - 강조색4 2 88" xfId="2216"/>
    <cellStyle name="40% - 강조색4 2 89" xfId="2217"/>
    <cellStyle name="40% - 강조색4 2 9" xfId="2218"/>
    <cellStyle name="40% - 강조색4 2 90" xfId="2219"/>
    <cellStyle name="40% - 강조색4 2 91" xfId="2220"/>
    <cellStyle name="40% - 강조색4 2 92" xfId="2221"/>
    <cellStyle name="40% - 강조색4 2 93" xfId="2222"/>
    <cellStyle name="40% - 강조색4 2 94" xfId="2223"/>
    <cellStyle name="40% - 강조색4 2 95" xfId="2224"/>
    <cellStyle name="40% - 강조색4 2 96" xfId="2225"/>
    <cellStyle name="40% - 강조색4 2 97" xfId="2226"/>
    <cellStyle name="40% - 강조색4 2 98" xfId="2227"/>
    <cellStyle name="40% - 강조색4 2 99" xfId="2228"/>
    <cellStyle name="40% - 강조색4 20" xfId="2229"/>
    <cellStyle name="40% - 강조색4 21" xfId="2230"/>
    <cellStyle name="40% - 강조색4 22" xfId="2231"/>
    <cellStyle name="40% - 강조색4 23" xfId="2232"/>
    <cellStyle name="40% - 강조색4 24" xfId="2233"/>
    <cellStyle name="40% - 강조색4 25" xfId="2234"/>
    <cellStyle name="40% - 강조색4 26" xfId="2235"/>
    <cellStyle name="40% - 강조색4 27" xfId="2236"/>
    <cellStyle name="40% - 강조색4 28" xfId="2237"/>
    <cellStyle name="40% - 강조색4 29" xfId="2238"/>
    <cellStyle name="40% - 강조색4 3" xfId="127"/>
    <cellStyle name="40% - 강조색4 30" xfId="2239"/>
    <cellStyle name="40% - 강조색4 31" xfId="2240"/>
    <cellStyle name="40% - 강조색4 32" xfId="2241"/>
    <cellStyle name="40% - 강조색4 33" xfId="2242"/>
    <cellStyle name="40% - 강조색4 34" xfId="2243"/>
    <cellStyle name="40% - 강조색4 35" xfId="2244"/>
    <cellStyle name="40% - 강조색4 36" xfId="2245"/>
    <cellStyle name="40% - 강조색4 37" xfId="2246"/>
    <cellStyle name="40% - 강조색4 38" xfId="2247"/>
    <cellStyle name="40% - 강조색4 39" xfId="2248"/>
    <cellStyle name="40% - 강조색4 4" xfId="11738" hidden="1"/>
    <cellStyle name="40% - 강조색4 4" xfId="11784" hidden="1"/>
    <cellStyle name="40% - 강조색4 4" xfId="11830" hidden="1"/>
    <cellStyle name="40% - 강조색4 4" xfId="11876" hidden="1"/>
    <cellStyle name="40% - 강조색4 4" xfId="11922" hidden="1"/>
    <cellStyle name="40% - 강조색4 4" xfId="11968" hidden="1"/>
    <cellStyle name="40% - 강조색4 4" xfId="12014" hidden="1"/>
    <cellStyle name="40% - 강조색4 4" xfId="12060" hidden="1"/>
    <cellStyle name="40% - 강조색4 4" xfId="12106" hidden="1"/>
    <cellStyle name="40% - 강조색4 4" xfId="12152" hidden="1"/>
    <cellStyle name="40% - 강조색4 4" xfId="12198" hidden="1"/>
    <cellStyle name="40% - 강조색4 4" xfId="12244" hidden="1"/>
    <cellStyle name="40% - 강조색4 4" xfId="12334" hidden="1"/>
    <cellStyle name="40% - 강조색4 4" xfId="12375" hidden="1"/>
    <cellStyle name="40% - 강조색4 4" xfId="12417" hidden="1"/>
    <cellStyle name="40% - 강조색4 4" xfId="12459" hidden="1"/>
    <cellStyle name="40% - 강조색4 4" xfId="12501" hidden="1"/>
    <cellStyle name="40% - 강조색4 4" xfId="12543" hidden="1"/>
    <cellStyle name="40% - 강조색4 4" xfId="12585" hidden="1"/>
    <cellStyle name="40% - 강조색4 4" xfId="12627" hidden="1"/>
    <cellStyle name="40% - 강조색4 4" xfId="12669" hidden="1"/>
    <cellStyle name="40% - 강조색4 4" xfId="12711" hidden="1"/>
    <cellStyle name="40% - 강조색4 4" xfId="12753" hidden="1"/>
    <cellStyle name="40% - 강조색4 4" xfId="12795" hidden="1"/>
    <cellStyle name="40% - 강조색4 4" xfId="12289" hidden="1"/>
    <cellStyle name="40% - 강조색4 4" xfId="12977" hidden="1"/>
    <cellStyle name="40% - 강조색4 4" xfId="13017" hidden="1"/>
    <cellStyle name="40% - 강조색4 4" xfId="13057" hidden="1"/>
    <cellStyle name="40% - 강조색4 4" xfId="13097" hidden="1"/>
    <cellStyle name="40% - 강조색4 4" xfId="13137" hidden="1"/>
    <cellStyle name="40% - 강조색4 4" xfId="13177" hidden="1"/>
    <cellStyle name="40% - 강조색4 4" xfId="13217" hidden="1"/>
    <cellStyle name="40% - 강조색4 4" xfId="13257" hidden="1"/>
    <cellStyle name="40% - 강조색4 4" xfId="13297" hidden="1"/>
    <cellStyle name="40% - 강조색4 4" xfId="13337" hidden="1"/>
    <cellStyle name="40% - 강조색4 4" xfId="13377" hidden="1"/>
    <cellStyle name="40% - 강조색4 4" xfId="13417" hidden="1"/>
    <cellStyle name="40% - 강조색4 4" xfId="12857" hidden="1"/>
    <cellStyle name="40% - 강조색4 4" xfId="12817" hidden="1"/>
    <cellStyle name="40% - 강조색4 4" xfId="13459" hidden="1"/>
    <cellStyle name="40% - 강조색4 4" xfId="13501" hidden="1"/>
    <cellStyle name="40% - 강조색4 4" xfId="13543" hidden="1"/>
    <cellStyle name="40% - 강조색4 4" xfId="13585" hidden="1"/>
    <cellStyle name="40% - 강조색4 4" xfId="13627" hidden="1"/>
    <cellStyle name="40% - 강조색4 4" xfId="13669" hidden="1"/>
    <cellStyle name="40% - 강조색4 4" xfId="13711" hidden="1"/>
    <cellStyle name="40% - 강조색4 4" xfId="13753" hidden="1"/>
    <cellStyle name="40% - 강조색4 4" xfId="13795" hidden="1"/>
    <cellStyle name="40% - 강조색4 4" xfId="13837" hidden="1"/>
    <cellStyle name="40% - 강조색4 4" xfId="12911" hidden="1"/>
    <cellStyle name="40% - 강조색4 4" xfId="13865" hidden="1"/>
    <cellStyle name="40% - 강조색4 4" xfId="13905" hidden="1"/>
    <cellStyle name="40% - 강조색4 4" xfId="13945" hidden="1"/>
    <cellStyle name="40% - 강조색4 4" xfId="13985" hidden="1"/>
    <cellStyle name="40% - 강조색4 4" xfId="14025" hidden="1"/>
    <cellStyle name="40% - 강조색4 4" xfId="14065" hidden="1"/>
    <cellStyle name="40% - 강조색4 4" xfId="14105" hidden="1"/>
    <cellStyle name="40% - 강조색4 4" xfId="14145" hidden="1"/>
    <cellStyle name="40% - 강조색4 4" xfId="14185" hidden="1"/>
    <cellStyle name="40% - 강조색4 4" xfId="14225" hidden="1"/>
    <cellStyle name="40% - 강조색4 4" xfId="14265" hidden="1"/>
    <cellStyle name="40% - 강조색4 4" xfId="14305" hidden="1"/>
    <cellStyle name="40% - 강조색4 4" xfId="14411" hidden="1"/>
    <cellStyle name="40% - 강조색4 4" xfId="14451" hidden="1"/>
    <cellStyle name="40% - 강조색4 4" xfId="14491" hidden="1"/>
    <cellStyle name="40% - 강조색4 4" xfId="14531" hidden="1"/>
    <cellStyle name="40% - 강조색4 4" xfId="14571" hidden="1"/>
    <cellStyle name="40% - 강조색4 4" xfId="14611" hidden="1"/>
    <cellStyle name="40% - 강조색4 4" xfId="14651" hidden="1"/>
    <cellStyle name="40% - 강조색4 4" xfId="14691" hidden="1"/>
    <cellStyle name="40% - 강조색4 4" xfId="14731" hidden="1"/>
    <cellStyle name="40% - 강조색4 4" xfId="14771" hidden="1"/>
    <cellStyle name="40% - 강조색4 4" xfId="14811" hidden="1"/>
    <cellStyle name="40% - 강조색4 4" xfId="14851" hidden="1"/>
    <cellStyle name="40% - 강조색4 4" xfId="14935" hidden="1"/>
    <cellStyle name="40% - 강조색4 4" xfId="14976" hidden="1"/>
    <cellStyle name="40% - 강조색4 4" xfId="15018" hidden="1"/>
    <cellStyle name="40% - 강조색4 4" xfId="15060" hidden="1"/>
    <cellStyle name="40% - 강조색4 4" xfId="15102" hidden="1"/>
    <cellStyle name="40% - 강조색4 4" xfId="15144" hidden="1"/>
    <cellStyle name="40% - 강조색4 4" xfId="15186" hidden="1"/>
    <cellStyle name="40% - 강조색4 4" xfId="15228" hidden="1"/>
    <cellStyle name="40% - 강조색4 4" xfId="15270" hidden="1"/>
    <cellStyle name="40% - 강조색4 4" xfId="15312" hidden="1"/>
    <cellStyle name="40% - 강조색4 4" xfId="15354" hidden="1"/>
    <cellStyle name="40% - 강조색4 4" xfId="15396" hidden="1"/>
    <cellStyle name="40% - 강조색4 4" xfId="14892" hidden="1"/>
    <cellStyle name="40% - 강조색4 4" xfId="15575" hidden="1"/>
    <cellStyle name="40% - 강조색4 4" xfId="15615" hidden="1"/>
    <cellStyle name="40% - 강조색4 4" xfId="15655" hidden="1"/>
    <cellStyle name="40% - 강조색4 4" xfId="15695" hidden="1"/>
    <cellStyle name="40% - 강조색4 4" xfId="15735" hidden="1"/>
    <cellStyle name="40% - 강조색4 4" xfId="15775" hidden="1"/>
    <cellStyle name="40% - 강조색4 4" xfId="15815" hidden="1"/>
    <cellStyle name="40% - 강조색4 4" xfId="15855" hidden="1"/>
    <cellStyle name="40% - 강조색4 4" xfId="15895" hidden="1"/>
    <cellStyle name="40% - 강조색4 4" xfId="15935" hidden="1"/>
    <cellStyle name="40% - 강조색4 4" xfId="15975" hidden="1"/>
    <cellStyle name="40% - 강조색4 4" xfId="16015" hidden="1"/>
    <cellStyle name="40% - 강조색4 4" xfId="15457" hidden="1"/>
    <cellStyle name="40% - 강조색4 4" xfId="15417" hidden="1"/>
    <cellStyle name="40% - 강조색4 4" xfId="16057" hidden="1"/>
    <cellStyle name="40% - 강조색4 4" xfId="16099" hidden="1"/>
    <cellStyle name="40% - 강조색4 4" xfId="16141" hidden="1"/>
    <cellStyle name="40% - 강조색4 4" xfId="16183" hidden="1"/>
    <cellStyle name="40% - 강조색4 4" xfId="16225" hidden="1"/>
    <cellStyle name="40% - 강조색4 4" xfId="16267" hidden="1"/>
    <cellStyle name="40% - 강조색4 4" xfId="16309" hidden="1"/>
    <cellStyle name="40% - 강조색4 4" xfId="16351" hidden="1"/>
    <cellStyle name="40% - 강조색4 4" xfId="16393" hidden="1"/>
    <cellStyle name="40% - 강조색4 4" xfId="16435" hidden="1"/>
    <cellStyle name="40% - 강조색4 4" xfId="15510" hidden="1"/>
    <cellStyle name="40% - 강조색4 4" xfId="16463" hidden="1"/>
    <cellStyle name="40% - 강조색4 4" xfId="16503" hidden="1"/>
    <cellStyle name="40% - 강조색4 4" xfId="16543" hidden="1"/>
    <cellStyle name="40% - 강조색4 4" xfId="16583" hidden="1"/>
    <cellStyle name="40% - 강조색4 4" xfId="16623" hidden="1"/>
    <cellStyle name="40% - 강조색4 4" xfId="16663" hidden="1"/>
    <cellStyle name="40% - 강조색4 4" xfId="16703" hidden="1"/>
    <cellStyle name="40% - 강조색4 4" xfId="16743" hidden="1"/>
    <cellStyle name="40% - 강조색4 4" xfId="16783" hidden="1"/>
    <cellStyle name="40% - 강조색4 4" xfId="16823" hidden="1"/>
    <cellStyle name="40% - 강조색4 4" xfId="16863" hidden="1"/>
    <cellStyle name="40% - 강조색4 4" xfId="16903" hidden="1"/>
    <cellStyle name="40% - 강조색4 4" xfId="16914" hidden="1"/>
    <cellStyle name="40% - 강조색4 4" xfId="16954" hidden="1"/>
    <cellStyle name="40% - 강조색4 4" xfId="16995" hidden="1"/>
    <cellStyle name="40% - 강조색4 4" xfId="17035" hidden="1"/>
    <cellStyle name="40% - 강조색4 4" xfId="17075" hidden="1"/>
    <cellStyle name="40% - 강조색4 4" xfId="17115" hidden="1"/>
    <cellStyle name="40% - 강조색4 4" xfId="17155" hidden="1"/>
    <cellStyle name="40% - 강조색4 4" xfId="17195" hidden="1"/>
    <cellStyle name="40% - 강조색4 4" xfId="17235" hidden="1"/>
    <cellStyle name="40% - 강조색4 4" xfId="17275" hidden="1"/>
    <cellStyle name="40% - 강조색4 4" xfId="17315" hidden="1"/>
    <cellStyle name="40% - 강조색4 4" xfId="17355" hidden="1"/>
    <cellStyle name="40% - 강조색4 4" xfId="17439" hidden="1"/>
    <cellStyle name="40% - 강조색4 4" xfId="17480" hidden="1"/>
    <cellStyle name="40% - 강조색4 4" xfId="17522" hidden="1"/>
    <cellStyle name="40% - 강조색4 4" xfId="17564" hidden="1"/>
    <cellStyle name="40% - 강조색4 4" xfId="17606" hidden="1"/>
    <cellStyle name="40% - 강조색4 4" xfId="17648" hidden="1"/>
    <cellStyle name="40% - 강조색4 4" xfId="17690" hidden="1"/>
    <cellStyle name="40% - 강조색4 4" xfId="17732" hidden="1"/>
    <cellStyle name="40% - 강조색4 4" xfId="17774" hidden="1"/>
    <cellStyle name="40% - 강조색4 4" xfId="17816" hidden="1"/>
    <cellStyle name="40% - 강조색4 4" xfId="17858" hidden="1"/>
    <cellStyle name="40% - 강조색4 4" xfId="17900" hidden="1"/>
    <cellStyle name="40% - 강조색4 4" xfId="17396" hidden="1"/>
    <cellStyle name="40% - 강조색4 4" xfId="18079" hidden="1"/>
    <cellStyle name="40% - 강조색4 4" xfId="18119" hidden="1"/>
    <cellStyle name="40% - 강조색4 4" xfId="18159" hidden="1"/>
    <cellStyle name="40% - 강조색4 4" xfId="18199" hidden="1"/>
    <cellStyle name="40% - 강조색4 4" xfId="18239" hidden="1"/>
    <cellStyle name="40% - 강조색4 4" xfId="18279" hidden="1"/>
    <cellStyle name="40% - 강조색4 4" xfId="18319" hidden="1"/>
    <cellStyle name="40% - 강조색4 4" xfId="18359" hidden="1"/>
    <cellStyle name="40% - 강조색4 4" xfId="18399" hidden="1"/>
    <cellStyle name="40% - 강조색4 4" xfId="18439" hidden="1"/>
    <cellStyle name="40% - 강조색4 4" xfId="18479" hidden="1"/>
    <cellStyle name="40% - 강조색4 4" xfId="18519" hidden="1"/>
    <cellStyle name="40% - 강조색4 4" xfId="17961" hidden="1"/>
    <cellStyle name="40% - 강조색4 4" xfId="17921" hidden="1"/>
    <cellStyle name="40% - 강조색4 4" xfId="18561" hidden="1"/>
    <cellStyle name="40% - 강조색4 4" xfId="18603" hidden="1"/>
    <cellStyle name="40% - 강조색4 4" xfId="18645" hidden="1"/>
    <cellStyle name="40% - 강조색4 4" xfId="18687" hidden="1"/>
    <cellStyle name="40% - 강조색4 4" xfId="18729" hidden="1"/>
    <cellStyle name="40% - 강조색4 4" xfId="18771" hidden="1"/>
    <cellStyle name="40% - 강조색4 4" xfId="18813" hidden="1"/>
    <cellStyle name="40% - 강조색4 4" xfId="18855" hidden="1"/>
    <cellStyle name="40% - 강조색4 4" xfId="18897" hidden="1"/>
    <cellStyle name="40% - 강조색4 4" xfId="18939" hidden="1"/>
    <cellStyle name="40% - 강조색4 4" xfId="18014" hidden="1"/>
    <cellStyle name="40% - 강조색4 4" xfId="18967" hidden="1"/>
    <cellStyle name="40% - 강조색4 4" xfId="19007" hidden="1"/>
    <cellStyle name="40% - 강조색4 4" xfId="19047" hidden="1"/>
    <cellStyle name="40% - 강조색4 4" xfId="19087" hidden="1"/>
    <cellStyle name="40% - 강조색4 4" xfId="19127" hidden="1"/>
    <cellStyle name="40% - 강조색4 4" xfId="19167" hidden="1"/>
    <cellStyle name="40% - 강조색4 4" xfId="19207" hidden="1"/>
    <cellStyle name="40% - 강조색4 4" xfId="19247" hidden="1"/>
    <cellStyle name="40% - 강조색4 4" xfId="19287" hidden="1"/>
    <cellStyle name="40% - 강조색4 4" xfId="19327" hidden="1"/>
    <cellStyle name="40% - 강조색4 4" xfId="19367" hidden="1"/>
    <cellStyle name="40% - 강조색4 4" xfId="19407" hidden="1"/>
    <cellStyle name="40% - 강조색4 4" xfId="19417" hidden="1"/>
    <cellStyle name="40% - 강조색4 4" xfId="19457" hidden="1"/>
    <cellStyle name="40% - 강조색4 4" xfId="19497" hidden="1"/>
    <cellStyle name="40% - 강조색4 4" xfId="19537" hidden="1"/>
    <cellStyle name="40% - 강조색4 4" xfId="19577" hidden="1"/>
    <cellStyle name="40% - 강조색4 4" xfId="19617" hidden="1"/>
    <cellStyle name="40% - 강조색4 4" xfId="19657" hidden="1"/>
    <cellStyle name="40% - 강조색4 4" xfId="19697" hidden="1"/>
    <cellStyle name="40% - 강조색4 4" xfId="19737" hidden="1"/>
    <cellStyle name="40% - 강조색4 4" xfId="19777" hidden="1"/>
    <cellStyle name="40% - 강조색4 4" xfId="19817" hidden="1"/>
    <cellStyle name="40% - 강조색4 4" xfId="19857" hidden="1"/>
    <cellStyle name="40% - 강조색4 4" xfId="19941" hidden="1"/>
    <cellStyle name="40% - 강조색4 4" xfId="19982" hidden="1"/>
    <cellStyle name="40% - 강조색4 4" xfId="20024" hidden="1"/>
    <cellStyle name="40% - 강조색4 4" xfId="20066" hidden="1"/>
    <cellStyle name="40% - 강조색4 4" xfId="20108" hidden="1"/>
    <cellStyle name="40% - 강조색4 4" xfId="20150" hidden="1"/>
    <cellStyle name="40% - 강조색4 4" xfId="20192" hidden="1"/>
    <cellStyle name="40% - 강조색4 4" xfId="20234" hidden="1"/>
    <cellStyle name="40% - 강조색4 4" xfId="20276" hidden="1"/>
    <cellStyle name="40% - 강조색4 4" xfId="20318" hidden="1"/>
    <cellStyle name="40% - 강조색4 4" xfId="20360" hidden="1"/>
    <cellStyle name="40% - 강조색4 4" xfId="20402" hidden="1"/>
    <cellStyle name="40% - 강조색4 4" xfId="19898" hidden="1"/>
    <cellStyle name="40% - 강조색4 4" xfId="20581" hidden="1"/>
    <cellStyle name="40% - 강조색4 4" xfId="20621" hidden="1"/>
    <cellStyle name="40% - 강조색4 4" xfId="20661" hidden="1"/>
    <cellStyle name="40% - 강조색4 4" xfId="20701" hidden="1"/>
    <cellStyle name="40% - 강조색4 4" xfId="20741" hidden="1"/>
    <cellStyle name="40% - 강조색4 4" xfId="20781" hidden="1"/>
    <cellStyle name="40% - 강조색4 4" xfId="20821" hidden="1"/>
    <cellStyle name="40% - 강조색4 4" xfId="20861" hidden="1"/>
    <cellStyle name="40% - 강조색4 4" xfId="20901" hidden="1"/>
    <cellStyle name="40% - 강조색4 4" xfId="20941" hidden="1"/>
    <cellStyle name="40% - 강조색4 4" xfId="20981" hidden="1"/>
    <cellStyle name="40% - 강조색4 4" xfId="21021" hidden="1"/>
    <cellStyle name="40% - 강조색4 4" xfId="20463" hidden="1"/>
    <cellStyle name="40% - 강조색4 4" xfId="20423" hidden="1"/>
    <cellStyle name="40% - 강조색4 4" xfId="21063" hidden="1"/>
    <cellStyle name="40% - 강조색4 4" xfId="21105" hidden="1"/>
    <cellStyle name="40% - 강조색4 4" xfId="21147" hidden="1"/>
    <cellStyle name="40% - 강조색4 4" xfId="21189" hidden="1"/>
    <cellStyle name="40% - 강조색4 4" xfId="21231" hidden="1"/>
    <cellStyle name="40% - 강조색4 4" xfId="21273" hidden="1"/>
    <cellStyle name="40% - 강조색4 4" xfId="21315" hidden="1"/>
    <cellStyle name="40% - 강조색4 4" xfId="21357" hidden="1"/>
    <cellStyle name="40% - 강조색4 4" xfId="21399" hidden="1"/>
    <cellStyle name="40% - 강조색4 4" xfId="21441" hidden="1"/>
    <cellStyle name="40% - 강조색4 4" xfId="20516" hidden="1"/>
    <cellStyle name="40% - 강조색4 4" xfId="21469" hidden="1"/>
    <cellStyle name="40% - 강조색4 4" xfId="21509" hidden="1"/>
    <cellStyle name="40% - 강조색4 4" xfId="21549" hidden="1"/>
    <cellStyle name="40% - 강조색4 4" xfId="21589" hidden="1"/>
    <cellStyle name="40% - 강조색4 4" xfId="21629" hidden="1"/>
    <cellStyle name="40% - 강조색4 4" xfId="21669" hidden="1"/>
    <cellStyle name="40% - 강조색4 4" xfId="21709" hidden="1"/>
    <cellStyle name="40% - 강조색4 4" xfId="21749" hidden="1"/>
    <cellStyle name="40% - 강조색4 4" xfId="21789" hidden="1"/>
    <cellStyle name="40% - 강조색4 4" xfId="21829" hidden="1"/>
    <cellStyle name="40% - 강조색4 4" xfId="21869" hidden="1"/>
    <cellStyle name="40% - 강조색4 4" xfId="21909" hidden="1"/>
    <cellStyle name="40% - 강조색4 4" xfId="21977" hidden="1"/>
    <cellStyle name="40% - 강조색4 4" xfId="22017" hidden="1"/>
    <cellStyle name="40% - 강조색4 4" xfId="22057" hidden="1"/>
    <cellStyle name="40% - 강조색4 4" xfId="22097" hidden="1"/>
    <cellStyle name="40% - 강조색4 4" xfId="22137" hidden="1"/>
    <cellStyle name="40% - 강조색4 4" xfId="22177" hidden="1"/>
    <cellStyle name="40% - 강조색4 4" xfId="22217" hidden="1"/>
    <cellStyle name="40% - 강조색4 4" xfId="22257" hidden="1"/>
    <cellStyle name="40% - 강조색4 4" xfId="22297" hidden="1"/>
    <cellStyle name="40% - 강조색4 4" xfId="22337" hidden="1"/>
    <cellStyle name="40% - 강조색4 4" xfId="22377" hidden="1"/>
    <cellStyle name="40% - 강조색4 4" xfId="22417" hidden="1"/>
    <cellStyle name="40% - 강조색4 4" xfId="22501" hidden="1"/>
    <cellStyle name="40% - 강조색4 4" xfId="22542" hidden="1"/>
    <cellStyle name="40% - 강조색4 4" xfId="22584" hidden="1"/>
    <cellStyle name="40% - 강조색4 4" xfId="22626" hidden="1"/>
    <cellStyle name="40% - 강조색4 4" xfId="22668" hidden="1"/>
    <cellStyle name="40% - 강조색4 4" xfId="22710" hidden="1"/>
    <cellStyle name="40% - 강조색4 4" xfId="22752" hidden="1"/>
    <cellStyle name="40% - 강조색4 4" xfId="22794" hidden="1"/>
    <cellStyle name="40% - 강조색4 4" xfId="22836" hidden="1"/>
    <cellStyle name="40% - 강조색4 4" xfId="22878" hidden="1"/>
    <cellStyle name="40% - 강조색4 4" xfId="22920" hidden="1"/>
    <cellStyle name="40% - 강조색4 4" xfId="22962" hidden="1"/>
    <cellStyle name="40% - 강조색4 4" xfId="22458" hidden="1"/>
    <cellStyle name="40% - 강조색4 4" xfId="23141" hidden="1"/>
    <cellStyle name="40% - 강조색4 4" xfId="23181" hidden="1"/>
    <cellStyle name="40% - 강조색4 4" xfId="23221" hidden="1"/>
    <cellStyle name="40% - 강조색4 4" xfId="23261" hidden="1"/>
    <cellStyle name="40% - 강조색4 4" xfId="23301" hidden="1"/>
    <cellStyle name="40% - 강조색4 4" xfId="23341" hidden="1"/>
    <cellStyle name="40% - 강조색4 4" xfId="23381" hidden="1"/>
    <cellStyle name="40% - 강조색4 4" xfId="23421" hidden="1"/>
    <cellStyle name="40% - 강조색4 4" xfId="23461" hidden="1"/>
    <cellStyle name="40% - 강조색4 4" xfId="23501" hidden="1"/>
    <cellStyle name="40% - 강조색4 4" xfId="23541" hidden="1"/>
    <cellStyle name="40% - 강조색4 4" xfId="23581" hidden="1"/>
    <cellStyle name="40% - 강조색4 4" xfId="23023" hidden="1"/>
    <cellStyle name="40% - 강조색4 4" xfId="22983" hidden="1"/>
    <cellStyle name="40% - 강조색4 4" xfId="23623" hidden="1"/>
    <cellStyle name="40% - 강조색4 4" xfId="23665" hidden="1"/>
    <cellStyle name="40% - 강조색4 4" xfId="23707" hidden="1"/>
    <cellStyle name="40% - 강조색4 4" xfId="23749" hidden="1"/>
    <cellStyle name="40% - 강조색4 4" xfId="23791" hidden="1"/>
    <cellStyle name="40% - 강조색4 4" xfId="23833" hidden="1"/>
    <cellStyle name="40% - 강조색4 4" xfId="23875" hidden="1"/>
    <cellStyle name="40% - 강조색4 4" xfId="23917" hidden="1"/>
    <cellStyle name="40% - 강조색4 4" xfId="23959" hidden="1"/>
    <cellStyle name="40% - 강조색4 4" xfId="24001" hidden="1"/>
    <cellStyle name="40% - 강조색4 4" xfId="23076" hidden="1"/>
    <cellStyle name="40% - 강조색4 4" xfId="24029" hidden="1"/>
    <cellStyle name="40% - 강조색4 4" xfId="24069" hidden="1"/>
    <cellStyle name="40% - 강조색4 4" xfId="24109" hidden="1"/>
    <cellStyle name="40% - 강조색4 4" xfId="24149" hidden="1"/>
    <cellStyle name="40% - 강조색4 4" xfId="24189" hidden="1"/>
    <cellStyle name="40% - 강조색4 4" xfId="24229" hidden="1"/>
    <cellStyle name="40% - 강조색4 4" xfId="24269" hidden="1"/>
    <cellStyle name="40% - 강조색4 4" xfId="24309" hidden="1"/>
    <cellStyle name="40% - 강조색4 4" xfId="24349" hidden="1"/>
    <cellStyle name="40% - 강조색4 4" xfId="24389" hidden="1"/>
    <cellStyle name="40% - 강조색4 4" xfId="24429" hidden="1"/>
    <cellStyle name="40% - 강조색4 4" xfId="24469" hidden="1"/>
    <cellStyle name="40% - 강조색4 4" xfId="24567" hidden="1"/>
    <cellStyle name="40% - 강조색4 4" xfId="24607" hidden="1"/>
    <cellStyle name="40% - 강조색4 4" xfId="24649" hidden="1"/>
    <cellStyle name="40% - 강조색4 4" xfId="24690" hidden="1"/>
    <cellStyle name="40% - 강조색4 4" xfId="24730" hidden="1"/>
    <cellStyle name="40% - 강조색4 4" xfId="24770" hidden="1"/>
    <cellStyle name="40% - 강조색4 4" xfId="24810" hidden="1"/>
    <cellStyle name="40% - 강조색4 4" xfId="24850" hidden="1"/>
    <cellStyle name="40% - 강조색4 4" xfId="24890" hidden="1"/>
    <cellStyle name="40% - 강조색4 4" xfId="24930" hidden="1"/>
    <cellStyle name="40% - 강조색4 4" xfId="24970" hidden="1"/>
    <cellStyle name="40% - 강조색4 4" xfId="25010" hidden="1"/>
    <cellStyle name="40% - 강조색4 4" xfId="25094" hidden="1"/>
    <cellStyle name="40% - 강조색4 4" xfId="25135" hidden="1"/>
    <cellStyle name="40% - 강조색4 4" xfId="25177" hidden="1"/>
    <cellStyle name="40% - 강조색4 4" xfId="25219" hidden="1"/>
    <cellStyle name="40% - 강조색4 4" xfId="25261" hidden="1"/>
    <cellStyle name="40% - 강조색4 4" xfId="25303" hidden="1"/>
    <cellStyle name="40% - 강조색4 4" xfId="25345" hidden="1"/>
    <cellStyle name="40% - 강조색4 4" xfId="25387" hidden="1"/>
    <cellStyle name="40% - 강조색4 4" xfId="25429" hidden="1"/>
    <cellStyle name="40% - 강조색4 4" xfId="25471" hidden="1"/>
    <cellStyle name="40% - 강조색4 4" xfId="25513" hidden="1"/>
    <cellStyle name="40% - 강조색4 4" xfId="25555" hidden="1"/>
    <cellStyle name="40% - 강조색4 4" xfId="25051" hidden="1"/>
    <cellStyle name="40% - 강조색4 4" xfId="25734" hidden="1"/>
    <cellStyle name="40% - 강조색4 4" xfId="25774" hidden="1"/>
    <cellStyle name="40% - 강조색4 4" xfId="25814" hidden="1"/>
    <cellStyle name="40% - 강조색4 4" xfId="25854" hidden="1"/>
    <cellStyle name="40% - 강조색4 4" xfId="25894" hidden="1"/>
    <cellStyle name="40% - 강조색4 4" xfId="25934" hidden="1"/>
    <cellStyle name="40% - 강조색4 4" xfId="25974" hidden="1"/>
    <cellStyle name="40% - 강조색4 4" xfId="26014" hidden="1"/>
    <cellStyle name="40% - 강조색4 4" xfId="26054" hidden="1"/>
    <cellStyle name="40% - 강조색4 4" xfId="26094" hidden="1"/>
    <cellStyle name="40% - 강조색4 4" xfId="26134" hidden="1"/>
    <cellStyle name="40% - 강조색4 4" xfId="26174" hidden="1"/>
    <cellStyle name="40% - 강조색4 4" xfId="25616" hidden="1"/>
    <cellStyle name="40% - 강조색4 4" xfId="25576" hidden="1"/>
    <cellStyle name="40% - 강조색4 4" xfId="26216" hidden="1"/>
    <cellStyle name="40% - 강조색4 4" xfId="26258" hidden="1"/>
    <cellStyle name="40% - 강조색4 4" xfId="26300" hidden="1"/>
    <cellStyle name="40% - 강조색4 4" xfId="26342" hidden="1"/>
    <cellStyle name="40% - 강조색4 4" xfId="26384" hidden="1"/>
    <cellStyle name="40% - 강조색4 4" xfId="26426" hidden="1"/>
    <cellStyle name="40% - 강조색4 4" xfId="26468" hidden="1"/>
    <cellStyle name="40% - 강조색4 4" xfId="26510" hidden="1"/>
    <cellStyle name="40% - 강조색4 4" xfId="26552" hidden="1"/>
    <cellStyle name="40% - 강조색4 4" xfId="26594" hidden="1"/>
    <cellStyle name="40% - 강조색4 4" xfId="25669" hidden="1"/>
    <cellStyle name="40% - 강조색4 4" xfId="26622" hidden="1"/>
    <cellStyle name="40% - 강조색4 4" xfId="26662" hidden="1"/>
    <cellStyle name="40% - 강조색4 4" xfId="26702" hidden="1"/>
    <cellStyle name="40% - 강조색4 4" xfId="26742" hidden="1"/>
    <cellStyle name="40% - 강조색4 4" xfId="26782" hidden="1"/>
    <cellStyle name="40% - 강조색4 4" xfId="26822" hidden="1"/>
    <cellStyle name="40% - 강조색4 4" xfId="26862" hidden="1"/>
    <cellStyle name="40% - 강조색4 4" xfId="26902" hidden="1"/>
    <cellStyle name="40% - 강조색4 4" xfId="26942" hidden="1"/>
    <cellStyle name="40% - 강조색4 4" xfId="26982" hidden="1"/>
    <cellStyle name="40% - 강조색4 4" xfId="27022" hidden="1"/>
    <cellStyle name="40% - 강조색4 4" xfId="27062" hidden="1"/>
    <cellStyle name="40% - 강조색4 4" xfId="27073" hidden="1"/>
    <cellStyle name="40% - 강조색4 4" xfId="27113" hidden="1"/>
    <cellStyle name="40% - 강조색4 4" xfId="27153" hidden="1"/>
    <cellStyle name="40% - 강조색4 4" xfId="27193" hidden="1"/>
    <cellStyle name="40% - 강조색4 4" xfId="27233" hidden="1"/>
    <cellStyle name="40% - 강조색4 4" xfId="27273" hidden="1"/>
    <cellStyle name="40% - 강조색4 4" xfId="27313" hidden="1"/>
    <cellStyle name="40% - 강조색4 4" xfId="27353" hidden="1"/>
    <cellStyle name="40% - 강조색4 4" xfId="27393" hidden="1"/>
    <cellStyle name="40% - 강조색4 4" xfId="27433" hidden="1"/>
    <cellStyle name="40% - 강조색4 4" xfId="27473" hidden="1"/>
    <cellStyle name="40% - 강조색4 4" xfId="27513" hidden="1"/>
    <cellStyle name="40% - 강조색4 4" xfId="27597" hidden="1"/>
    <cellStyle name="40% - 강조색4 4" xfId="27638" hidden="1"/>
    <cellStyle name="40% - 강조색4 4" xfId="27680" hidden="1"/>
    <cellStyle name="40% - 강조색4 4" xfId="27722" hidden="1"/>
    <cellStyle name="40% - 강조색4 4" xfId="27764" hidden="1"/>
    <cellStyle name="40% - 강조색4 4" xfId="27806" hidden="1"/>
    <cellStyle name="40% - 강조색4 4" xfId="27848" hidden="1"/>
    <cellStyle name="40% - 강조색4 4" xfId="27890" hidden="1"/>
    <cellStyle name="40% - 강조색4 4" xfId="27932" hidden="1"/>
    <cellStyle name="40% - 강조색4 4" xfId="27974" hidden="1"/>
    <cellStyle name="40% - 강조색4 4" xfId="28016" hidden="1"/>
    <cellStyle name="40% - 강조색4 4" xfId="28058" hidden="1"/>
    <cellStyle name="40% - 강조색4 4" xfId="27554" hidden="1"/>
    <cellStyle name="40% - 강조색4 4" xfId="28237" hidden="1"/>
    <cellStyle name="40% - 강조색4 4" xfId="28277" hidden="1"/>
    <cellStyle name="40% - 강조색4 4" xfId="28317" hidden="1"/>
    <cellStyle name="40% - 강조색4 4" xfId="28357" hidden="1"/>
    <cellStyle name="40% - 강조색4 4" xfId="28397" hidden="1"/>
    <cellStyle name="40% - 강조색4 4" xfId="28437" hidden="1"/>
    <cellStyle name="40% - 강조색4 4" xfId="28477" hidden="1"/>
    <cellStyle name="40% - 강조색4 4" xfId="28517" hidden="1"/>
    <cellStyle name="40% - 강조색4 4" xfId="28557" hidden="1"/>
    <cellStyle name="40% - 강조색4 4" xfId="28597" hidden="1"/>
    <cellStyle name="40% - 강조색4 4" xfId="28637" hidden="1"/>
    <cellStyle name="40% - 강조색4 4" xfId="28677" hidden="1"/>
    <cellStyle name="40% - 강조색4 4" xfId="28119" hidden="1"/>
    <cellStyle name="40% - 강조색4 4" xfId="28079" hidden="1"/>
    <cellStyle name="40% - 강조색4 4" xfId="28719" hidden="1"/>
    <cellStyle name="40% - 강조색4 4" xfId="28761" hidden="1"/>
    <cellStyle name="40% - 강조색4 4" xfId="28803" hidden="1"/>
    <cellStyle name="40% - 강조색4 4" xfId="28845" hidden="1"/>
    <cellStyle name="40% - 강조색4 4" xfId="28887" hidden="1"/>
    <cellStyle name="40% - 강조색4 4" xfId="28929" hidden="1"/>
    <cellStyle name="40% - 강조색4 4" xfId="28971" hidden="1"/>
    <cellStyle name="40% - 강조색4 4" xfId="29013" hidden="1"/>
    <cellStyle name="40% - 강조색4 4" xfId="29055" hidden="1"/>
    <cellStyle name="40% - 강조색4 4" xfId="29097" hidden="1"/>
    <cellStyle name="40% - 강조색4 4" xfId="28172" hidden="1"/>
    <cellStyle name="40% - 강조색4 4" xfId="29125" hidden="1"/>
    <cellStyle name="40% - 강조색4 4" xfId="29165" hidden="1"/>
    <cellStyle name="40% - 강조색4 4" xfId="29205" hidden="1"/>
    <cellStyle name="40% - 강조색4 4" xfId="29245" hidden="1"/>
    <cellStyle name="40% - 강조색4 4" xfId="29285" hidden="1"/>
    <cellStyle name="40% - 강조색4 4" xfId="29325" hidden="1"/>
    <cellStyle name="40% - 강조색4 4" xfId="29365" hidden="1"/>
    <cellStyle name="40% - 강조색4 4" xfId="29405" hidden="1"/>
    <cellStyle name="40% - 강조색4 4" xfId="29445" hidden="1"/>
    <cellStyle name="40% - 강조색4 4" xfId="29485" hidden="1"/>
    <cellStyle name="40% - 강조색4 4" xfId="29525" hidden="1"/>
    <cellStyle name="40% - 강조색4 4" xfId="29565" hidden="1"/>
    <cellStyle name="40% - 강조색4 4" xfId="29575" hidden="1"/>
    <cellStyle name="40% - 강조색4 4" xfId="29615" hidden="1"/>
    <cellStyle name="40% - 강조색4 4" xfId="29655" hidden="1"/>
    <cellStyle name="40% - 강조색4 4" xfId="29695" hidden="1"/>
    <cellStyle name="40% - 강조색4 4" xfId="29735" hidden="1"/>
    <cellStyle name="40% - 강조색4 4" xfId="29775" hidden="1"/>
    <cellStyle name="40% - 강조색4 4" xfId="29815" hidden="1"/>
    <cellStyle name="40% - 강조색4 4" xfId="29855" hidden="1"/>
    <cellStyle name="40% - 강조색4 4" xfId="29895" hidden="1"/>
    <cellStyle name="40% - 강조색4 4" xfId="29935" hidden="1"/>
    <cellStyle name="40% - 강조색4 4" xfId="29975" hidden="1"/>
    <cellStyle name="40% - 강조색4 4" xfId="30015" hidden="1"/>
    <cellStyle name="40% - 강조색4 4" xfId="30099" hidden="1"/>
    <cellStyle name="40% - 강조색4 4" xfId="30140" hidden="1"/>
    <cellStyle name="40% - 강조색4 4" xfId="30182" hidden="1"/>
    <cellStyle name="40% - 강조색4 4" xfId="30224" hidden="1"/>
    <cellStyle name="40% - 강조색4 4" xfId="30266" hidden="1"/>
    <cellStyle name="40% - 강조색4 4" xfId="30308" hidden="1"/>
    <cellStyle name="40% - 강조색4 4" xfId="30350" hidden="1"/>
    <cellStyle name="40% - 강조색4 4" xfId="30392" hidden="1"/>
    <cellStyle name="40% - 강조색4 4" xfId="30434" hidden="1"/>
    <cellStyle name="40% - 강조색4 4" xfId="30476" hidden="1"/>
    <cellStyle name="40% - 강조색4 4" xfId="30518" hidden="1"/>
    <cellStyle name="40% - 강조색4 4" xfId="30560" hidden="1"/>
    <cellStyle name="40% - 강조색4 4" xfId="30056" hidden="1"/>
    <cellStyle name="40% - 강조색4 4" xfId="30739" hidden="1"/>
    <cellStyle name="40% - 강조색4 4" xfId="30779" hidden="1"/>
    <cellStyle name="40% - 강조색4 4" xfId="30819" hidden="1"/>
    <cellStyle name="40% - 강조색4 4" xfId="30859" hidden="1"/>
    <cellStyle name="40% - 강조색4 4" xfId="30899" hidden="1"/>
    <cellStyle name="40% - 강조색4 4" xfId="30939" hidden="1"/>
    <cellStyle name="40% - 강조색4 4" xfId="30979" hidden="1"/>
    <cellStyle name="40% - 강조색4 4" xfId="31019" hidden="1"/>
    <cellStyle name="40% - 강조색4 4" xfId="31059" hidden="1"/>
    <cellStyle name="40% - 강조색4 4" xfId="31099" hidden="1"/>
    <cellStyle name="40% - 강조색4 4" xfId="31139" hidden="1"/>
    <cellStyle name="40% - 강조색4 4" xfId="31179" hidden="1"/>
    <cellStyle name="40% - 강조색4 4" xfId="30621" hidden="1"/>
    <cellStyle name="40% - 강조색4 4" xfId="30581" hidden="1"/>
    <cellStyle name="40% - 강조색4 4" xfId="31221" hidden="1"/>
    <cellStyle name="40% - 강조색4 4" xfId="31263" hidden="1"/>
    <cellStyle name="40% - 강조색4 4" xfId="31305" hidden="1"/>
    <cellStyle name="40% - 강조색4 4" xfId="31347" hidden="1"/>
    <cellStyle name="40% - 강조색4 4" xfId="31389" hidden="1"/>
    <cellStyle name="40% - 강조색4 4" xfId="31431" hidden="1"/>
    <cellStyle name="40% - 강조색4 4" xfId="31473" hidden="1"/>
    <cellStyle name="40% - 강조색4 4" xfId="31515" hidden="1"/>
    <cellStyle name="40% - 강조색4 4" xfId="31557" hidden="1"/>
    <cellStyle name="40% - 강조색4 4" xfId="31599" hidden="1"/>
    <cellStyle name="40% - 강조색4 4" xfId="30674" hidden="1"/>
    <cellStyle name="40% - 강조색4 4" xfId="31627" hidden="1"/>
    <cellStyle name="40% - 강조색4 4" xfId="31667" hidden="1"/>
    <cellStyle name="40% - 강조색4 4" xfId="31707" hidden="1"/>
    <cellStyle name="40% - 강조색4 4" xfId="31747" hidden="1"/>
    <cellStyle name="40% - 강조색4 4" xfId="31787" hidden="1"/>
    <cellStyle name="40% - 강조색4 4" xfId="31827" hidden="1"/>
    <cellStyle name="40% - 강조색4 4" xfId="31867" hidden="1"/>
    <cellStyle name="40% - 강조색4 4" xfId="31907" hidden="1"/>
    <cellStyle name="40% - 강조색4 4" xfId="31947" hidden="1"/>
    <cellStyle name="40% - 강조색4 4" xfId="31987" hidden="1"/>
    <cellStyle name="40% - 강조색4 4" xfId="32027" hidden="1"/>
    <cellStyle name="40% - 강조색4 4" xfId="32067" hidden="1"/>
    <cellStyle name="40% - 강조색4 4" xfId="32129" hidden="1"/>
    <cellStyle name="40% - 강조색4 4" xfId="32169" hidden="1"/>
    <cellStyle name="40% - 강조색4 4" xfId="32209" hidden="1"/>
    <cellStyle name="40% - 강조색4 4" xfId="32249" hidden="1"/>
    <cellStyle name="40% - 강조색4 4" xfId="32289" hidden="1"/>
    <cellStyle name="40% - 강조색4 4" xfId="32329" hidden="1"/>
    <cellStyle name="40% - 강조색4 4" xfId="32369" hidden="1"/>
    <cellStyle name="40% - 강조색4 4" xfId="32409" hidden="1"/>
    <cellStyle name="40% - 강조색4 4" xfId="32449" hidden="1"/>
    <cellStyle name="40% - 강조색4 4" xfId="32489" hidden="1"/>
    <cellStyle name="40% - 강조색4 4" xfId="32529" hidden="1"/>
    <cellStyle name="40% - 강조색4 4" xfId="32569" hidden="1"/>
    <cellStyle name="40% - 강조색4 4" xfId="32654" hidden="1"/>
    <cellStyle name="40% - 강조색4 4" xfId="32695" hidden="1"/>
    <cellStyle name="40% - 강조색4 4" xfId="32737" hidden="1"/>
    <cellStyle name="40% - 강조색4 4" xfId="32779" hidden="1"/>
    <cellStyle name="40% - 강조색4 4" xfId="32821" hidden="1"/>
    <cellStyle name="40% - 강조색4 4" xfId="32863" hidden="1"/>
    <cellStyle name="40% - 강조색4 4" xfId="32905" hidden="1"/>
    <cellStyle name="40% - 강조색4 4" xfId="32947" hidden="1"/>
    <cellStyle name="40% - 강조색4 4" xfId="32989" hidden="1"/>
    <cellStyle name="40% - 강조색4 4" xfId="33031" hidden="1"/>
    <cellStyle name="40% - 강조색4 4" xfId="33073" hidden="1"/>
    <cellStyle name="40% - 강조색4 4" xfId="33115" hidden="1"/>
    <cellStyle name="40% - 강조색4 4" xfId="32611" hidden="1"/>
    <cellStyle name="40% - 강조색4 4" xfId="33294" hidden="1"/>
    <cellStyle name="40% - 강조색4 4" xfId="33334" hidden="1"/>
    <cellStyle name="40% - 강조색4 4" xfId="33374" hidden="1"/>
    <cellStyle name="40% - 강조색4 4" xfId="33414" hidden="1"/>
    <cellStyle name="40% - 강조색4 4" xfId="33454" hidden="1"/>
    <cellStyle name="40% - 강조색4 4" xfId="33494" hidden="1"/>
    <cellStyle name="40% - 강조색4 4" xfId="33534" hidden="1"/>
    <cellStyle name="40% - 강조색4 4" xfId="33574" hidden="1"/>
    <cellStyle name="40% - 강조색4 4" xfId="33614" hidden="1"/>
    <cellStyle name="40% - 강조색4 4" xfId="33654" hidden="1"/>
    <cellStyle name="40% - 강조색4 4" xfId="33694" hidden="1"/>
    <cellStyle name="40% - 강조색4 4" xfId="33734" hidden="1"/>
    <cellStyle name="40% - 강조색4 4" xfId="33176" hidden="1"/>
    <cellStyle name="40% - 강조색4 4" xfId="33136" hidden="1"/>
    <cellStyle name="40% - 강조색4 4" xfId="33776" hidden="1"/>
    <cellStyle name="40% - 강조색4 4" xfId="33818" hidden="1"/>
    <cellStyle name="40% - 강조색4 4" xfId="33860" hidden="1"/>
    <cellStyle name="40% - 강조색4 4" xfId="33902" hidden="1"/>
    <cellStyle name="40% - 강조색4 4" xfId="33944" hidden="1"/>
    <cellStyle name="40% - 강조색4 4" xfId="33986" hidden="1"/>
    <cellStyle name="40% - 강조색4 4" xfId="34028" hidden="1"/>
    <cellStyle name="40% - 강조색4 4" xfId="34070" hidden="1"/>
    <cellStyle name="40% - 강조색4 4" xfId="34112" hidden="1"/>
    <cellStyle name="40% - 강조색4 4" xfId="34154" hidden="1"/>
    <cellStyle name="40% - 강조색4 4" xfId="33229" hidden="1"/>
    <cellStyle name="40% - 강조색4 4" xfId="34182" hidden="1"/>
    <cellStyle name="40% - 강조색4 4" xfId="34222" hidden="1"/>
    <cellStyle name="40% - 강조색4 4" xfId="34262" hidden="1"/>
    <cellStyle name="40% - 강조색4 4" xfId="34302" hidden="1"/>
    <cellStyle name="40% - 강조색4 4" xfId="34342" hidden="1"/>
    <cellStyle name="40% - 강조색4 4" xfId="34382" hidden="1"/>
    <cellStyle name="40% - 강조색4 4" xfId="34422" hidden="1"/>
    <cellStyle name="40% - 강조색4 4" xfId="34462" hidden="1"/>
    <cellStyle name="40% - 강조색4 4" xfId="34502" hidden="1"/>
    <cellStyle name="40% - 강조색4 4" xfId="34542" hidden="1"/>
    <cellStyle name="40% - 강조색4 4" xfId="34582" hidden="1"/>
    <cellStyle name="40% - 강조색4 4" xfId="34622" hidden="1"/>
    <cellStyle name="40% - 강조색4 4" xfId="34719" hidden="1"/>
    <cellStyle name="40% - 강조색4 4" xfId="34759" hidden="1"/>
    <cellStyle name="40% - 강조색4 4" xfId="34799" hidden="1"/>
    <cellStyle name="40% - 강조색4 4" xfId="34839" hidden="1"/>
    <cellStyle name="40% - 강조색4 4" xfId="34879" hidden="1"/>
    <cellStyle name="40% - 강조색4 4" xfId="34919" hidden="1"/>
    <cellStyle name="40% - 강조색4 4" xfId="34959" hidden="1"/>
    <cellStyle name="40% - 강조색4 4" xfId="34999" hidden="1"/>
    <cellStyle name="40% - 강조색4 4" xfId="35039" hidden="1"/>
    <cellStyle name="40% - 강조색4 4" xfId="35079" hidden="1"/>
    <cellStyle name="40% - 강조색4 4" xfId="35119" hidden="1"/>
    <cellStyle name="40% - 강조색4 4" xfId="35159" hidden="1"/>
    <cellStyle name="40% - 강조색4 4" xfId="35243" hidden="1"/>
    <cellStyle name="40% - 강조색4 4" xfId="35284" hidden="1"/>
    <cellStyle name="40% - 강조색4 4" xfId="35326" hidden="1"/>
    <cellStyle name="40% - 강조색4 4" xfId="35368" hidden="1"/>
    <cellStyle name="40% - 강조색4 4" xfId="35410" hidden="1"/>
    <cellStyle name="40% - 강조색4 4" xfId="35452" hidden="1"/>
    <cellStyle name="40% - 강조색4 4" xfId="35494" hidden="1"/>
    <cellStyle name="40% - 강조색4 4" xfId="35536" hidden="1"/>
    <cellStyle name="40% - 강조색4 4" xfId="35578" hidden="1"/>
    <cellStyle name="40% - 강조색4 4" xfId="35620" hidden="1"/>
    <cellStyle name="40% - 강조색4 4" xfId="35662" hidden="1"/>
    <cellStyle name="40% - 강조색4 4" xfId="35704" hidden="1"/>
    <cellStyle name="40% - 강조색4 4" xfId="35200" hidden="1"/>
    <cellStyle name="40% - 강조색4 4" xfId="35883" hidden="1"/>
    <cellStyle name="40% - 강조색4 4" xfId="35923" hidden="1"/>
    <cellStyle name="40% - 강조색4 4" xfId="35963" hidden="1"/>
    <cellStyle name="40% - 강조색4 4" xfId="36003" hidden="1"/>
    <cellStyle name="40% - 강조색4 4" xfId="36043" hidden="1"/>
    <cellStyle name="40% - 강조색4 4" xfId="36083" hidden="1"/>
    <cellStyle name="40% - 강조색4 4" xfId="36123" hidden="1"/>
    <cellStyle name="40% - 강조색4 4" xfId="36163" hidden="1"/>
    <cellStyle name="40% - 강조색4 4" xfId="36203" hidden="1"/>
    <cellStyle name="40% - 강조색4 4" xfId="36243" hidden="1"/>
    <cellStyle name="40% - 강조색4 4" xfId="36283" hidden="1"/>
    <cellStyle name="40% - 강조색4 4" xfId="36323" hidden="1"/>
    <cellStyle name="40% - 강조색4 4" xfId="35765" hidden="1"/>
    <cellStyle name="40% - 강조색4 4" xfId="35725" hidden="1"/>
    <cellStyle name="40% - 강조색4 4" xfId="36365" hidden="1"/>
    <cellStyle name="40% - 강조색4 4" xfId="36407" hidden="1"/>
    <cellStyle name="40% - 강조색4 4" xfId="36449" hidden="1"/>
    <cellStyle name="40% - 강조색4 4" xfId="36491" hidden="1"/>
    <cellStyle name="40% - 강조색4 4" xfId="36533" hidden="1"/>
    <cellStyle name="40% - 강조색4 4" xfId="36575" hidden="1"/>
    <cellStyle name="40% - 강조색4 4" xfId="36617" hidden="1"/>
    <cellStyle name="40% - 강조색4 4" xfId="36659" hidden="1"/>
    <cellStyle name="40% - 강조색4 4" xfId="36701" hidden="1"/>
    <cellStyle name="40% - 강조색4 4" xfId="36743" hidden="1"/>
    <cellStyle name="40% - 강조색4 4" xfId="35818" hidden="1"/>
    <cellStyle name="40% - 강조색4 4" xfId="36771" hidden="1"/>
    <cellStyle name="40% - 강조색4 4" xfId="36811" hidden="1"/>
    <cellStyle name="40% - 강조색4 4" xfId="36851" hidden="1"/>
    <cellStyle name="40% - 강조색4 4" xfId="36891" hidden="1"/>
    <cellStyle name="40% - 강조색4 4" xfId="36931" hidden="1"/>
    <cellStyle name="40% - 강조색4 4" xfId="36971" hidden="1"/>
    <cellStyle name="40% - 강조색4 4" xfId="37011" hidden="1"/>
    <cellStyle name="40% - 강조색4 4" xfId="37051" hidden="1"/>
    <cellStyle name="40% - 강조색4 4" xfId="37091" hidden="1"/>
    <cellStyle name="40% - 강조색4 4" xfId="37131" hidden="1"/>
    <cellStyle name="40% - 강조색4 4" xfId="37171" hidden="1"/>
    <cellStyle name="40% - 강조색4 4" xfId="37211" hidden="1"/>
    <cellStyle name="40% - 강조색4 4" xfId="37222" hidden="1"/>
    <cellStyle name="40% - 강조색4 4" xfId="37262" hidden="1"/>
    <cellStyle name="40% - 강조색4 4" xfId="37303" hidden="1"/>
    <cellStyle name="40% - 강조색4 4" xfId="37343" hidden="1"/>
    <cellStyle name="40% - 강조색4 4" xfId="37383" hidden="1"/>
    <cellStyle name="40% - 강조색4 4" xfId="37423" hidden="1"/>
    <cellStyle name="40% - 강조색4 4" xfId="37463" hidden="1"/>
    <cellStyle name="40% - 강조색4 4" xfId="37503" hidden="1"/>
    <cellStyle name="40% - 강조색4 4" xfId="37543" hidden="1"/>
    <cellStyle name="40% - 강조색4 4" xfId="37583" hidden="1"/>
    <cellStyle name="40% - 강조색4 4" xfId="37623" hidden="1"/>
    <cellStyle name="40% - 강조색4 4" xfId="37663" hidden="1"/>
    <cellStyle name="40% - 강조색4 4" xfId="37747" hidden="1"/>
    <cellStyle name="40% - 강조색4 4" xfId="37788" hidden="1"/>
    <cellStyle name="40% - 강조색4 4" xfId="37830" hidden="1"/>
    <cellStyle name="40% - 강조색4 4" xfId="37872" hidden="1"/>
    <cellStyle name="40% - 강조색4 4" xfId="37914" hidden="1"/>
    <cellStyle name="40% - 강조색4 4" xfId="37956" hidden="1"/>
    <cellStyle name="40% - 강조색4 4" xfId="37998" hidden="1"/>
    <cellStyle name="40% - 강조색4 4" xfId="38040" hidden="1"/>
    <cellStyle name="40% - 강조색4 4" xfId="38082" hidden="1"/>
    <cellStyle name="40% - 강조색4 4" xfId="38124" hidden="1"/>
    <cellStyle name="40% - 강조색4 4" xfId="38166" hidden="1"/>
    <cellStyle name="40% - 강조색4 4" xfId="38208" hidden="1"/>
    <cellStyle name="40% - 강조색4 4" xfId="37704" hidden="1"/>
    <cellStyle name="40% - 강조색4 4" xfId="38387" hidden="1"/>
    <cellStyle name="40% - 강조색4 4" xfId="38427" hidden="1"/>
    <cellStyle name="40% - 강조색4 4" xfId="38467" hidden="1"/>
    <cellStyle name="40% - 강조색4 4" xfId="38507" hidden="1"/>
    <cellStyle name="40% - 강조색4 4" xfId="38547" hidden="1"/>
    <cellStyle name="40% - 강조색4 4" xfId="38587" hidden="1"/>
    <cellStyle name="40% - 강조색4 4" xfId="38627" hidden="1"/>
    <cellStyle name="40% - 강조색4 4" xfId="38667" hidden="1"/>
    <cellStyle name="40% - 강조색4 4" xfId="38707" hidden="1"/>
    <cellStyle name="40% - 강조색4 4" xfId="38747" hidden="1"/>
    <cellStyle name="40% - 강조색4 4" xfId="38787" hidden="1"/>
    <cellStyle name="40% - 강조색4 4" xfId="38827" hidden="1"/>
    <cellStyle name="40% - 강조색4 4" xfId="38269" hidden="1"/>
    <cellStyle name="40% - 강조색4 4" xfId="38229" hidden="1"/>
    <cellStyle name="40% - 강조색4 4" xfId="38869" hidden="1"/>
    <cellStyle name="40% - 강조색4 4" xfId="38911" hidden="1"/>
    <cellStyle name="40% - 강조색4 4" xfId="38953" hidden="1"/>
    <cellStyle name="40% - 강조색4 4" xfId="38995" hidden="1"/>
    <cellStyle name="40% - 강조색4 4" xfId="39037" hidden="1"/>
    <cellStyle name="40% - 강조색4 4" xfId="39079" hidden="1"/>
    <cellStyle name="40% - 강조색4 4" xfId="39121" hidden="1"/>
    <cellStyle name="40% - 강조색4 4" xfId="39163" hidden="1"/>
    <cellStyle name="40% - 강조색4 4" xfId="39205" hidden="1"/>
    <cellStyle name="40% - 강조색4 4" xfId="39247" hidden="1"/>
    <cellStyle name="40% - 강조색4 4" xfId="38322" hidden="1"/>
    <cellStyle name="40% - 강조색4 4" xfId="39275" hidden="1"/>
    <cellStyle name="40% - 강조색4 4" xfId="39315" hidden="1"/>
    <cellStyle name="40% - 강조색4 4" xfId="39355" hidden="1"/>
    <cellStyle name="40% - 강조색4 4" xfId="39395" hidden="1"/>
    <cellStyle name="40% - 강조색4 4" xfId="39435" hidden="1"/>
    <cellStyle name="40% - 강조색4 4" xfId="39475" hidden="1"/>
    <cellStyle name="40% - 강조색4 4" xfId="39515" hidden="1"/>
    <cellStyle name="40% - 강조색4 4" xfId="39555" hidden="1"/>
    <cellStyle name="40% - 강조색4 4" xfId="39595" hidden="1"/>
    <cellStyle name="40% - 강조색4 4" xfId="39635" hidden="1"/>
    <cellStyle name="40% - 강조색4 4" xfId="39675" hidden="1"/>
    <cellStyle name="40% - 강조색4 4" xfId="39715" hidden="1"/>
    <cellStyle name="40% - 강조색4 4" xfId="39725" hidden="1"/>
    <cellStyle name="40% - 강조색4 4" xfId="39765" hidden="1"/>
    <cellStyle name="40% - 강조색4 4" xfId="39805" hidden="1"/>
    <cellStyle name="40% - 강조색4 4" xfId="39845" hidden="1"/>
    <cellStyle name="40% - 강조색4 4" xfId="39885" hidden="1"/>
    <cellStyle name="40% - 강조색4 4" xfId="39925" hidden="1"/>
    <cellStyle name="40% - 강조색4 4" xfId="39965" hidden="1"/>
    <cellStyle name="40% - 강조색4 4" xfId="40005" hidden="1"/>
    <cellStyle name="40% - 강조색4 4" xfId="40045" hidden="1"/>
    <cellStyle name="40% - 강조색4 4" xfId="40085" hidden="1"/>
    <cellStyle name="40% - 강조색4 4" xfId="40125" hidden="1"/>
    <cellStyle name="40% - 강조색4 4" xfId="40165" hidden="1"/>
    <cellStyle name="40% - 강조색4 4" xfId="40249" hidden="1"/>
    <cellStyle name="40% - 강조색4 4" xfId="40290" hidden="1"/>
    <cellStyle name="40% - 강조색4 4" xfId="40332" hidden="1"/>
    <cellStyle name="40% - 강조색4 4" xfId="40374" hidden="1"/>
    <cellStyle name="40% - 강조색4 4" xfId="40416" hidden="1"/>
    <cellStyle name="40% - 강조색4 4" xfId="40458" hidden="1"/>
    <cellStyle name="40% - 강조색4 4" xfId="40500" hidden="1"/>
    <cellStyle name="40% - 강조색4 4" xfId="40542" hidden="1"/>
    <cellStyle name="40% - 강조색4 4" xfId="40584" hidden="1"/>
    <cellStyle name="40% - 강조색4 4" xfId="40626" hidden="1"/>
    <cellStyle name="40% - 강조색4 4" xfId="40668" hidden="1"/>
    <cellStyle name="40% - 강조색4 4" xfId="40710" hidden="1"/>
    <cellStyle name="40% - 강조색4 4" xfId="40206" hidden="1"/>
    <cellStyle name="40% - 강조색4 4" xfId="40889" hidden="1"/>
    <cellStyle name="40% - 강조색4 4" xfId="40929" hidden="1"/>
    <cellStyle name="40% - 강조색4 4" xfId="40969" hidden="1"/>
    <cellStyle name="40% - 강조색4 4" xfId="41009" hidden="1"/>
    <cellStyle name="40% - 강조색4 4" xfId="41049" hidden="1"/>
    <cellStyle name="40% - 강조색4 4" xfId="41089" hidden="1"/>
    <cellStyle name="40% - 강조색4 4" xfId="41129" hidden="1"/>
    <cellStyle name="40% - 강조색4 4" xfId="41169" hidden="1"/>
    <cellStyle name="40% - 강조색4 4" xfId="41209" hidden="1"/>
    <cellStyle name="40% - 강조색4 4" xfId="41249" hidden="1"/>
    <cellStyle name="40% - 강조색4 4" xfId="41289" hidden="1"/>
    <cellStyle name="40% - 강조색4 4" xfId="41329" hidden="1"/>
    <cellStyle name="40% - 강조색4 4" xfId="40771" hidden="1"/>
    <cellStyle name="40% - 강조색4 4" xfId="40731" hidden="1"/>
    <cellStyle name="40% - 강조색4 4" xfId="41371" hidden="1"/>
    <cellStyle name="40% - 강조색4 4" xfId="41413" hidden="1"/>
    <cellStyle name="40% - 강조색4 4" xfId="41455" hidden="1"/>
    <cellStyle name="40% - 강조색4 4" xfId="41497" hidden="1"/>
    <cellStyle name="40% - 강조색4 4" xfId="41539" hidden="1"/>
    <cellStyle name="40% - 강조색4 4" xfId="41581" hidden="1"/>
    <cellStyle name="40% - 강조색4 4" xfId="41623" hidden="1"/>
    <cellStyle name="40% - 강조색4 4" xfId="41665" hidden="1"/>
    <cellStyle name="40% - 강조색4 4" xfId="41707" hidden="1"/>
    <cellStyle name="40% - 강조색4 4" xfId="41749" hidden="1"/>
    <cellStyle name="40% - 강조색4 4" xfId="40824" hidden="1"/>
    <cellStyle name="40% - 강조색4 4" xfId="41777" hidden="1"/>
    <cellStyle name="40% - 강조색4 4" xfId="41817" hidden="1"/>
    <cellStyle name="40% - 강조색4 4" xfId="41857" hidden="1"/>
    <cellStyle name="40% - 강조색4 4" xfId="41897" hidden="1"/>
    <cellStyle name="40% - 강조색4 4" xfId="41937" hidden="1"/>
    <cellStyle name="40% - 강조색4 4" xfId="41977" hidden="1"/>
    <cellStyle name="40% - 강조색4 4" xfId="42017" hidden="1"/>
    <cellStyle name="40% - 강조색4 4" xfId="42057" hidden="1"/>
    <cellStyle name="40% - 강조색4 4" xfId="42097" hidden="1"/>
    <cellStyle name="40% - 강조색4 4" xfId="42137" hidden="1"/>
    <cellStyle name="40% - 강조색4 4" xfId="42177" hidden="1"/>
    <cellStyle name="40% - 강조색4 4" xfId="42217" hidden="1"/>
    <cellStyle name="40% - 강조색4 4" xfId="42260" hidden="1"/>
    <cellStyle name="40% - 강조색4 4" xfId="42300" hidden="1"/>
    <cellStyle name="40% - 강조색4 4" xfId="42340" hidden="1"/>
    <cellStyle name="40% - 강조색4 4" xfId="42380" hidden="1"/>
    <cellStyle name="40% - 강조색4 4" xfId="42420" hidden="1"/>
    <cellStyle name="40% - 강조색4 4" xfId="42460" hidden="1"/>
    <cellStyle name="40% - 강조색4 4" xfId="42500" hidden="1"/>
    <cellStyle name="40% - 강조색4 4" xfId="42540" hidden="1"/>
    <cellStyle name="40% - 강조색4 4" xfId="42580" hidden="1"/>
    <cellStyle name="40% - 강조색4 4" xfId="42620" hidden="1"/>
    <cellStyle name="40% - 강조색4 4" xfId="42660" hidden="1"/>
    <cellStyle name="40% - 강조색4 4" xfId="42700" hidden="1"/>
    <cellStyle name="40% - 강조색4 4" xfId="42784" hidden="1"/>
    <cellStyle name="40% - 강조색4 4" xfId="42825" hidden="1"/>
    <cellStyle name="40% - 강조색4 4" xfId="42867" hidden="1"/>
    <cellStyle name="40% - 강조색4 4" xfId="42909" hidden="1"/>
    <cellStyle name="40% - 강조색4 4" xfId="42951" hidden="1"/>
    <cellStyle name="40% - 강조색4 4" xfId="42993" hidden="1"/>
    <cellStyle name="40% - 강조색4 4" xfId="43035" hidden="1"/>
    <cellStyle name="40% - 강조색4 4" xfId="43077" hidden="1"/>
    <cellStyle name="40% - 강조색4 4" xfId="43119" hidden="1"/>
    <cellStyle name="40% - 강조색4 4" xfId="43161" hidden="1"/>
    <cellStyle name="40% - 강조색4 4" xfId="43203" hidden="1"/>
    <cellStyle name="40% - 강조색4 4" xfId="43245" hidden="1"/>
    <cellStyle name="40% - 강조색4 4" xfId="42741" hidden="1"/>
    <cellStyle name="40% - 강조색4 4" xfId="43424" hidden="1"/>
    <cellStyle name="40% - 강조색4 4" xfId="43464" hidden="1"/>
    <cellStyle name="40% - 강조색4 4" xfId="43504" hidden="1"/>
    <cellStyle name="40% - 강조색4 4" xfId="43544" hidden="1"/>
    <cellStyle name="40% - 강조색4 4" xfId="43584" hidden="1"/>
    <cellStyle name="40% - 강조색4 4" xfId="43624" hidden="1"/>
    <cellStyle name="40% - 강조색4 4" xfId="43664" hidden="1"/>
    <cellStyle name="40% - 강조색4 4" xfId="43704" hidden="1"/>
    <cellStyle name="40% - 강조색4 4" xfId="43744" hidden="1"/>
    <cellStyle name="40% - 강조색4 4" xfId="43784" hidden="1"/>
    <cellStyle name="40% - 강조색4 4" xfId="43824" hidden="1"/>
    <cellStyle name="40% - 강조색4 4" xfId="43864" hidden="1"/>
    <cellStyle name="40% - 강조색4 4" xfId="43306" hidden="1"/>
    <cellStyle name="40% - 강조색4 4" xfId="43266" hidden="1"/>
    <cellStyle name="40% - 강조색4 4" xfId="43906" hidden="1"/>
    <cellStyle name="40% - 강조색4 4" xfId="43948" hidden="1"/>
    <cellStyle name="40% - 강조색4 4" xfId="43990" hidden="1"/>
    <cellStyle name="40% - 강조색4 4" xfId="44032" hidden="1"/>
    <cellStyle name="40% - 강조색4 4" xfId="44074" hidden="1"/>
    <cellStyle name="40% - 강조색4 4" xfId="44116" hidden="1"/>
    <cellStyle name="40% - 강조색4 4" xfId="44158" hidden="1"/>
    <cellStyle name="40% - 강조색4 4" xfId="44200" hidden="1"/>
    <cellStyle name="40% - 강조색4 4" xfId="44242" hidden="1"/>
    <cellStyle name="40% - 강조색4 4" xfId="44284" hidden="1"/>
    <cellStyle name="40% - 강조색4 4" xfId="43359" hidden="1"/>
    <cellStyle name="40% - 강조색4 4" xfId="44312" hidden="1"/>
    <cellStyle name="40% - 강조색4 4" xfId="44352" hidden="1"/>
    <cellStyle name="40% - 강조색4 4" xfId="44392" hidden="1"/>
    <cellStyle name="40% - 강조색4 4" xfId="44432" hidden="1"/>
    <cellStyle name="40% - 강조색4 4" xfId="44472" hidden="1"/>
    <cellStyle name="40% - 강조색4 4" xfId="44512" hidden="1"/>
    <cellStyle name="40% - 강조색4 4" xfId="44552" hidden="1"/>
    <cellStyle name="40% - 강조색4 4" xfId="44592" hidden="1"/>
    <cellStyle name="40% - 강조색4 4" xfId="44632" hidden="1"/>
    <cellStyle name="40% - 강조색4 4" xfId="44672" hidden="1"/>
    <cellStyle name="40% - 강조색4 4" xfId="44712" hidden="1"/>
    <cellStyle name="40% - 강조색4 4" xfId="44752" hidden="1"/>
    <cellStyle name="40% - 강조색4 4" xfId="44848" hidden="1"/>
    <cellStyle name="40% - 강조색4 4" xfId="44888" hidden="1"/>
    <cellStyle name="40% - 강조색4 4" xfId="44930" hidden="1"/>
    <cellStyle name="40% - 강조색4 4" xfId="44971" hidden="1"/>
    <cellStyle name="40% - 강조색4 4" xfId="45011" hidden="1"/>
    <cellStyle name="40% - 강조색4 4" xfId="45051" hidden="1"/>
    <cellStyle name="40% - 강조색4 4" xfId="45091" hidden="1"/>
    <cellStyle name="40% - 강조색4 4" xfId="45131" hidden="1"/>
    <cellStyle name="40% - 강조색4 4" xfId="45171" hidden="1"/>
    <cellStyle name="40% - 강조색4 4" xfId="45211" hidden="1"/>
    <cellStyle name="40% - 강조색4 4" xfId="45251" hidden="1"/>
    <cellStyle name="40% - 강조색4 4" xfId="45291" hidden="1"/>
    <cellStyle name="40% - 강조색4 4" xfId="45375" hidden="1"/>
    <cellStyle name="40% - 강조색4 4" xfId="45416" hidden="1"/>
    <cellStyle name="40% - 강조색4 4" xfId="45458" hidden="1"/>
    <cellStyle name="40% - 강조색4 4" xfId="45500" hidden="1"/>
    <cellStyle name="40% - 강조색4 4" xfId="45542" hidden="1"/>
    <cellStyle name="40% - 강조색4 4" xfId="45584" hidden="1"/>
    <cellStyle name="40% - 강조색4 4" xfId="45626" hidden="1"/>
    <cellStyle name="40% - 강조색4 4" xfId="45668" hidden="1"/>
    <cellStyle name="40% - 강조색4 4" xfId="45710" hidden="1"/>
    <cellStyle name="40% - 강조색4 4" xfId="45752" hidden="1"/>
    <cellStyle name="40% - 강조색4 4" xfId="45794" hidden="1"/>
    <cellStyle name="40% - 강조색4 4" xfId="45836" hidden="1"/>
    <cellStyle name="40% - 강조색4 4" xfId="45332" hidden="1"/>
    <cellStyle name="40% - 강조색4 4" xfId="46015" hidden="1"/>
    <cellStyle name="40% - 강조색4 4" xfId="46055" hidden="1"/>
    <cellStyle name="40% - 강조색4 4" xfId="46095" hidden="1"/>
    <cellStyle name="40% - 강조색4 4" xfId="46135" hidden="1"/>
    <cellStyle name="40% - 강조색4 4" xfId="46175" hidden="1"/>
    <cellStyle name="40% - 강조색4 4" xfId="46215" hidden="1"/>
    <cellStyle name="40% - 강조색4 4" xfId="46255" hidden="1"/>
    <cellStyle name="40% - 강조색4 4" xfId="46295" hidden="1"/>
    <cellStyle name="40% - 강조색4 4" xfId="46335" hidden="1"/>
    <cellStyle name="40% - 강조색4 4" xfId="46375" hidden="1"/>
    <cellStyle name="40% - 강조색4 4" xfId="46415" hidden="1"/>
    <cellStyle name="40% - 강조색4 4" xfId="46455" hidden="1"/>
    <cellStyle name="40% - 강조색4 4" xfId="45897" hidden="1"/>
    <cellStyle name="40% - 강조색4 4" xfId="45857" hidden="1"/>
    <cellStyle name="40% - 강조색4 4" xfId="46497" hidden="1"/>
    <cellStyle name="40% - 강조색4 4" xfId="46539" hidden="1"/>
    <cellStyle name="40% - 강조색4 4" xfId="46581" hidden="1"/>
    <cellStyle name="40% - 강조색4 4" xfId="46623" hidden="1"/>
    <cellStyle name="40% - 강조색4 4" xfId="46665" hidden="1"/>
    <cellStyle name="40% - 강조색4 4" xfId="46707" hidden="1"/>
    <cellStyle name="40% - 강조색4 4" xfId="46749" hidden="1"/>
    <cellStyle name="40% - 강조색4 4" xfId="46791" hidden="1"/>
    <cellStyle name="40% - 강조색4 4" xfId="46833" hidden="1"/>
    <cellStyle name="40% - 강조색4 4" xfId="46875" hidden="1"/>
    <cellStyle name="40% - 강조색4 4" xfId="45950" hidden="1"/>
    <cellStyle name="40% - 강조색4 4" xfId="46903" hidden="1"/>
    <cellStyle name="40% - 강조색4 4" xfId="46943" hidden="1"/>
    <cellStyle name="40% - 강조색4 4" xfId="46983" hidden="1"/>
    <cellStyle name="40% - 강조색4 4" xfId="47023" hidden="1"/>
    <cellStyle name="40% - 강조색4 4" xfId="47063" hidden="1"/>
    <cellStyle name="40% - 강조색4 4" xfId="47103" hidden="1"/>
    <cellStyle name="40% - 강조색4 4" xfId="47143" hidden="1"/>
    <cellStyle name="40% - 강조색4 4" xfId="47183" hidden="1"/>
    <cellStyle name="40% - 강조색4 4" xfId="47223" hidden="1"/>
    <cellStyle name="40% - 강조색4 4" xfId="47263" hidden="1"/>
    <cellStyle name="40% - 강조색4 4" xfId="47303" hidden="1"/>
    <cellStyle name="40% - 강조색4 4" xfId="47343" hidden="1"/>
    <cellStyle name="40% - 강조색4 4" xfId="47354" hidden="1"/>
    <cellStyle name="40% - 강조색4 4" xfId="47394" hidden="1"/>
    <cellStyle name="40% - 강조색4 4" xfId="47434" hidden="1"/>
    <cellStyle name="40% - 강조색4 4" xfId="47474" hidden="1"/>
    <cellStyle name="40% - 강조색4 4" xfId="47514" hidden="1"/>
    <cellStyle name="40% - 강조색4 4" xfId="47554" hidden="1"/>
    <cellStyle name="40% - 강조색4 4" xfId="47594" hidden="1"/>
    <cellStyle name="40% - 강조색4 4" xfId="47634" hidden="1"/>
    <cellStyle name="40% - 강조색4 4" xfId="47674" hidden="1"/>
    <cellStyle name="40% - 강조색4 4" xfId="47714" hidden="1"/>
    <cellStyle name="40% - 강조색4 4" xfId="47754" hidden="1"/>
    <cellStyle name="40% - 강조색4 4" xfId="47794" hidden="1"/>
    <cellStyle name="40% - 강조색4 4" xfId="47878" hidden="1"/>
    <cellStyle name="40% - 강조색4 4" xfId="47919" hidden="1"/>
    <cellStyle name="40% - 강조색4 4" xfId="47961" hidden="1"/>
    <cellStyle name="40% - 강조색4 4" xfId="48003" hidden="1"/>
    <cellStyle name="40% - 강조색4 4" xfId="48045" hidden="1"/>
    <cellStyle name="40% - 강조색4 4" xfId="48087" hidden="1"/>
    <cellStyle name="40% - 강조색4 4" xfId="48129" hidden="1"/>
    <cellStyle name="40% - 강조색4 4" xfId="48171" hidden="1"/>
    <cellStyle name="40% - 강조색4 4" xfId="48213" hidden="1"/>
    <cellStyle name="40% - 강조색4 4" xfId="48255" hidden="1"/>
    <cellStyle name="40% - 강조색4 4" xfId="48297" hidden="1"/>
    <cellStyle name="40% - 강조색4 4" xfId="48339" hidden="1"/>
    <cellStyle name="40% - 강조색4 4" xfId="47835" hidden="1"/>
    <cellStyle name="40% - 강조색4 4" xfId="48518" hidden="1"/>
    <cellStyle name="40% - 강조색4 4" xfId="48558" hidden="1"/>
    <cellStyle name="40% - 강조색4 4" xfId="48598" hidden="1"/>
    <cellStyle name="40% - 강조색4 4" xfId="48638" hidden="1"/>
    <cellStyle name="40% - 강조색4 4" xfId="48678" hidden="1"/>
    <cellStyle name="40% - 강조색4 4" xfId="48718" hidden="1"/>
    <cellStyle name="40% - 강조색4 4" xfId="48758" hidden="1"/>
    <cellStyle name="40% - 강조색4 4" xfId="48798" hidden="1"/>
    <cellStyle name="40% - 강조색4 4" xfId="48838" hidden="1"/>
    <cellStyle name="40% - 강조색4 4" xfId="48878" hidden="1"/>
    <cellStyle name="40% - 강조색4 4" xfId="48918" hidden="1"/>
    <cellStyle name="40% - 강조색4 4" xfId="48958" hidden="1"/>
    <cellStyle name="40% - 강조색4 4" xfId="48400" hidden="1"/>
    <cellStyle name="40% - 강조색4 4" xfId="48360" hidden="1"/>
    <cellStyle name="40% - 강조색4 4" xfId="49000" hidden="1"/>
    <cellStyle name="40% - 강조색4 4" xfId="49042" hidden="1"/>
    <cellStyle name="40% - 강조색4 4" xfId="49084" hidden="1"/>
    <cellStyle name="40% - 강조색4 4" xfId="49126" hidden="1"/>
    <cellStyle name="40% - 강조색4 4" xfId="49168" hidden="1"/>
    <cellStyle name="40% - 강조색4 4" xfId="49210" hidden="1"/>
    <cellStyle name="40% - 강조색4 4" xfId="49252" hidden="1"/>
    <cellStyle name="40% - 강조색4 4" xfId="49294" hidden="1"/>
    <cellStyle name="40% - 강조색4 4" xfId="49336" hidden="1"/>
    <cellStyle name="40% - 강조색4 4" xfId="49378" hidden="1"/>
    <cellStyle name="40% - 강조색4 4" xfId="48453" hidden="1"/>
    <cellStyle name="40% - 강조색4 4" xfId="49406" hidden="1"/>
    <cellStyle name="40% - 강조색4 4" xfId="49446" hidden="1"/>
    <cellStyle name="40% - 강조색4 4" xfId="49486" hidden="1"/>
    <cellStyle name="40% - 강조색4 4" xfId="49526" hidden="1"/>
    <cellStyle name="40% - 강조색4 4" xfId="49566" hidden="1"/>
    <cellStyle name="40% - 강조색4 4" xfId="49606" hidden="1"/>
    <cellStyle name="40% - 강조색4 4" xfId="49646" hidden="1"/>
    <cellStyle name="40% - 강조색4 4" xfId="49686" hidden="1"/>
    <cellStyle name="40% - 강조색4 4" xfId="49726" hidden="1"/>
    <cellStyle name="40% - 강조색4 4" xfId="49766" hidden="1"/>
    <cellStyle name="40% - 강조색4 4" xfId="49806" hidden="1"/>
    <cellStyle name="40% - 강조색4 4" xfId="49846" hidden="1"/>
    <cellStyle name="40% - 강조색4 4" xfId="49856" hidden="1"/>
    <cellStyle name="40% - 강조색4 4" xfId="49896" hidden="1"/>
    <cellStyle name="40% - 강조색4 4" xfId="49936" hidden="1"/>
    <cellStyle name="40% - 강조색4 4" xfId="49976" hidden="1"/>
    <cellStyle name="40% - 강조색4 4" xfId="50016" hidden="1"/>
    <cellStyle name="40% - 강조색4 4" xfId="50056" hidden="1"/>
    <cellStyle name="40% - 강조색4 4" xfId="50096" hidden="1"/>
    <cellStyle name="40% - 강조색4 4" xfId="50136" hidden="1"/>
    <cellStyle name="40% - 강조색4 4" xfId="50176" hidden="1"/>
    <cellStyle name="40% - 강조색4 4" xfId="50216" hidden="1"/>
    <cellStyle name="40% - 강조색4 4" xfId="50256" hidden="1"/>
    <cellStyle name="40% - 강조색4 4" xfId="50296" hidden="1"/>
    <cellStyle name="40% - 강조색4 4" xfId="50380" hidden="1"/>
    <cellStyle name="40% - 강조색4 4" xfId="50421" hidden="1"/>
    <cellStyle name="40% - 강조색4 4" xfId="50463" hidden="1"/>
    <cellStyle name="40% - 강조색4 4" xfId="50505" hidden="1"/>
    <cellStyle name="40% - 강조색4 4" xfId="50547" hidden="1"/>
    <cellStyle name="40% - 강조색4 4" xfId="50589" hidden="1"/>
    <cellStyle name="40% - 강조색4 4" xfId="50631" hidden="1"/>
    <cellStyle name="40% - 강조색4 4" xfId="50673" hidden="1"/>
    <cellStyle name="40% - 강조색4 4" xfId="50715" hidden="1"/>
    <cellStyle name="40% - 강조색4 4" xfId="50757" hidden="1"/>
    <cellStyle name="40% - 강조색4 4" xfId="50799" hidden="1"/>
    <cellStyle name="40% - 강조색4 4" xfId="50841" hidden="1"/>
    <cellStyle name="40% - 강조색4 4" xfId="50337" hidden="1"/>
    <cellStyle name="40% - 강조색4 4" xfId="51020" hidden="1"/>
    <cellStyle name="40% - 강조색4 4" xfId="51060" hidden="1"/>
    <cellStyle name="40% - 강조색4 4" xfId="51100" hidden="1"/>
    <cellStyle name="40% - 강조색4 4" xfId="51140" hidden="1"/>
    <cellStyle name="40% - 강조색4 4" xfId="51180" hidden="1"/>
    <cellStyle name="40% - 강조색4 4" xfId="51220" hidden="1"/>
    <cellStyle name="40% - 강조색4 4" xfId="51260" hidden="1"/>
    <cellStyle name="40% - 강조색4 4" xfId="51300" hidden="1"/>
    <cellStyle name="40% - 강조색4 4" xfId="51340" hidden="1"/>
    <cellStyle name="40% - 강조색4 4" xfId="51380" hidden="1"/>
    <cellStyle name="40% - 강조색4 4" xfId="51420" hidden="1"/>
    <cellStyle name="40% - 강조색4 4" xfId="51460" hidden="1"/>
    <cellStyle name="40% - 강조색4 4" xfId="50902" hidden="1"/>
    <cellStyle name="40% - 강조색4 4" xfId="50862" hidden="1"/>
    <cellStyle name="40% - 강조색4 4" xfId="51502" hidden="1"/>
    <cellStyle name="40% - 강조색4 4" xfId="51544" hidden="1"/>
    <cellStyle name="40% - 강조색4 4" xfId="51586" hidden="1"/>
    <cellStyle name="40% - 강조색4 4" xfId="51628" hidden="1"/>
    <cellStyle name="40% - 강조색4 4" xfId="51670" hidden="1"/>
    <cellStyle name="40% - 강조색4 4" xfId="51712" hidden="1"/>
    <cellStyle name="40% - 강조색4 4" xfId="51754" hidden="1"/>
    <cellStyle name="40% - 강조색4 4" xfId="51796" hidden="1"/>
    <cellStyle name="40% - 강조색4 4" xfId="51838" hidden="1"/>
    <cellStyle name="40% - 강조색4 4" xfId="51880" hidden="1"/>
    <cellStyle name="40% - 강조색4 4" xfId="50955" hidden="1"/>
    <cellStyle name="40% - 강조색4 4" xfId="51908" hidden="1"/>
    <cellStyle name="40% - 강조색4 4" xfId="51948" hidden="1"/>
    <cellStyle name="40% - 강조색4 4" xfId="51988" hidden="1"/>
    <cellStyle name="40% - 강조색4 4" xfId="52028" hidden="1"/>
    <cellStyle name="40% - 강조색4 4" xfId="52068" hidden="1"/>
    <cellStyle name="40% - 강조색4 4" xfId="52108" hidden="1"/>
    <cellStyle name="40% - 강조색4 4" xfId="52148" hidden="1"/>
    <cellStyle name="40% - 강조색4 4" xfId="52188" hidden="1"/>
    <cellStyle name="40% - 강조색4 4" xfId="52228" hidden="1"/>
    <cellStyle name="40% - 강조색4 4" xfId="52268" hidden="1"/>
    <cellStyle name="40% - 강조색4 4" xfId="52308" hidden="1"/>
    <cellStyle name="40% - 강조색4 4" xfId="52348" hidden="1"/>
    <cellStyle name="40% - 강조색4 4 2" xfId="2249"/>
    <cellStyle name="40% - 강조색4 4 3" xfId="2250"/>
    <cellStyle name="40% - 강조색4 4 4" xfId="2251"/>
    <cellStyle name="40% - 강조색4 4 5" xfId="2252"/>
    <cellStyle name="40% - 강조색4 40" xfId="2253"/>
    <cellStyle name="40% - 강조색4 41" xfId="2254"/>
    <cellStyle name="40% - 강조색4 42" xfId="2255"/>
    <cellStyle name="40% - 강조색4 43" xfId="2256"/>
    <cellStyle name="40% - 강조색4 44" xfId="2257"/>
    <cellStyle name="40% - 강조색4 45" xfId="2258"/>
    <cellStyle name="40% - 강조색4 46" xfId="2259"/>
    <cellStyle name="40% - 강조색4 47" xfId="2260"/>
    <cellStyle name="40% - 강조색4 48" xfId="2261"/>
    <cellStyle name="40% - 강조색4 49" xfId="2262"/>
    <cellStyle name="40% - 강조색4 5" xfId="2263"/>
    <cellStyle name="40% - 강조색4 50" xfId="2264"/>
    <cellStyle name="40% - 강조색4 51" xfId="2265"/>
    <cellStyle name="40% - 강조색4 52" xfId="2266"/>
    <cellStyle name="40% - 강조색4 6" xfId="2267"/>
    <cellStyle name="40% - 강조색4 7" xfId="2268"/>
    <cellStyle name="40% - 강조색4 8" xfId="2269"/>
    <cellStyle name="40% - 강조색4 9" xfId="2270"/>
    <cellStyle name="40% - 강조색5 10" xfId="2271"/>
    <cellStyle name="40% - 강조색5 11" xfId="2272"/>
    <cellStyle name="40% - 강조색5 12" xfId="2273"/>
    <cellStyle name="40% - 강조색5 13" xfId="2274"/>
    <cellStyle name="40% - 강조색5 14" xfId="2275"/>
    <cellStyle name="40% - 강조색5 15" xfId="2276"/>
    <cellStyle name="40% - 강조색5 16" xfId="2277"/>
    <cellStyle name="40% - 강조색5 17" xfId="2278"/>
    <cellStyle name="40% - 강조색5 18" xfId="2279"/>
    <cellStyle name="40% - 강조색5 19" xfId="2280"/>
    <cellStyle name="40% - 강조색5 2" xfId="128"/>
    <cellStyle name="40% - 강조색5 2 10" xfId="2281"/>
    <cellStyle name="40% - 강조색5 2 100" xfId="2282"/>
    <cellStyle name="40% - 강조색5 2 101" xfId="2283"/>
    <cellStyle name="40% - 강조색5 2 102" xfId="2284"/>
    <cellStyle name="40% - 강조색5 2 103" xfId="2285"/>
    <cellStyle name="40% - 강조색5 2 104" xfId="2286"/>
    <cellStyle name="40% - 강조색5 2 105" xfId="2287"/>
    <cellStyle name="40% - 강조색5 2 106" xfId="2288"/>
    <cellStyle name="40% - 강조색5 2 107" xfId="2289"/>
    <cellStyle name="40% - 강조색5 2 108" xfId="2290"/>
    <cellStyle name="40% - 강조색5 2 109" xfId="2291"/>
    <cellStyle name="40% - 강조색5 2 11" xfId="2292"/>
    <cellStyle name="40% - 강조색5 2 110" xfId="2293"/>
    <cellStyle name="40% - 강조색5 2 111" xfId="2294"/>
    <cellStyle name="40% - 강조색5 2 112" xfId="2295"/>
    <cellStyle name="40% - 강조색5 2 12" xfId="2296"/>
    <cellStyle name="40% - 강조색5 2 13" xfId="2297"/>
    <cellStyle name="40% - 강조색5 2 14" xfId="2298"/>
    <cellStyle name="40% - 강조색5 2 15" xfId="2299"/>
    <cellStyle name="40% - 강조색5 2 16" xfId="2300"/>
    <cellStyle name="40% - 강조색5 2 17" xfId="2301"/>
    <cellStyle name="40% - 강조색5 2 18" xfId="2302"/>
    <cellStyle name="40% - 강조색5 2 19" xfId="2303"/>
    <cellStyle name="40% - 강조색5 2 2" xfId="129"/>
    <cellStyle name="40% - 강조색5 2 2 10" xfId="2304"/>
    <cellStyle name="40% - 강조색5 2 2 11" xfId="2305"/>
    <cellStyle name="40% - 강조색5 2 2 12" xfId="2306"/>
    <cellStyle name="40% - 강조색5 2 2 13" xfId="2307"/>
    <cellStyle name="40% - 강조색5 2 2 14" xfId="2308"/>
    <cellStyle name="40% - 강조색5 2 2 15" xfId="2309"/>
    <cellStyle name="40% - 강조색5 2 2 2" xfId="2310"/>
    <cellStyle name="40% - 강조색5 2 2 2 2" xfId="2311"/>
    <cellStyle name="40% - 강조색5 2 2 2 3" xfId="2312"/>
    <cellStyle name="40% - 강조색5 2 2 2 4" xfId="2313"/>
    <cellStyle name="40% - 강조색5 2 2 2 5" xfId="2314"/>
    <cellStyle name="40% - 강조색5 2 2 3" xfId="2315"/>
    <cellStyle name="40% - 강조색5 2 2 4" xfId="2316"/>
    <cellStyle name="40% - 강조색5 2 2 5" xfId="2317"/>
    <cellStyle name="40% - 강조색5 2 2 6" xfId="2318"/>
    <cellStyle name="40% - 강조색5 2 2 7" xfId="2319"/>
    <cellStyle name="40% - 강조색5 2 2 8" xfId="2320"/>
    <cellStyle name="40% - 강조색5 2 2 9" xfId="2321"/>
    <cellStyle name="40% - 강조색5 2 20" xfId="2322"/>
    <cellStyle name="40% - 강조색5 2 21" xfId="2323"/>
    <cellStyle name="40% - 강조색5 2 22" xfId="2324"/>
    <cellStyle name="40% - 강조색5 2 23" xfId="2325"/>
    <cellStyle name="40% - 강조색5 2 24" xfId="2326"/>
    <cellStyle name="40% - 강조색5 2 25" xfId="2327"/>
    <cellStyle name="40% - 강조색5 2 26" xfId="2328"/>
    <cellStyle name="40% - 강조색5 2 27" xfId="2329"/>
    <cellStyle name="40% - 강조색5 2 28" xfId="2330"/>
    <cellStyle name="40% - 강조색5 2 29" xfId="2331"/>
    <cellStyle name="40% - 강조색5 2 3" xfId="2332"/>
    <cellStyle name="40% - 강조색5 2 3 2" xfId="2333"/>
    <cellStyle name="40% - 강조색5 2 3 3" xfId="2334"/>
    <cellStyle name="40% - 강조색5 2 3 4" xfId="2335"/>
    <cellStyle name="40% - 강조색5 2 3 5" xfId="2336"/>
    <cellStyle name="40% - 강조색5 2 30" xfId="2337"/>
    <cellStyle name="40% - 강조색5 2 31" xfId="2338"/>
    <cellStyle name="40% - 강조색5 2 32" xfId="2339"/>
    <cellStyle name="40% - 강조색5 2 33" xfId="2340"/>
    <cellStyle name="40% - 강조색5 2 34" xfId="2341"/>
    <cellStyle name="40% - 강조색5 2 35" xfId="2342"/>
    <cellStyle name="40% - 강조색5 2 36" xfId="2343"/>
    <cellStyle name="40% - 강조색5 2 37" xfId="2344"/>
    <cellStyle name="40% - 강조색5 2 38" xfId="2345"/>
    <cellStyle name="40% - 강조색5 2 39" xfId="2346"/>
    <cellStyle name="40% - 강조색5 2 4" xfId="2347"/>
    <cellStyle name="40% - 강조색5 2 40" xfId="2348"/>
    <cellStyle name="40% - 강조색5 2 41" xfId="2349"/>
    <cellStyle name="40% - 강조색5 2 42" xfId="2350"/>
    <cellStyle name="40% - 강조색5 2 43" xfId="2351"/>
    <cellStyle name="40% - 강조색5 2 44" xfId="2352"/>
    <cellStyle name="40% - 강조색5 2 45" xfId="2353"/>
    <cellStyle name="40% - 강조색5 2 46" xfId="2354"/>
    <cellStyle name="40% - 강조색5 2 47" xfId="2355"/>
    <cellStyle name="40% - 강조색5 2 48" xfId="2356"/>
    <cellStyle name="40% - 강조색5 2 49" xfId="2357"/>
    <cellStyle name="40% - 강조색5 2 5" xfId="2358"/>
    <cellStyle name="40% - 강조색5 2 50" xfId="2359"/>
    <cellStyle name="40% - 강조색5 2 51" xfId="2360"/>
    <cellStyle name="40% - 강조색5 2 52" xfId="2361"/>
    <cellStyle name="40% - 강조색5 2 53" xfId="2362"/>
    <cellStyle name="40% - 강조색5 2 54" xfId="2363"/>
    <cellStyle name="40% - 강조색5 2 55" xfId="2364"/>
    <cellStyle name="40% - 강조색5 2 56" xfId="2365"/>
    <cellStyle name="40% - 강조색5 2 57" xfId="2366"/>
    <cellStyle name="40% - 강조색5 2 58" xfId="2367"/>
    <cellStyle name="40% - 강조색5 2 59" xfId="2368"/>
    <cellStyle name="40% - 강조색5 2 6" xfId="2369"/>
    <cellStyle name="40% - 강조색5 2 60" xfId="2370"/>
    <cellStyle name="40% - 강조색5 2 61" xfId="2371"/>
    <cellStyle name="40% - 강조색5 2 62" xfId="2372"/>
    <cellStyle name="40% - 강조색5 2 63" xfId="2373"/>
    <cellStyle name="40% - 강조색5 2 64" xfId="2374"/>
    <cellStyle name="40% - 강조색5 2 65" xfId="2375"/>
    <cellStyle name="40% - 강조색5 2 66" xfId="2376"/>
    <cellStyle name="40% - 강조색5 2 67" xfId="2377"/>
    <cellStyle name="40% - 강조색5 2 68" xfId="2378"/>
    <cellStyle name="40% - 강조색5 2 69" xfId="2379"/>
    <cellStyle name="40% - 강조색5 2 7" xfId="2380"/>
    <cellStyle name="40% - 강조색5 2 70" xfId="2381"/>
    <cellStyle name="40% - 강조색5 2 71" xfId="2382"/>
    <cellStyle name="40% - 강조색5 2 72" xfId="2383"/>
    <cellStyle name="40% - 강조색5 2 73" xfId="2384"/>
    <cellStyle name="40% - 강조색5 2 74" xfId="2385"/>
    <cellStyle name="40% - 강조색5 2 75" xfId="2386"/>
    <cellStyle name="40% - 강조색5 2 76" xfId="2387"/>
    <cellStyle name="40% - 강조색5 2 77" xfId="2388"/>
    <cellStyle name="40% - 강조색5 2 78" xfId="2389"/>
    <cellStyle name="40% - 강조색5 2 79" xfId="2390"/>
    <cellStyle name="40% - 강조색5 2 8" xfId="2391"/>
    <cellStyle name="40% - 강조색5 2 80" xfId="2392"/>
    <cellStyle name="40% - 강조색5 2 81" xfId="2393"/>
    <cellStyle name="40% - 강조색5 2 82" xfId="2394"/>
    <cellStyle name="40% - 강조색5 2 83" xfId="2395"/>
    <cellStyle name="40% - 강조색5 2 84" xfId="2396"/>
    <cellStyle name="40% - 강조색5 2 85" xfId="2397"/>
    <cellStyle name="40% - 강조색5 2 86" xfId="2398"/>
    <cellStyle name="40% - 강조색5 2 87" xfId="2399"/>
    <cellStyle name="40% - 강조색5 2 88" xfId="2400"/>
    <cellStyle name="40% - 강조색5 2 89" xfId="2401"/>
    <cellStyle name="40% - 강조색5 2 9" xfId="2402"/>
    <cellStyle name="40% - 강조색5 2 90" xfId="2403"/>
    <cellStyle name="40% - 강조색5 2 91" xfId="2404"/>
    <cellStyle name="40% - 강조색5 2 92" xfId="2405"/>
    <cellStyle name="40% - 강조색5 2 93" xfId="2406"/>
    <cellStyle name="40% - 강조색5 2 94" xfId="2407"/>
    <cellStyle name="40% - 강조색5 2 95" xfId="2408"/>
    <cellStyle name="40% - 강조색5 2 96" xfId="2409"/>
    <cellStyle name="40% - 강조색5 2 97" xfId="2410"/>
    <cellStyle name="40% - 강조색5 2 98" xfId="2411"/>
    <cellStyle name="40% - 강조색5 2 99" xfId="2412"/>
    <cellStyle name="40% - 강조색5 20" xfId="2413"/>
    <cellStyle name="40% - 강조색5 21" xfId="2414"/>
    <cellStyle name="40% - 강조색5 22" xfId="2415"/>
    <cellStyle name="40% - 강조색5 23" xfId="2416"/>
    <cellStyle name="40% - 강조색5 24" xfId="2417"/>
    <cellStyle name="40% - 강조색5 25" xfId="2418"/>
    <cellStyle name="40% - 강조색5 26" xfId="2419"/>
    <cellStyle name="40% - 강조색5 27" xfId="2420"/>
    <cellStyle name="40% - 강조색5 28" xfId="2421"/>
    <cellStyle name="40% - 강조색5 29" xfId="2422"/>
    <cellStyle name="40% - 강조색5 3" xfId="130"/>
    <cellStyle name="40% - 강조색5 30" xfId="2423"/>
    <cellStyle name="40% - 강조색5 31" xfId="2424"/>
    <cellStyle name="40% - 강조색5 32" xfId="2425"/>
    <cellStyle name="40% - 강조색5 33" xfId="2426"/>
    <cellStyle name="40% - 강조색5 34" xfId="2427"/>
    <cellStyle name="40% - 강조색5 35" xfId="2428"/>
    <cellStyle name="40% - 강조색5 36" xfId="2429"/>
    <cellStyle name="40% - 강조색5 37" xfId="2430"/>
    <cellStyle name="40% - 강조색5 38" xfId="2431"/>
    <cellStyle name="40% - 강조색5 39" xfId="2432"/>
    <cellStyle name="40% - 강조색5 4" xfId="11742" hidden="1"/>
    <cellStyle name="40% - 강조색5 4" xfId="11788" hidden="1"/>
    <cellStyle name="40% - 강조색5 4" xfId="11834" hidden="1"/>
    <cellStyle name="40% - 강조색5 4" xfId="11880" hidden="1"/>
    <cellStyle name="40% - 강조색5 4" xfId="11926" hidden="1"/>
    <cellStyle name="40% - 강조색5 4" xfId="11972" hidden="1"/>
    <cellStyle name="40% - 강조색5 4" xfId="12018" hidden="1"/>
    <cellStyle name="40% - 강조색5 4" xfId="12064" hidden="1"/>
    <cellStyle name="40% - 강조색5 4" xfId="12110" hidden="1"/>
    <cellStyle name="40% - 강조색5 4" xfId="12156" hidden="1"/>
    <cellStyle name="40% - 강조색5 4" xfId="12202" hidden="1"/>
    <cellStyle name="40% - 강조색5 4" xfId="12248" hidden="1"/>
    <cellStyle name="40% - 강조색5 4" xfId="12338" hidden="1"/>
    <cellStyle name="40% - 강조색5 4" xfId="12379" hidden="1"/>
    <cellStyle name="40% - 강조색5 4" xfId="12421" hidden="1"/>
    <cellStyle name="40% - 강조색5 4" xfId="12463" hidden="1"/>
    <cellStyle name="40% - 강조색5 4" xfId="12505" hidden="1"/>
    <cellStyle name="40% - 강조색5 4" xfId="12547" hidden="1"/>
    <cellStyle name="40% - 강조색5 4" xfId="12589" hidden="1"/>
    <cellStyle name="40% - 강조색5 4" xfId="12631" hidden="1"/>
    <cellStyle name="40% - 강조색5 4" xfId="12673" hidden="1"/>
    <cellStyle name="40% - 강조색5 4" xfId="12715" hidden="1"/>
    <cellStyle name="40% - 강조색5 4" xfId="12757" hidden="1"/>
    <cellStyle name="40% - 강조색5 4" xfId="12799" hidden="1"/>
    <cellStyle name="40% - 강조색5 4" xfId="12293" hidden="1"/>
    <cellStyle name="40% - 강조색5 4" xfId="12981" hidden="1"/>
    <cellStyle name="40% - 강조색5 4" xfId="13021" hidden="1"/>
    <cellStyle name="40% - 강조색5 4" xfId="13061" hidden="1"/>
    <cellStyle name="40% - 강조색5 4" xfId="13101" hidden="1"/>
    <cellStyle name="40% - 강조색5 4" xfId="13141" hidden="1"/>
    <cellStyle name="40% - 강조색5 4" xfId="13181" hidden="1"/>
    <cellStyle name="40% - 강조색5 4" xfId="13221" hidden="1"/>
    <cellStyle name="40% - 강조색5 4" xfId="13261" hidden="1"/>
    <cellStyle name="40% - 강조색5 4" xfId="13301" hidden="1"/>
    <cellStyle name="40% - 강조색5 4" xfId="13341" hidden="1"/>
    <cellStyle name="40% - 강조색5 4" xfId="13381" hidden="1"/>
    <cellStyle name="40% - 강조색5 4" xfId="13421" hidden="1"/>
    <cellStyle name="40% - 강조색5 4" xfId="12853" hidden="1"/>
    <cellStyle name="40% - 강조색5 4" xfId="12814" hidden="1"/>
    <cellStyle name="40% - 강조색5 4" xfId="13463" hidden="1"/>
    <cellStyle name="40% - 강조색5 4" xfId="13505" hidden="1"/>
    <cellStyle name="40% - 강조색5 4" xfId="13547" hidden="1"/>
    <cellStyle name="40% - 강조색5 4" xfId="13589" hidden="1"/>
    <cellStyle name="40% - 강조색5 4" xfId="13631" hidden="1"/>
    <cellStyle name="40% - 강조색5 4" xfId="13673" hidden="1"/>
    <cellStyle name="40% - 강조색5 4" xfId="13715" hidden="1"/>
    <cellStyle name="40% - 강조색5 4" xfId="13757" hidden="1"/>
    <cellStyle name="40% - 강조색5 4" xfId="13799" hidden="1"/>
    <cellStyle name="40% - 강조색5 4" xfId="13841" hidden="1"/>
    <cellStyle name="40% - 강조색5 4" xfId="12907" hidden="1"/>
    <cellStyle name="40% - 강조색5 4" xfId="13869" hidden="1"/>
    <cellStyle name="40% - 강조색5 4" xfId="13909" hidden="1"/>
    <cellStyle name="40% - 강조색5 4" xfId="13949" hidden="1"/>
    <cellStyle name="40% - 강조색5 4" xfId="13989" hidden="1"/>
    <cellStyle name="40% - 강조색5 4" xfId="14029" hidden="1"/>
    <cellStyle name="40% - 강조색5 4" xfId="14069" hidden="1"/>
    <cellStyle name="40% - 강조색5 4" xfId="14109" hidden="1"/>
    <cellStyle name="40% - 강조색5 4" xfId="14149" hidden="1"/>
    <cellStyle name="40% - 강조색5 4" xfId="14189" hidden="1"/>
    <cellStyle name="40% - 강조색5 4" xfId="14229" hidden="1"/>
    <cellStyle name="40% - 강조색5 4" xfId="14269" hidden="1"/>
    <cellStyle name="40% - 강조색5 4" xfId="14309" hidden="1"/>
    <cellStyle name="40% - 강조색5 4" xfId="14415" hidden="1"/>
    <cellStyle name="40% - 강조색5 4" xfId="14455" hidden="1"/>
    <cellStyle name="40% - 강조색5 4" xfId="14495" hidden="1"/>
    <cellStyle name="40% - 강조색5 4" xfId="14535" hidden="1"/>
    <cellStyle name="40% - 강조색5 4" xfId="14575" hidden="1"/>
    <cellStyle name="40% - 강조색5 4" xfId="14615" hidden="1"/>
    <cellStyle name="40% - 강조색5 4" xfId="14655" hidden="1"/>
    <cellStyle name="40% - 강조색5 4" xfId="14695" hidden="1"/>
    <cellStyle name="40% - 강조색5 4" xfId="14735" hidden="1"/>
    <cellStyle name="40% - 강조색5 4" xfId="14775" hidden="1"/>
    <cellStyle name="40% - 강조색5 4" xfId="14815" hidden="1"/>
    <cellStyle name="40% - 강조색5 4" xfId="14855" hidden="1"/>
    <cellStyle name="40% - 강조색5 4" xfId="14939" hidden="1"/>
    <cellStyle name="40% - 강조색5 4" xfId="14980" hidden="1"/>
    <cellStyle name="40% - 강조색5 4" xfId="15022" hidden="1"/>
    <cellStyle name="40% - 강조색5 4" xfId="15064" hidden="1"/>
    <cellStyle name="40% - 강조색5 4" xfId="15106" hidden="1"/>
    <cellStyle name="40% - 강조색5 4" xfId="15148" hidden="1"/>
    <cellStyle name="40% - 강조색5 4" xfId="15190" hidden="1"/>
    <cellStyle name="40% - 강조색5 4" xfId="15232" hidden="1"/>
    <cellStyle name="40% - 강조색5 4" xfId="15274" hidden="1"/>
    <cellStyle name="40% - 강조색5 4" xfId="15316" hidden="1"/>
    <cellStyle name="40% - 강조색5 4" xfId="15358" hidden="1"/>
    <cellStyle name="40% - 강조색5 4" xfId="15400" hidden="1"/>
    <cellStyle name="40% - 강조색5 4" xfId="14896" hidden="1"/>
    <cellStyle name="40% - 강조색5 4" xfId="15579" hidden="1"/>
    <cellStyle name="40% - 강조색5 4" xfId="15619" hidden="1"/>
    <cellStyle name="40% - 강조색5 4" xfId="15659" hidden="1"/>
    <cellStyle name="40% - 강조색5 4" xfId="15699" hidden="1"/>
    <cellStyle name="40% - 강조색5 4" xfId="15739" hidden="1"/>
    <cellStyle name="40% - 강조색5 4" xfId="15779" hidden="1"/>
    <cellStyle name="40% - 강조색5 4" xfId="15819" hidden="1"/>
    <cellStyle name="40% - 강조색5 4" xfId="15859" hidden="1"/>
    <cellStyle name="40% - 강조색5 4" xfId="15899" hidden="1"/>
    <cellStyle name="40% - 강조색5 4" xfId="15939" hidden="1"/>
    <cellStyle name="40% - 강조색5 4" xfId="15979" hidden="1"/>
    <cellStyle name="40% - 강조색5 4" xfId="16019" hidden="1"/>
    <cellStyle name="40% - 강조색5 4" xfId="15453" hidden="1"/>
    <cellStyle name="40% - 강조색5 4" xfId="15414" hidden="1"/>
    <cellStyle name="40% - 강조색5 4" xfId="16061" hidden="1"/>
    <cellStyle name="40% - 강조색5 4" xfId="16103" hidden="1"/>
    <cellStyle name="40% - 강조색5 4" xfId="16145" hidden="1"/>
    <cellStyle name="40% - 강조색5 4" xfId="16187" hidden="1"/>
    <cellStyle name="40% - 강조색5 4" xfId="16229" hidden="1"/>
    <cellStyle name="40% - 강조색5 4" xfId="16271" hidden="1"/>
    <cellStyle name="40% - 강조색5 4" xfId="16313" hidden="1"/>
    <cellStyle name="40% - 강조색5 4" xfId="16355" hidden="1"/>
    <cellStyle name="40% - 강조색5 4" xfId="16397" hidden="1"/>
    <cellStyle name="40% - 강조색5 4" xfId="16439" hidden="1"/>
    <cellStyle name="40% - 강조색5 4" xfId="15506" hidden="1"/>
    <cellStyle name="40% - 강조색5 4" xfId="16467" hidden="1"/>
    <cellStyle name="40% - 강조색5 4" xfId="16507" hidden="1"/>
    <cellStyle name="40% - 강조색5 4" xfId="16547" hidden="1"/>
    <cellStyle name="40% - 강조색5 4" xfId="16587" hidden="1"/>
    <cellStyle name="40% - 강조색5 4" xfId="16627" hidden="1"/>
    <cellStyle name="40% - 강조색5 4" xfId="16667" hidden="1"/>
    <cellStyle name="40% - 강조색5 4" xfId="16707" hidden="1"/>
    <cellStyle name="40% - 강조색5 4" xfId="16747" hidden="1"/>
    <cellStyle name="40% - 강조색5 4" xfId="16787" hidden="1"/>
    <cellStyle name="40% - 강조색5 4" xfId="16827" hidden="1"/>
    <cellStyle name="40% - 강조색5 4" xfId="16867" hidden="1"/>
    <cellStyle name="40% - 강조색5 4" xfId="16907" hidden="1"/>
    <cellStyle name="40% - 강조색5 4" xfId="16918" hidden="1"/>
    <cellStyle name="40% - 강조색5 4" xfId="16958" hidden="1"/>
    <cellStyle name="40% - 강조색5 4" xfId="16999" hidden="1"/>
    <cellStyle name="40% - 강조색5 4" xfId="17039" hidden="1"/>
    <cellStyle name="40% - 강조색5 4" xfId="17079" hidden="1"/>
    <cellStyle name="40% - 강조색5 4" xfId="17119" hidden="1"/>
    <cellStyle name="40% - 강조색5 4" xfId="17159" hidden="1"/>
    <cellStyle name="40% - 강조색5 4" xfId="17199" hidden="1"/>
    <cellStyle name="40% - 강조색5 4" xfId="17239" hidden="1"/>
    <cellStyle name="40% - 강조색5 4" xfId="17279" hidden="1"/>
    <cellStyle name="40% - 강조색5 4" xfId="17319" hidden="1"/>
    <cellStyle name="40% - 강조색5 4" xfId="17359" hidden="1"/>
    <cellStyle name="40% - 강조색5 4" xfId="17443" hidden="1"/>
    <cellStyle name="40% - 강조색5 4" xfId="17484" hidden="1"/>
    <cellStyle name="40% - 강조색5 4" xfId="17526" hidden="1"/>
    <cellStyle name="40% - 강조색5 4" xfId="17568" hidden="1"/>
    <cellStyle name="40% - 강조색5 4" xfId="17610" hidden="1"/>
    <cellStyle name="40% - 강조색5 4" xfId="17652" hidden="1"/>
    <cellStyle name="40% - 강조색5 4" xfId="17694" hidden="1"/>
    <cellStyle name="40% - 강조색5 4" xfId="17736" hidden="1"/>
    <cellStyle name="40% - 강조색5 4" xfId="17778" hidden="1"/>
    <cellStyle name="40% - 강조색5 4" xfId="17820" hidden="1"/>
    <cellStyle name="40% - 강조색5 4" xfId="17862" hidden="1"/>
    <cellStyle name="40% - 강조색5 4" xfId="17904" hidden="1"/>
    <cellStyle name="40% - 강조색5 4" xfId="17400" hidden="1"/>
    <cellStyle name="40% - 강조색5 4" xfId="18083" hidden="1"/>
    <cellStyle name="40% - 강조색5 4" xfId="18123" hidden="1"/>
    <cellStyle name="40% - 강조색5 4" xfId="18163" hidden="1"/>
    <cellStyle name="40% - 강조색5 4" xfId="18203" hidden="1"/>
    <cellStyle name="40% - 강조색5 4" xfId="18243" hidden="1"/>
    <cellStyle name="40% - 강조색5 4" xfId="18283" hidden="1"/>
    <cellStyle name="40% - 강조색5 4" xfId="18323" hidden="1"/>
    <cellStyle name="40% - 강조색5 4" xfId="18363" hidden="1"/>
    <cellStyle name="40% - 강조색5 4" xfId="18403" hidden="1"/>
    <cellStyle name="40% - 강조색5 4" xfId="18443" hidden="1"/>
    <cellStyle name="40% - 강조색5 4" xfId="18483" hidden="1"/>
    <cellStyle name="40% - 강조색5 4" xfId="18523" hidden="1"/>
    <cellStyle name="40% - 강조색5 4" xfId="17957" hidden="1"/>
    <cellStyle name="40% - 강조색5 4" xfId="17918" hidden="1"/>
    <cellStyle name="40% - 강조색5 4" xfId="18565" hidden="1"/>
    <cellStyle name="40% - 강조색5 4" xfId="18607" hidden="1"/>
    <cellStyle name="40% - 강조색5 4" xfId="18649" hidden="1"/>
    <cellStyle name="40% - 강조색5 4" xfId="18691" hidden="1"/>
    <cellStyle name="40% - 강조색5 4" xfId="18733" hidden="1"/>
    <cellStyle name="40% - 강조색5 4" xfId="18775" hidden="1"/>
    <cellStyle name="40% - 강조색5 4" xfId="18817" hidden="1"/>
    <cellStyle name="40% - 강조색5 4" xfId="18859" hidden="1"/>
    <cellStyle name="40% - 강조색5 4" xfId="18901" hidden="1"/>
    <cellStyle name="40% - 강조색5 4" xfId="18943" hidden="1"/>
    <cellStyle name="40% - 강조색5 4" xfId="18010" hidden="1"/>
    <cellStyle name="40% - 강조색5 4" xfId="18971" hidden="1"/>
    <cellStyle name="40% - 강조색5 4" xfId="19011" hidden="1"/>
    <cellStyle name="40% - 강조색5 4" xfId="19051" hidden="1"/>
    <cellStyle name="40% - 강조색5 4" xfId="19091" hidden="1"/>
    <cellStyle name="40% - 강조색5 4" xfId="19131" hidden="1"/>
    <cellStyle name="40% - 강조색5 4" xfId="19171" hidden="1"/>
    <cellStyle name="40% - 강조색5 4" xfId="19211" hidden="1"/>
    <cellStyle name="40% - 강조색5 4" xfId="19251" hidden="1"/>
    <cellStyle name="40% - 강조색5 4" xfId="19291" hidden="1"/>
    <cellStyle name="40% - 강조색5 4" xfId="19331" hidden="1"/>
    <cellStyle name="40% - 강조색5 4" xfId="19371" hidden="1"/>
    <cellStyle name="40% - 강조색5 4" xfId="19411" hidden="1"/>
    <cellStyle name="40% - 강조색5 4" xfId="19421" hidden="1"/>
    <cellStyle name="40% - 강조색5 4" xfId="19461" hidden="1"/>
    <cellStyle name="40% - 강조색5 4" xfId="19501" hidden="1"/>
    <cellStyle name="40% - 강조색5 4" xfId="19541" hidden="1"/>
    <cellStyle name="40% - 강조색5 4" xfId="19581" hidden="1"/>
    <cellStyle name="40% - 강조색5 4" xfId="19621" hidden="1"/>
    <cellStyle name="40% - 강조색5 4" xfId="19661" hidden="1"/>
    <cellStyle name="40% - 강조색5 4" xfId="19701" hidden="1"/>
    <cellStyle name="40% - 강조색5 4" xfId="19741" hidden="1"/>
    <cellStyle name="40% - 강조색5 4" xfId="19781" hidden="1"/>
    <cellStyle name="40% - 강조색5 4" xfId="19821" hidden="1"/>
    <cellStyle name="40% - 강조색5 4" xfId="19861" hidden="1"/>
    <cellStyle name="40% - 강조색5 4" xfId="19945" hidden="1"/>
    <cellStyle name="40% - 강조색5 4" xfId="19986" hidden="1"/>
    <cellStyle name="40% - 강조색5 4" xfId="20028" hidden="1"/>
    <cellStyle name="40% - 강조색5 4" xfId="20070" hidden="1"/>
    <cellStyle name="40% - 강조색5 4" xfId="20112" hidden="1"/>
    <cellStyle name="40% - 강조색5 4" xfId="20154" hidden="1"/>
    <cellStyle name="40% - 강조색5 4" xfId="20196" hidden="1"/>
    <cellStyle name="40% - 강조색5 4" xfId="20238" hidden="1"/>
    <cellStyle name="40% - 강조색5 4" xfId="20280" hidden="1"/>
    <cellStyle name="40% - 강조색5 4" xfId="20322" hidden="1"/>
    <cellStyle name="40% - 강조색5 4" xfId="20364" hidden="1"/>
    <cellStyle name="40% - 강조색5 4" xfId="20406" hidden="1"/>
    <cellStyle name="40% - 강조색5 4" xfId="19902" hidden="1"/>
    <cellStyle name="40% - 강조색5 4" xfId="20585" hidden="1"/>
    <cellStyle name="40% - 강조색5 4" xfId="20625" hidden="1"/>
    <cellStyle name="40% - 강조색5 4" xfId="20665" hidden="1"/>
    <cellStyle name="40% - 강조색5 4" xfId="20705" hidden="1"/>
    <cellStyle name="40% - 강조색5 4" xfId="20745" hidden="1"/>
    <cellStyle name="40% - 강조색5 4" xfId="20785" hidden="1"/>
    <cellStyle name="40% - 강조색5 4" xfId="20825" hidden="1"/>
    <cellStyle name="40% - 강조색5 4" xfId="20865" hidden="1"/>
    <cellStyle name="40% - 강조색5 4" xfId="20905" hidden="1"/>
    <cellStyle name="40% - 강조색5 4" xfId="20945" hidden="1"/>
    <cellStyle name="40% - 강조색5 4" xfId="20985" hidden="1"/>
    <cellStyle name="40% - 강조색5 4" xfId="21025" hidden="1"/>
    <cellStyle name="40% - 강조색5 4" xfId="20459" hidden="1"/>
    <cellStyle name="40% - 강조색5 4" xfId="20420" hidden="1"/>
    <cellStyle name="40% - 강조색5 4" xfId="21067" hidden="1"/>
    <cellStyle name="40% - 강조색5 4" xfId="21109" hidden="1"/>
    <cellStyle name="40% - 강조색5 4" xfId="21151" hidden="1"/>
    <cellStyle name="40% - 강조색5 4" xfId="21193" hidden="1"/>
    <cellStyle name="40% - 강조색5 4" xfId="21235" hidden="1"/>
    <cellStyle name="40% - 강조색5 4" xfId="21277" hidden="1"/>
    <cellStyle name="40% - 강조색5 4" xfId="21319" hidden="1"/>
    <cellStyle name="40% - 강조색5 4" xfId="21361" hidden="1"/>
    <cellStyle name="40% - 강조색5 4" xfId="21403" hidden="1"/>
    <cellStyle name="40% - 강조색5 4" xfId="21445" hidden="1"/>
    <cellStyle name="40% - 강조색5 4" xfId="20512" hidden="1"/>
    <cellStyle name="40% - 강조색5 4" xfId="21473" hidden="1"/>
    <cellStyle name="40% - 강조색5 4" xfId="21513" hidden="1"/>
    <cellStyle name="40% - 강조색5 4" xfId="21553" hidden="1"/>
    <cellStyle name="40% - 강조색5 4" xfId="21593" hidden="1"/>
    <cellStyle name="40% - 강조색5 4" xfId="21633" hidden="1"/>
    <cellStyle name="40% - 강조색5 4" xfId="21673" hidden="1"/>
    <cellStyle name="40% - 강조색5 4" xfId="21713" hidden="1"/>
    <cellStyle name="40% - 강조색5 4" xfId="21753" hidden="1"/>
    <cellStyle name="40% - 강조색5 4" xfId="21793" hidden="1"/>
    <cellStyle name="40% - 강조색5 4" xfId="21833" hidden="1"/>
    <cellStyle name="40% - 강조색5 4" xfId="21873" hidden="1"/>
    <cellStyle name="40% - 강조색5 4" xfId="21913" hidden="1"/>
    <cellStyle name="40% - 강조색5 4" xfId="21981" hidden="1"/>
    <cellStyle name="40% - 강조색5 4" xfId="22021" hidden="1"/>
    <cellStyle name="40% - 강조색5 4" xfId="22061" hidden="1"/>
    <cellStyle name="40% - 강조색5 4" xfId="22101" hidden="1"/>
    <cellStyle name="40% - 강조색5 4" xfId="22141" hidden="1"/>
    <cellStyle name="40% - 강조색5 4" xfId="22181" hidden="1"/>
    <cellStyle name="40% - 강조색5 4" xfId="22221" hidden="1"/>
    <cellStyle name="40% - 강조색5 4" xfId="22261" hidden="1"/>
    <cellStyle name="40% - 강조색5 4" xfId="22301" hidden="1"/>
    <cellStyle name="40% - 강조색5 4" xfId="22341" hidden="1"/>
    <cellStyle name="40% - 강조색5 4" xfId="22381" hidden="1"/>
    <cellStyle name="40% - 강조색5 4" xfId="22421" hidden="1"/>
    <cellStyle name="40% - 강조색5 4" xfId="22505" hidden="1"/>
    <cellStyle name="40% - 강조색5 4" xfId="22546" hidden="1"/>
    <cellStyle name="40% - 강조색5 4" xfId="22588" hidden="1"/>
    <cellStyle name="40% - 강조색5 4" xfId="22630" hidden="1"/>
    <cellStyle name="40% - 강조색5 4" xfId="22672" hidden="1"/>
    <cellStyle name="40% - 강조색5 4" xfId="22714" hidden="1"/>
    <cellStyle name="40% - 강조색5 4" xfId="22756" hidden="1"/>
    <cellStyle name="40% - 강조색5 4" xfId="22798" hidden="1"/>
    <cellStyle name="40% - 강조색5 4" xfId="22840" hidden="1"/>
    <cellStyle name="40% - 강조색5 4" xfId="22882" hidden="1"/>
    <cellStyle name="40% - 강조색5 4" xfId="22924" hidden="1"/>
    <cellStyle name="40% - 강조색5 4" xfId="22966" hidden="1"/>
    <cellStyle name="40% - 강조색5 4" xfId="22462" hidden="1"/>
    <cellStyle name="40% - 강조색5 4" xfId="23145" hidden="1"/>
    <cellStyle name="40% - 강조색5 4" xfId="23185" hidden="1"/>
    <cellStyle name="40% - 강조색5 4" xfId="23225" hidden="1"/>
    <cellStyle name="40% - 강조색5 4" xfId="23265" hidden="1"/>
    <cellStyle name="40% - 강조색5 4" xfId="23305" hidden="1"/>
    <cellStyle name="40% - 강조색5 4" xfId="23345" hidden="1"/>
    <cellStyle name="40% - 강조색5 4" xfId="23385" hidden="1"/>
    <cellStyle name="40% - 강조색5 4" xfId="23425" hidden="1"/>
    <cellStyle name="40% - 강조색5 4" xfId="23465" hidden="1"/>
    <cellStyle name="40% - 강조색5 4" xfId="23505" hidden="1"/>
    <cellStyle name="40% - 강조색5 4" xfId="23545" hidden="1"/>
    <cellStyle name="40% - 강조색5 4" xfId="23585" hidden="1"/>
    <cellStyle name="40% - 강조색5 4" xfId="23019" hidden="1"/>
    <cellStyle name="40% - 강조색5 4" xfId="22980" hidden="1"/>
    <cellStyle name="40% - 강조색5 4" xfId="23627" hidden="1"/>
    <cellStyle name="40% - 강조색5 4" xfId="23669" hidden="1"/>
    <cellStyle name="40% - 강조색5 4" xfId="23711" hidden="1"/>
    <cellStyle name="40% - 강조색5 4" xfId="23753" hidden="1"/>
    <cellStyle name="40% - 강조색5 4" xfId="23795" hidden="1"/>
    <cellStyle name="40% - 강조색5 4" xfId="23837" hidden="1"/>
    <cellStyle name="40% - 강조색5 4" xfId="23879" hidden="1"/>
    <cellStyle name="40% - 강조색5 4" xfId="23921" hidden="1"/>
    <cellStyle name="40% - 강조색5 4" xfId="23963" hidden="1"/>
    <cellStyle name="40% - 강조색5 4" xfId="24005" hidden="1"/>
    <cellStyle name="40% - 강조색5 4" xfId="23072" hidden="1"/>
    <cellStyle name="40% - 강조색5 4" xfId="24033" hidden="1"/>
    <cellStyle name="40% - 강조색5 4" xfId="24073" hidden="1"/>
    <cellStyle name="40% - 강조색5 4" xfId="24113" hidden="1"/>
    <cellStyle name="40% - 강조색5 4" xfId="24153" hidden="1"/>
    <cellStyle name="40% - 강조색5 4" xfId="24193" hidden="1"/>
    <cellStyle name="40% - 강조색5 4" xfId="24233" hidden="1"/>
    <cellStyle name="40% - 강조색5 4" xfId="24273" hidden="1"/>
    <cellStyle name="40% - 강조색5 4" xfId="24313" hidden="1"/>
    <cellStyle name="40% - 강조색5 4" xfId="24353" hidden="1"/>
    <cellStyle name="40% - 강조색5 4" xfId="24393" hidden="1"/>
    <cellStyle name="40% - 강조색5 4" xfId="24433" hidden="1"/>
    <cellStyle name="40% - 강조색5 4" xfId="24473" hidden="1"/>
    <cellStyle name="40% - 강조색5 4" xfId="24571" hidden="1"/>
    <cellStyle name="40% - 강조색5 4" xfId="24611" hidden="1"/>
    <cellStyle name="40% - 강조색5 4" xfId="24653" hidden="1"/>
    <cellStyle name="40% - 강조색5 4" xfId="24694" hidden="1"/>
    <cellStyle name="40% - 강조색5 4" xfId="24734" hidden="1"/>
    <cellStyle name="40% - 강조색5 4" xfId="24774" hidden="1"/>
    <cellStyle name="40% - 강조색5 4" xfId="24814" hidden="1"/>
    <cellStyle name="40% - 강조색5 4" xfId="24854" hidden="1"/>
    <cellStyle name="40% - 강조색5 4" xfId="24894" hidden="1"/>
    <cellStyle name="40% - 강조색5 4" xfId="24934" hidden="1"/>
    <cellStyle name="40% - 강조색5 4" xfId="24974" hidden="1"/>
    <cellStyle name="40% - 강조색5 4" xfId="25014" hidden="1"/>
    <cellStyle name="40% - 강조색5 4" xfId="25098" hidden="1"/>
    <cellStyle name="40% - 강조색5 4" xfId="25139" hidden="1"/>
    <cellStyle name="40% - 강조색5 4" xfId="25181" hidden="1"/>
    <cellStyle name="40% - 강조색5 4" xfId="25223" hidden="1"/>
    <cellStyle name="40% - 강조색5 4" xfId="25265" hidden="1"/>
    <cellStyle name="40% - 강조색5 4" xfId="25307" hidden="1"/>
    <cellStyle name="40% - 강조색5 4" xfId="25349" hidden="1"/>
    <cellStyle name="40% - 강조색5 4" xfId="25391" hidden="1"/>
    <cellStyle name="40% - 강조색5 4" xfId="25433" hidden="1"/>
    <cellStyle name="40% - 강조색5 4" xfId="25475" hidden="1"/>
    <cellStyle name="40% - 강조색5 4" xfId="25517" hidden="1"/>
    <cellStyle name="40% - 강조색5 4" xfId="25559" hidden="1"/>
    <cellStyle name="40% - 강조색5 4" xfId="25055" hidden="1"/>
    <cellStyle name="40% - 강조색5 4" xfId="25738" hidden="1"/>
    <cellStyle name="40% - 강조색5 4" xfId="25778" hidden="1"/>
    <cellStyle name="40% - 강조색5 4" xfId="25818" hidden="1"/>
    <cellStyle name="40% - 강조색5 4" xfId="25858" hidden="1"/>
    <cellStyle name="40% - 강조색5 4" xfId="25898" hidden="1"/>
    <cellStyle name="40% - 강조색5 4" xfId="25938" hidden="1"/>
    <cellStyle name="40% - 강조색5 4" xfId="25978" hidden="1"/>
    <cellStyle name="40% - 강조색5 4" xfId="26018" hidden="1"/>
    <cellStyle name="40% - 강조색5 4" xfId="26058" hidden="1"/>
    <cellStyle name="40% - 강조색5 4" xfId="26098" hidden="1"/>
    <cellStyle name="40% - 강조색5 4" xfId="26138" hidden="1"/>
    <cellStyle name="40% - 강조색5 4" xfId="26178" hidden="1"/>
    <cellStyle name="40% - 강조색5 4" xfId="25612" hidden="1"/>
    <cellStyle name="40% - 강조색5 4" xfId="25573" hidden="1"/>
    <cellStyle name="40% - 강조색5 4" xfId="26220" hidden="1"/>
    <cellStyle name="40% - 강조색5 4" xfId="26262" hidden="1"/>
    <cellStyle name="40% - 강조색5 4" xfId="26304" hidden="1"/>
    <cellStyle name="40% - 강조색5 4" xfId="26346" hidden="1"/>
    <cellStyle name="40% - 강조색5 4" xfId="26388" hidden="1"/>
    <cellStyle name="40% - 강조색5 4" xfId="26430" hidden="1"/>
    <cellStyle name="40% - 강조색5 4" xfId="26472" hidden="1"/>
    <cellStyle name="40% - 강조색5 4" xfId="26514" hidden="1"/>
    <cellStyle name="40% - 강조색5 4" xfId="26556" hidden="1"/>
    <cellStyle name="40% - 강조색5 4" xfId="26598" hidden="1"/>
    <cellStyle name="40% - 강조색5 4" xfId="25665" hidden="1"/>
    <cellStyle name="40% - 강조색5 4" xfId="26626" hidden="1"/>
    <cellStyle name="40% - 강조색5 4" xfId="26666" hidden="1"/>
    <cellStyle name="40% - 강조색5 4" xfId="26706" hidden="1"/>
    <cellStyle name="40% - 강조색5 4" xfId="26746" hidden="1"/>
    <cellStyle name="40% - 강조색5 4" xfId="26786" hidden="1"/>
    <cellStyle name="40% - 강조색5 4" xfId="26826" hidden="1"/>
    <cellStyle name="40% - 강조색5 4" xfId="26866" hidden="1"/>
    <cellStyle name="40% - 강조색5 4" xfId="26906" hidden="1"/>
    <cellStyle name="40% - 강조색5 4" xfId="26946" hidden="1"/>
    <cellStyle name="40% - 강조색5 4" xfId="26986" hidden="1"/>
    <cellStyle name="40% - 강조색5 4" xfId="27026" hidden="1"/>
    <cellStyle name="40% - 강조색5 4" xfId="27066" hidden="1"/>
    <cellStyle name="40% - 강조색5 4" xfId="27077" hidden="1"/>
    <cellStyle name="40% - 강조색5 4" xfId="27117" hidden="1"/>
    <cellStyle name="40% - 강조색5 4" xfId="27157" hidden="1"/>
    <cellStyle name="40% - 강조색5 4" xfId="27197" hidden="1"/>
    <cellStyle name="40% - 강조색5 4" xfId="27237" hidden="1"/>
    <cellStyle name="40% - 강조색5 4" xfId="27277" hidden="1"/>
    <cellStyle name="40% - 강조색5 4" xfId="27317" hidden="1"/>
    <cellStyle name="40% - 강조색5 4" xfId="27357" hidden="1"/>
    <cellStyle name="40% - 강조색5 4" xfId="27397" hidden="1"/>
    <cellStyle name="40% - 강조색5 4" xfId="27437" hidden="1"/>
    <cellStyle name="40% - 강조색5 4" xfId="27477" hidden="1"/>
    <cellStyle name="40% - 강조색5 4" xfId="27517" hidden="1"/>
    <cellStyle name="40% - 강조색5 4" xfId="27601" hidden="1"/>
    <cellStyle name="40% - 강조색5 4" xfId="27642" hidden="1"/>
    <cellStyle name="40% - 강조색5 4" xfId="27684" hidden="1"/>
    <cellStyle name="40% - 강조색5 4" xfId="27726" hidden="1"/>
    <cellStyle name="40% - 강조색5 4" xfId="27768" hidden="1"/>
    <cellStyle name="40% - 강조색5 4" xfId="27810" hidden="1"/>
    <cellStyle name="40% - 강조색5 4" xfId="27852" hidden="1"/>
    <cellStyle name="40% - 강조색5 4" xfId="27894" hidden="1"/>
    <cellStyle name="40% - 강조색5 4" xfId="27936" hidden="1"/>
    <cellStyle name="40% - 강조색5 4" xfId="27978" hidden="1"/>
    <cellStyle name="40% - 강조색5 4" xfId="28020" hidden="1"/>
    <cellStyle name="40% - 강조색5 4" xfId="28062" hidden="1"/>
    <cellStyle name="40% - 강조색5 4" xfId="27558" hidden="1"/>
    <cellStyle name="40% - 강조색5 4" xfId="28241" hidden="1"/>
    <cellStyle name="40% - 강조색5 4" xfId="28281" hidden="1"/>
    <cellStyle name="40% - 강조색5 4" xfId="28321" hidden="1"/>
    <cellStyle name="40% - 강조색5 4" xfId="28361" hidden="1"/>
    <cellStyle name="40% - 강조색5 4" xfId="28401" hidden="1"/>
    <cellStyle name="40% - 강조색5 4" xfId="28441" hidden="1"/>
    <cellStyle name="40% - 강조색5 4" xfId="28481" hidden="1"/>
    <cellStyle name="40% - 강조색5 4" xfId="28521" hidden="1"/>
    <cellStyle name="40% - 강조색5 4" xfId="28561" hidden="1"/>
    <cellStyle name="40% - 강조색5 4" xfId="28601" hidden="1"/>
    <cellStyle name="40% - 강조색5 4" xfId="28641" hidden="1"/>
    <cellStyle name="40% - 강조색5 4" xfId="28681" hidden="1"/>
    <cellStyle name="40% - 강조색5 4" xfId="28115" hidden="1"/>
    <cellStyle name="40% - 강조색5 4" xfId="28076" hidden="1"/>
    <cellStyle name="40% - 강조색5 4" xfId="28723" hidden="1"/>
    <cellStyle name="40% - 강조색5 4" xfId="28765" hidden="1"/>
    <cellStyle name="40% - 강조색5 4" xfId="28807" hidden="1"/>
    <cellStyle name="40% - 강조색5 4" xfId="28849" hidden="1"/>
    <cellStyle name="40% - 강조색5 4" xfId="28891" hidden="1"/>
    <cellStyle name="40% - 강조색5 4" xfId="28933" hidden="1"/>
    <cellStyle name="40% - 강조색5 4" xfId="28975" hidden="1"/>
    <cellStyle name="40% - 강조색5 4" xfId="29017" hidden="1"/>
    <cellStyle name="40% - 강조색5 4" xfId="29059" hidden="1"/>
    <cellStyle name="40% - 강조색5 4" xfId="29101" hidden="1"/>
    <cellStyle name="40% - 강조색5 4" xfId="28168" hidden="1"/>
    <cellStyle name="40% - 강조색5 4" xfId="29129" hidden="1"/>
    <cellStyle name="40% - 강조색5 4" xfId="29169" hidden="1"/>
    <cellStyle name="40% - 강조색5 4" xfId="29209" hidden="1"/>
    <cellStyle name="40% - 강조색5 4" xfId="29249" hidden="1"/>
    <cellStyle name="40% - 강조색5 4" xfId="29289" hidden="1"/>
    <cellStyle name="40% - 강조색5 4" xfId="29329" hidden="1"/>
    <cellStyle name="40% - 강조색5 4" xfId="29369" hidden="1"/>
    <cellStyle name="40% - 강조색5 4" xfId="29409" hidden="1"/>
    <cellStyle name="40% - 강조색5 4" xfId="29449" hidden="1"/>
    <cellStyle name="40% - 강조색5 4" xfId="29489" hidden="1"/>
    <cellStyle name="40% - 강조색5 4" xfId="29529" hidden="1"/>
    <cellStyle name="40% - 강조색5 4" xfId="29569" hidden="1"/>
    <cellStyle name="40% - 강조색5 4" xfId="29579" hidden="1"/>
    <cellStyle name="40% - 강조색5 4" xfId="29619" hidden="1"/>
    <cellStyle name="40% - 강조색5 4" xfId="29659" hidden="1"/>
    <cellStyle name="40% - 강조색5 4" xfId="29699" hidden="1"/>
    <cellStyle name="40% - 강조색5 4" xfId="29739" hidden="1"/>
    <cellStyle name="40% - 강조색5 4" xfId="29779" hidden="1"/>
    <cellStyle name="40% - 강조색5 4" xfId="29819" hidden="1"/>
    <cellStyle name="40% - 강조색5 4" xfId="29859" hidden="1"/>
    <cellStyle name="40% - 강조색5 4" xfId="29899" hidden="1"/>
    <cellStyle name="40% - 강조색5 4" xfId="29939" hidden="1"/>
    <cellStyle name="40% - 강조색5 4" xfId="29979" hidden="1"/>
    <cellStyle name="40% - 강조색5 4" xfId="30019" hidden="1"/>
    <cellStyle name="40% - 강조색5 4" xfId="30103" hidden="1"/>
    <cellStyle name="40% - 강조색5 4" xfId="30144" hidden="1"/>
    <cellStyle name="40% - 강조색5 4" xfId="30186" hidden="1"/>
    <cellStyle name="40% - 강조색5 4" xfId="30228" hidden="1"/>
    <cellStyle name="40% - 강조색5 4" xfId="30270" hidden="1"/>
    <cellStyle name="40% - 강조색5 4" xfId="30312" hidden="1"/>
    <cellStyle name="40% - 강조색5 4" xfId="30354" hidden="1"/>
    <cellStyle name="40% - 강조색5 4" xfId="30396" hidden="1"/>
    <cellStyle name="40% - 강조색5 4" xfId="30438" hidden="1"/>
    <cellStyle name="40% - 강조색5 4" xfId="30480" hidden="1"/>
    <cellStyle name="40% - 강조색5 4" xfId="30522" hidden="1"/>
    <cellStyle name="40% - 강조색5 4" xfId="30564" hidden="1"/>
    <cellStyle name="40% - 강조색5 4" xfId="30060" hidden="1"/>
    <cellStyle name="40% - 강조색5 4" xfId="30743" hidden="1"/>
    <cellStyle name="40% - 강조색5 4" xfId="30783" hidden="1"/>
    <cellStyle name="40% - 강조색5 4" xfId="30823" hidden="1"/>
    <cellStyle name="40% - 강조색5 4" xfId="30863" hidden="1"/>
    <cellStyle name="40% - 강조색5 4" xfId="30903" hidden="1"/>
    <cellStyle name="40% - 강조색5 4" xfId="30943" hidden="1"/>
    <cellStyle name="40% - 강조색5 4" xfId="30983" hidden="1"/>
    <cellStyle name="40% - 강조색5 4" xfId="31023" hidden="1"/>
    <cellStyle name="40% - 강조색5 4" xfId="31063" hidden="1"/>
    <cellStyle name="40% - 강조색5 4" xfId="31103" hidden="1"/>
    <cellStyle name="40% - 강조색5 4" xfId="31143" hidden="1"/>
    <cellStyle name="40% - 강조색5 4" xfId="31183" hidden="1"/>
    <cellStyle name="40% - 강조색5 4" xfId="30617" hidden="1"/>
    <cellStyle name="40% - 강조색5 4" xfId="30578" hidden="1"/>
    <cellStyle name="40% - 강조색5 4" xfId="31225" hidden="1"/>
    <cellStyle name="40% - 강조색5 4" xfId="31267" hidden="1"/>
    <cellStyle name="40% - 강조색5 4" xfId="31309" hidden="1"/>
    <cellStyle name="40% - 강조색5 4" xfId="31351" hidden="1"/>
    <cellStyle name="40% - 강조색5 4" xfId="31393" hidden="1"/>
    <cellStyle name="40% - 강조색5 4" xfId="31435" hidden="1"/>
    <cellStyle name="40% - 강조색5 4" xfId="31477" hidden="1"/>
    <cellStyle name="40% - 강조색5 4" xfId="31519" hidden="1"/>
    <cellStyle name="40% - 강조색5 4" xfId="31561" hidden="1"/>
    <cellStyle name="40% - 강조색5 4" xfId="31603" hidden="1"/>
    <cellStyle name="40% - 강조색5 4" xfId="30670" hidden="1"/>
    <cellStyle name="40% - 강조색5 4" xfId="31631" hidden="1"/>
    <cellStyle name="40% - 강조색5 4" xfId="31671" hidden="1"/>
    <cellStyle name="40% - 강조색5 4" xfId="31711" hidden="1"/>
    <cellStyle name="40% - 강조색5 4" xfId="31751" hidden="1"/>
    <cellStyle name="40% - 강조색5 4" xfId="31791" hidden="1"/>
    <cellStyle name="40% - 강조색5 4" xfId="31831" hidden="1"/>
    <cellStyle name="40% - 강조색5 4" xfId="31871" hidden="1"/>
    <cellStyle name="40% - 강조색5 4" xfId="31911" hidden="1"/>
    <cellStyle name="40% - 강조색5 4" xfId="31951" hidden="1"/>
    <cellStyle name="40% - 강조색5 4" xfId="31991" hidden="1"/>
    <cellStyle name="40% - 강조색5 4" xfId="32031" hidden="1"/>
    <cellStyle name="40% - 강조색5 4" xfId="32071" hidden="1"/>
    <cellStyle name="40% - 강조색5 4" xfId="32133" hidden="1"/>
    <cellStyle name="40% - 강조색5 4" xfId="32173" hidden="1"/>
    <cellStyle name="40% - 강조색5 4" xfId="32213" hidden="1"/>
    <cellStyle name="40% - 강조색5 4" xfId="32253" hidden="1"/>
    <cellStyle name="40% - 강조색5 4" xfId="32293" hidden="1"/>
    <cellStyle name="40% - 강조색5 4" xfId="32333" hidden="1"/>
    <cellStyle name="40% - 강조색5 4" xfId="32373" hidden="1"/>
    <cellStyle name="40% - 강조색5 4" xfId="32413" hidden="1"/>
    <cellStyle name="40% - 강조색5 4" xfId="32453" hidden="1"/>
    <cellStyle name="40% - 강조색5 4" xfId="32493" hidden="1"/>
    <cellStyle name="40% - 강조색5 4" xfId="32533" hidden="1"/>
    <cellStyle name="40% - 강조색5 4" xfId="32573" hidden="1"/>
    <cellStyle name="40% - 강조색5 4" xfId="32658" hidden="1"/>
    <cellStyle name="40% - 강조색5 4" xfId="32699" hidden="1"/>
    <cellStyle name="40% - 강조색5 4" xfId="32741" hidden="1"/>
    <cellStyle name="40% - 강조색5 4" xfId="32783" hidden="1"/>
    <cellStyle name="40% - 강조색5 4" xfId="32825" hidden="1"/>
    <cellStyle name="40% - 강조색5 4" xfId="32867" hidden="1"/>
    <cellStyle name="40% - 강조색5 4" xfId="32909" hidden="1"/>
    <cellStyle name="40% - 강조색5 4" xfId="32951" hidden="1"/>
    <cellStyle name="40% - 강조색5 4" xfId="32993" hidden="1"/>
    <cellStyle name="40% - 강조색5 4" xfId="33035" hidden="1"/>
    <cellStyle name="40% - 강조색5 4" xfId="33077" hidden="1"/>
    <cellStyle name="40% - 강조색5 4" xfId="33119" hidden="1"/>
    <cellStyle name="40% - 강조색5 4" xfId="32615" hidden="1"/>
    <cellStyle name="40% - 강조색5 4" xfId="33298" hidden="1"/>
    <cellStyle name="40% - 강조색5 4" xfId="33338" hidden="1"/>
    <cellStyle name="40% - 강조색5 4" xfId="33378" hidden="1"/>
    <cellStyle name="40% - 강조색5 4" xfId="33418" hidden="1"/>
    <cellStyle name="40% - 강조색5 4" xfId="33458" hidden="1"/>
    <cellStyle name="40% - 강조색5 4" xfId="33498" hidden="1"/>
    <cellStyle name="40% - 강조색5 4" xfId="33538" hidden="1"/>
    <cellStyle name="40% - 강조색5 4" xfId="33578" hidden="1"/>
    <cellStyle name="40% - 강조색5 4" xfId="33618" hidden="1"/>
    <cellStyle name="40% - 강조색5 4" xfId="33658" hidden="1"/>
    <cellStyle name="40% - 강조색5 4" xfId="33698" hidden="1"/>
    <cellStyle name="40% - 강조색5 4" xfId="33738" hidden="1"/>
    <cellStyle name="40% - 강조색5 4" xfId="33172" hidden="1"/>
    <cellStyle name="40% - 강조색5 4" xfId="33133" hidden="1"/>
    <cellStyle name="40% - 강조색5 4" xfId="33780" hidden="1"/>
    <cellStyle name="40% - 강조색5 4" xfId="33822" hidden="1"/>
    <cellStyle name="40% - 강조색5 4" xfId="33864" hidden="1"/>
    <cellStyle name="40% - 강조색5 4" xfId="33906" hidden="1"/>
    <cellStyle name="40% - 강조색5 4" xfId="33948" hidden="1"/>
    <cellStyle name="40% - 강조색5 4" xfId="33990" hidden="1"/>
    <cellStyle name="40% - 강조색5 4" xfId="34032" hidden="1"/>
    <cellStyle name="40% - 강조색5 4" xfId="34074" hidden="1"/>
    <cellStyle name="40% - 강조색5 4" xfId="34116" hidden="1"/>
    <cellStyle name="40% - 강조색5 4" xfId="34158" hidden="1"/>
    <cellStyle name="40% - 강조색5 4" xfId="33225" hidden="1"/>
    <cellStyle name="40% - 강조색5 4" xfId="34186" hidden="1"/>
    <cellStyle name="40% - 강조색5 4" xfId="34226" hidden="1"/>
    <cellStyle name="40% - 강조색5 4" xfId="34266" hidden="1"/>
    <cellStyle name="40% - 강조색5 4" xfId="34306" hidden="1"/>
    <cellStyle name="40% - 강조색5 4" xfId="34346" hidden="1"/>
    <cellStyle name="40% - 강조색5 4" xfId="34386" hidden="1"/>
    <cellStyle name="40% - 강조색5 4" xfId="34426" hidden="1"/>
    <cellStyle name="40% - 강조색5 4" xfId="34466" hidden="1"/>
    <cellStyle name="40% - 강조색5 4" xfId="34506" hidden="1"/>
    <cellStyle name="40% - 강조색5 4" xfId="34546" hidden="1"/>
    <cellStyle name="40% - 강조색5 4" xfId="34586" hidden="1"/>
    <cellStyle name="40% - 강조색5 4" xfId="34626" hidden="1"/>
    <cellStyle name="40% - 강조색5 4" xfId="34723" hidden="1"/>
    <cellStyle name="40% - 강조색5 4" xfId="34763" hidden="1"/>
    <cellStyle name="40% - 강조색5 4" xfId="34803" hidden="1"/>
    <cellStyle name="40% - 강조색5 4" xfId="34843" hidden="1"/>
    <cellStyle name="40% - 강조색5 4" xfId="34883" hidden="1"/>
    <cellStyle name="40% - 강조색5 4" xfId="34923" hidden="1"/>
    <cellStyle name="40% - 강조색5 4" xfId="34963" hidden="1"/>
    <cellStyle name="40% - 강조색5 4" xfId="35003" hidden="1"/>
    <cellStyle name="40% - 강조색5 4" xfId="35043" hidden="1"/>
    <cellStyle name="40% - 강조색5 4" xfId="35083" hidden="1"/>
    <cellStyle name="40% - 강조색5 4" xfId="35123" hidden="1"/>
    <cellStyle name="40% - 강조색5 4" xfId="35163" hidden="1"/>
    <cellStyle name="40% - 강조색5 4" xfId="35247" hidden="1"/>
    <cellStyle name="40% - 강조색5 4" xfId="35288" hidden="1"/>
    <cellStyle name="40% - 강조색5 4" xfId="35330" hidden="1"/>
    <cellStyle name="40% - 강조색5 4" xfId="35372" hidden="1"/>
    <cellStyle name="40% - 강조색5 4" xfId="35414" hidden="1"/>
    <cellStyle name="40% - 강조색5 4" xfId="35456" hidden="1"/>
    <cellStyle name="40% - 강조색5 4" xfId="35498" hidden="1"/>
    <cellStyle name="40% - 강조색5 4" xfId="35540" hidden="1"/>
    <cellStyle name="40% - 강조색5 4" xfId="35582" hidden="1"/>
    <cellStyle name="40% - 강조색5 4" xfId="35624" hidden="1"/>
    <cellStyle name="40% - 강조색5 4" xfId="35666" hidden="1"/>
    <cellStyle name="40% - 강조색5 4" xfId="35708" hidden="1"/>
    <cellStyle name="40% - 강조색5 4" xfId="35204" hidden="1"/>
    <cellStyle name="40% - 강조색5 4" xfId="35887" hidden="1"/>
    <cellStyle name="40% - 강조색5 4" xfId="35927" hidden="1"/>
    <cellStyle name="40% - 강조색5 4" xfId="35967" hidden="1"/>
    <cellStyle name="40% - 강조색5 4" xfId="36007" hidden="1"/>
    <cellStyle name="40% - 강조색5 4" xfId="36047" hidden="1"/>
    <cellStyle name="40% - 강조색5 4" xfId="36087" hidden="1"/>
    <cellStyle name="40% - 강조색5 4" xfId="36127" hidden="1"/>
    <cellStyle name="40% - 강조색5 4" xfId="36167" hidden="1"/>
    <cellStyle name="40% - 강조색5 4" xfId="36207" hidden="1"/>
    <cellStyle name="40% - 강조색5 4" xfId="36247" hidden="1"/>
    <cellStyle name="40% - 강조색5 4" xfId="36287" hidden="1"/>
    <cellStyle name="40% - 강조색5 4" xfId="36327" hidden="1"/>
    <cellStyle name="40% - 강조색5 4" xfId="35761" hidden="1"/>
    <cellStyle name="40% - 강조색5 4" xfId="35722" hidden="1"/>
    <cellStyle name="40% - 강조색5 4" xfId="36369" hidden="1"/>
    <cellStyle name="40% - 강조색5 4" xfId="36411" hidden="1"/>
    <cellStyle name="40% - 강조색5 4" xfId="36453" hidden="1"/>
    <cellStyle name="40% - 강조색5 4" xfId="36495" hidden="1"/>
    <cellStyle name="40% - 강조색5 4" xfId="36537" hidden="1"/>
    <cellStyle name="40% - 강조색5 4" xfId="36579" hidden="1"/>
    <cellStyle name="40% - 강조색5 4" xfId="36621" hidden="1"/>
    <cellStyle name="40% - 강조색5 4" xfId="36663" hidden="1"/>
    <cellStyle name="40% - 강조색5 4" xfId="36705" hidden="1"/>
    <cellStyle name="40% - 강조색5 4" xfId="36747" hidden="1"/>
    <cellStyle name="40% - 강조색5 4" xfId="35814" hidden="1"/>
    <cellStyle name="40% - 강조색5 4" xfId="36775" hidden="1"/>
    <cellStyle name="40% - 강조색5 4" xfId="36815" hidden="1"/>
    <cellStyle name="40% - 강조색5 4" xfId="36855" hidden="1"/>
    <cellStyle name="40% - 강조색5 4" xfId="36895" hidden="1"/>
    <cellStyle name="40% - 강조색5 4" xfId="36935" hidden="1"/>
    <cellStyle name="40% - 강조색5 4" xfId="36975" hidden="1"/>
    <cellStyle name="40% - 강조색5 4" xfId="37015" hidden="1"/>
    <cellStyle name="40% - 강조색5 4" xfId="37055" hidden="1"/>
    <cellStyle name="40% - 강조색5 4" xfId="37095" hidden="1"/>
    <cellStyle name="40% - 강조색5 4" xfId="37135" hidden="1"/>
    <cellStyle name="40% - 강조색5 4" xfId="37175" hidden="1"/>
    <cellStyle name="40% - 강조색5 4" xfId="37215" hidden="1"/>
    <cellStyle name="40% - 강조색5 4" xfId="37226" hidden="1"/>
    <cellStyle name="40% - 강조색5 4" xfId="37266" hidden="1"/>
    <cellStyle name="40% - 강조색5 4" xfId="37307" hidden="1"/>
    <cellStyle name="40% - 강조색5 4" xfId="37347" hidden="1"/>
    <cellStyle name="40% - 강조색5 4" xfId="37387" hidden="1"/>
    <cellStyle name="40% - 강조색5 4" xfId="37427" hidden="1"/>
    <cellStyle name="40% - 강조색5 4" xfId="37467" hidden="1"/>
    <cellStyle name="40% - 강조색5 4" xfId="37507" hidden="1"/>
    <cellStyle name="40% - 강조색5 4" xfId="37547" hidden="1"/>
    <cellStyle name="40% - 강조색5 4" xfId="37587" hidden="1"/>
    <cellStyle name="40% - 강조색5 4" xfId="37627" hidden="1"/>
    <cellStyle name="40% - 강조색5 4" xfId="37667" hidden="1"/>
    <cellStyle name="40% - 강조색5 4" xfId="37751" hidden="1"/>
    <cellStyle name="40% - 강조색5 4" xfId="37792" hidden="1"/>
    <cellStyle name="40% - 강조색5 4" xfId="37834" hidden="1"/>
    <cellStyle name="40% - 강조색5 4" xfId="37876" hidden="1"/>
    <cellStyle name="40% - 강조색5 4" xfId="37918" hidden="1"/>
    <cellStyle name="40% - 강조색5 4" xfId="37960" hidden="1"/>
    <cellStyle name="40% - 강조색5 4" xfId="38002" hidden="1"/>
    <cellStyle name="40% - 강조색5 4" xfId="38044" hidden="1"/>
    <cellStyle name="40% - 강조색5 4" xfId="38086" hidden="1"/>
    <cellStyle name="40% - 강조색5 4" xfId="38128" hidden="1"/>
    <cellStyle name="40% - 강조색5 4" xfId="38170" hidden="1"/>
    <cellStyle name="40% - 강조색5 4" xfId="38212" hidden="1"/>
    <cellStyle name="40% - 강조색5 4" xfId="37708" hidden="1"/>
    <cellStyle name="40% - 강조색5 4" xfId="38391" hidden="1"/>
    <cellStyle name="40% - 강조색5 4" xfId="38431" hidden="1"/>
    <cellStyle name="40% - 강조색5 4" xfId="38471" hidden="1"/>
    <cellStyle name="40% - 강조색5 4" xfId="38511" hidden="1"/>
    <cellStyle name="40% - 강조색5 4" xfId="38551" hidden="1"/>
    <cellStyle name="40% - 강조색5 4" xfId="38591" hidden="1"/>
    <cellStyle name="40% - 강조색5 4" xfId="38631" hidden="1"/>
    <cellStyle name="40% - 강조색5 4" xfId="38671" hidden="1"/>
    <cellStyle name="40% - 강조색5 4" xfId="38711" hidden="1"/>
    <cellStyle name="40% - 강조색5 4" xfId="38751" hidden="1"/>
    <cellStyle name="40% - 강조색5 4" xfId="38791" hidden="1"/>
    <cellStyle name="40% - 강조색5 4" xfId="38831" hidden="1"/>
    <cellStyle name="40% - 강조색5 4" xfId="38265" hidden="1"/>
    <cellStyle name="40% - 강조색5 4" xfId="38226" hidden="1"/>
    <cellStyle name="40% - 강조색5 4" xfId="38873" hidden="1"/>
    <cellStyle name="40% - 강조색5 4" xfId="38915" hidden="1"/>
    <cellStyle name="40% - 강조색5 4" xfId="38957" hidden="1"/>
    <cellStyle name="40% - 강조색5 4" xfId="38999" hidden="1"/>
    <cellStyle name="40% - 강조색5 4" xfId="39041" hidden="1"/>
    <cellStyle name="40% - 강조색5 4" xfId="39083" hidden="1"/>
    <cellStyle name="40% - 강조색5 4" xfId="39125" hidden="1"/>
    <cellStyle name="40% - 강조색5 4" xfId="39167" hidden="1"/>
    <cellStyle name="40% - 강조색5 4" xfId="39209" hidden="1"/>
    <cellStyle name="40% - 강조색5 4" xfId="39251" hidden="1"/>
    <cellStyle name="40% - 강조색5 4" xfId="38318" hidden="1"/>
    <cellStyle name="40% - 강조색5 4" xfId="39279" hidden="1"/>
    <cellStyle name="40% - 강조색5 4" xfId="39319" hidden="1"/>
    <cellStyle name="40% - 강조색5 4" xfId="39359" hidden="1"/>
    <cellStyle name="40% - 강조색5 4" xfId="39399" hidden="1"/>
    <cellStyle name="40% - 강조색5 4" xfId="39439" hidden="1"/>
    <cellStyle name="40% - 강조색5 4" xfId="39479" hidden="1"/>
    <cellStyle name="40% - 강조색5 4" xfId="39519" hidden="1"/>
    <cellStyle name="40% - 강조색5 4" xfId="39559" hidden="1"/>
    <cellStyle name="40% - 강조색5 4" xfId="39599" hidden="1"/>
    <cellStyle name="40% - 강조색5 4" xfId="39639" hidden="1"/>
    <cellStyle name="40% - 강조색5 4" xfId="39679" hidden="1"/>
    <cellStyle name="40% - 강조색5 4" xfId="39719" hidden="1"/>
    <cellStyle name="40% - 강조색5 4" xfId="39729" hidden="1"/>
    <cellStyle name="40% - 강조색5 4" xfId="39769" hidden="1"/>
    <cellStyle name="40% - 강조색5 4" xfId="39809" hidden="1"/>
    <cellStyle name="40% - 강조색5 4" xfId="39849" hidden="1"/>
    <cellStyle name="40% - 강조색5 4" xfId="39889" hidden="1"/>
    <cellStyle name="40% - 강조색5 4" xfId="39929" hidden="1"/>
    <cellStyle name="40% - 강조색5 4" xfId="39969" hidden="1"/>
    <cellStyle name="40% - 강조색5 4" xfId="40009" hidden="1"/>
    <cellStyle name="40% - 강조색5 4" xfId="40049" hidden="1"/>
    <cellStyle name="40% - 강조색5 4" xfId="40089" hidden="1"/>
    <cellStyle name="40% - 강조색5 4" xfId="40129" hidden="1"/>
    <cellStyle name="40% - 강조색5 4" xfId="40169" hidden="1"/>
    <cellStyle name="40% - 강조색5 4" xfId="40253" hidden="1"/>
    <cellStyle name="40% - 강조색5 4" xfId="40294" hidden="1"/>
    <cellStyle name="40% - 강조색5 4" xfId="40336" hidden="1"/>
    <cellStyle name="40% - 강조색5 4" xfId="40378" hidden="1"/>
    <cellStyle name="40% - 강조색5 4" xfId="40420" hidden="1"/>
    <cellStyle name="40% - 강조색5 4" xfId="40462" hidden="1"/>
    <cellStyle name="40% - 강조색5 4" xfId="40504" hidden="1"/>
    <cellStyle name="40% - 강조색5 4" xfId="40546" hidden="1"/>
    <cellStyle name="40% - 강조색5 4" xfId="40588" hidden="1"/>
    <cellStyle name="40% - 강조색5 4" xfId="40630" hidden="1"/>
    <cellStyle name="40% - 강조색5 4" xfId="40672" hidden="1"/>
    <cellStyle name="40% - 강조색5 4" xfId="40714" hidden="1"/>
    <cellStyle name="40% - 강조색5 4" xfId="40210" hidden="1"/>
    <cellStyle name="40% - 강조색5 4" xfId="40893" hidden="1"/>
    <cellStyle name="40% - 강조색5 4" xfId="40933" hidden="1"/>
    <cellStyle name="40% - 강조색5 4" xfId="40973" hidden="1"/>
    <cellStyle name="40% - 강조색5 4" xfId="41013" hidden="1"/>
    <cellStyle name="40% - 강조색5 4" xfId="41053" hidden="1"/>
    <cellStyle name="40% - 강조색5 4" xfId="41093" hidden="1"/>
    <cellStyle name="40% - 강조색5 4" xfId="41133" hidden="1"/>
    <cellStyle name="40% - 강조색5 4" xfId="41173" hidden="1"/>
    <cellStyle name="40% - 강조색5 4" xfId="41213" hidden="1"/>
    <cellStyle name="40% - 강조색5 4" xfId="41253" hidden="1"/>
    <cellStyle name="40% - 강조색5 4" xfId="41293" hidden="1"/>
    <cellStyle name="40% - 강조색5 4" xfId="41333" hidden="1"/>
    <cellStyle name="40% - 강조색5 4" xfId="40767" hidden="1"/>
    <cellStyle name="40% - 강조색5 4" xfId="40728" hidden="1"/>
    <cellStyle name="40% - 강조색5 4" xfId="41375" hidden="1"/>
    <cellStyle name="40% - 강조색5 4" xfId="41417" hidden="1"/>
    <cellStyle name="40% - 강조색5 4" xfId="41459" hidden="1"/>
    <cellStyle name="40% - 강조색5 4" xfId="41501" hidden="1"/>
    <cellStyle name="40% - 강조색5 4" xfId="41543" hidden="1"/>
    <cellStyle name="40% - 강조색5 4" xfId="41585" hidden="1"/>
    <cellStyle name="40% - 강조색5 4" xfId="41627" hidden="1"/>
    <cellStyle name="40% - 강조색5 4" xfId="41669" hidden="1"/>
    <cellStyle name="40% - 강조색5 4" xfId="41711" hidden="1"/>
    <cellStyle name="40% - 강조색5 4" xfId="41753" hidden="1"/>
    <cellStyle name="40% - 강조색5 4" xfId="40820" hidden="1"/>
    <cellStyle name="40% - 강조색5 4" xfId="41781" hidden="1"/>
    <cellStyle name="40% - 강조색5 4" xfId="41821" hidden="1"/>
    <cellStyle name="40% - 강조색5 4" xfId="41861" hidden="1"/>
    <cellStyle name="40% - 강조색5 4" xfId="41901" hidden="1"/>
    <cellStyle name="40% - 강조색5 4" xfId="41941" hidden="1"/>
    <cellStyle name="40% - 강조색5 4" xfId="41981" hidden="1"/>
    <cellStyle name="40% - 강조색5 4" xfId="42021" hidden="1"/>
    <cellStyle name="40% - 강조색5 4" xfId="42061" hidden="1"/>
    <cellStyle name="40% - 강조색5 4" xfId="42101" hidden="1"/>
    <cellStyle name="40% - 강조색5 4" xfId="42141" hidden="1"/>
    <cellStyle name="40% - 강조색5 4" xfId="42181" hidden="1"/>
    <cellStyle name="40% - 강조색5 4" xfId="42221" hidden="1"/>
    <cellStyle name="40% - 강조색5 4" xfId="42264" hidden="1"/>
    <cellStyle name="40% - 강조색5 4" xfId="42304" hidden="1"/>
    <cellStyle name="40% - 강조색5 4" xfId="42344" hidden="1"/>
    <cellStyle name="40% - 강조색5 4" xfId="42384" hidden="1"/>
    <cellStyle name="40% - 강조색5 4" xfId="42424" hidden="1"/>
    <cellStyle name="40% - 강조색5 4" xfId="42464" hidden="1"/>
    <cellStyle name="40% - 강조색5 4" xfId="42504" hidden="1"/>
    <cellStyle name="40% - 강조색5 4" xfId="42544" hidden="1"/>
    <cellStyle name="40% - 강조색5 4" xfId="42584" hidden="1"/>
    <cellStyle name="40% - 강조색5 4" xfId="42624" hidden="1"/>
    <cellStyle name="40% - 강조색5 4" xfId="42664" hidden="1"/>
    <cellStyle name="40% - 강조색5 4" xfId="42704" hidden="1"/>
    <cellStyle name="40% - 강조색5 4" xfId="42788" hidden="1"/>
    <cellStyle name="40% - 강조색5 4" xfId="42829" hidden="1"/>
    <cellStyle name="40% - 강조색5 4" xfId="42871" hidden="1"/>
    <cellStyle name="40% - 강조색5 4" xfId="42913" hidden="1"/>
    <cellStyle name="40% - 강조색5 4" xfId="42955" hidden="1"/>
    <cellStyle name="40% - 강조색5 4" xfId="42997" hidden="1"/>
    <cellStyle name="40% - 강조색5 4" xfId="43039" hidden="1"/>
    <cellStyle name="40% - 강조색5 4" xfId="43081" hidden="1"/>
    <cellStyle name="40% - 강조색5 4" xfId="43123" hidden="1"/>
    <cellStyle name="40% - 강조색5 4" xfId="43165" hidden="1"/>
    <cellStyle name="40% - 강조색5 4" xfId="43207" hidden="1"/>
    <cellStyle name="40% - 강조색5 4" xfId="43249" hidden="1"/>
    <cellStyle name="40% - 강조색5 4" xfId="42745" hidden="1"/>
    <cellStyle name="40% - 강조색5 4" xfId="43428" hidden="1"/>
    <cellStyle name="40% - 강조색5 4" xfId="43468" hidden="1"/>
    <cellStyle name="40% - 강조색5 4" xfId="43508" hidden="1"/>
    <cellStyle name="40% - 강조색5 4" xfId="43548" hidden="1"/>
    <cellStyle name="40% - 강조색5 4" xfId="43588" hidden="1"/>
    <cellStyle name="40% - 강조색5 4" xfId="43628" hidden="1"/>
    <cellStyle name="40% - 강조색5 4" xfId="43668" hidden="1"/>
    <cellStyle name="40% - 강조색5 4" xfId="43708" hidden="1"/>
    <cellStyle name="40% - 강조색5 4" xfId="43748" hidden="1"/>
    <cellStyle name="40% - 강조색5 4" xfId="43788" hidden="1"/>
    <cellStyle name="40% - 강조색5 4" xfId="43828" hidden="1"/>
    <cellStyle name="40% - 강조색5 4" xfId="43868" hidden="1"/>
    <cellStyle name="40% - 강조색5 4" xfId="43302" hidden="1"/>
    <cellStyle name="40% - 강조색5 4" xfId="43263" hidden="1"/>
    <cellStyle name="40% - 강조색5 4" xfId="43910" hidden="1"/>
    <cellStyle name="40% - 강조색5 4" xfId="43952" hidden="1"/>
    <cellStyle name="40% - 강조색5 4" xfId="43994" hidden="1"/>
    <cellStyle name="40% - 강조색5 4" xfId="44036" hidden="1"/>
    <cellStyle name="40% - 강조색5 4" xfId="44078" hidden="1"/>
    <cellStyle name="40% - 강조색5 4" xfId="44120" hidden="1"/>
    <cellStyle name="40% - 강조색5 4" xfId="44162" hidden="1"/>
    <cellStyle name="40% - 강조색5 4" xfId="44204" hidden="1"/>
    <cellStyle name="40% - 강조색5 4" xfId="44246" hidden="1"/>
    <cellStyle name="40% - 강조색5 4" xfId="44288" hidden="1"/>
    <cellStyle name="40% - 강조색5 4" xfId="43355" hidden="1"/>
    <cellStyle name="40% - 강조색5 4" xfId="44316" hidden="1"/>
    <cellStyle name="40% - 강조색5 4" xfId="44356" hidden="1"/>
    <cellStyle name="40% - 강조색5 4" xfId="44396" hidden="1"/>
    <cellStyle name="40% - 강조색5 4" xfId="44436" hidden="1"/>
    <cellStyle name="40% - 강조색5 4" xfId="44476" hidden="1"/>
    <cellStyle name="40% - 강조색5 4" xfId="44516" hidden="1"/>
    <cellStyle name="40% - 강조색5 4" xfId="44556" hidden="1"/>
    <cellStyle name="40% - 강조색5 4" xfId="44596" hidden="1"/>
    <cellStyle name="40% - 강조색5 4" xfId="44636" hidden="1"/>
    <cellStyle name="40% - 강조색5 4" xfId="44676" hidden="1"/>
    <cellStyle name="40% - 강조색5 4" xfId="44716" hidden="1"/>
    <cellStyle name="40% - 강조색5 4" xfId="44756" hidden="1"/>
    <cellStyle name="40% - 강조색5 4" xfId="44852" hidden="1"/>
    <cellStyle name="40% - 강조색5 4" xfId="44892" hidden="1"/>
    <cellStyle name="40% - 강조색5 4" xfId="44934" hidden="1"/>
    <cellStyle name="40% - 강조색5 4" xfId="44975" hidden="1"/>
    <cellStyle name="40% - 강조색5 4" xfId="45015" hidden="1"/>
    <cellStyle name="40% - 강조색5 4" xfId="45055" hidden="1"/>
    <cellStyle name="40% - 강조색5 4" xfId="45095" hidden="1"/>
    <cellStyle name="40% - 강조색5 4" xfId="45135" hidden="1"/>
    <cellStyle name="40% - 강조색5 4" xfId="45175" hidden="1"/>
    <cellStyle name="40% - 강조색5 4" xfId="45215" hidden="1"/>
    <cellStyle name="40% - 강조색5 4" xfId="45255" hidden="1"/>
    <cellStyle name="40% - 강조색5 4" xfId="45295" hidden="1"/>
    <cellStyle name="40% - 강조색5 4" xfId="45379" hidden="1"/>
    <cellStyle name="40% - 강조색5 4" xfId="45420" hidden="1"/>
    <cellStyle name="40% - 강조색5 4" xfId="45462" hidden="1"/>
    <cellStyle name="40% - 강조색5 4" xfId="45504" hidden="1"/>
    <cellStyle name="40% - 강조색5 4" xfId="45546" hidden="1"/>
    <cellStyle name="40% - 강조색5 4" xfId="45588" hidden="1"/>
    <cellStyle name="40% - 강조색5 4" xfId="45630" hidden="1"/>
    <cellStyle name="40% - 강조색5 4" xfId="45672" hidden="1"/>
    <cellStyle name="40% - 강조색5 4" xfId="45714" hidden="1"/>
    <cellStyle name="40% - 강조색5 4" xfId="45756" hidden="1"/>
    <cellStyle name="40% - 강조색5 4" xfId="45798" hidden="1"/>
    <cellStyle name="40% - 강조색5 4" xfId="45840" hidden="1"/>
    <cellStyle name="40% - 강조색5 4" xfId="45336" hidden="1"/>
    <cellStyle name="40% - 강조색5 4" xfId="46019" hidden="1"/>
    <cellStyle name="40% - 강조색5 4" xfId="46059" hidden="1"/>
    <cellStyle name="40% - 강조색5 4" xfId="46099" hidden="1"/>
    <cellStyle name="40% - 강조색5 4" xfId="46139" hidden="1"/>
    <cellStyle name="40% - 강조색5 4" xfId="46179" hidden="1"/>
    <cellStyle name="40% - 강조색5 4" xfId="46219" hidden="1"/>
    <cellStyle name="40% - 강조색5 4" xfId="46259" hidden="1"/>
    <cellStyle name="40% - 강조색5 4" xfId="46299" hidden="1"/>
    <cellStyle name="40% - 강조색5 4" xfId="46339" hidden="1"/>
    <cellStyle name="40% - 강조색5 4" xfId="46379" hidden="1"/>
    <cellStyle name="40% - 강조색5 4" xfId="46419" hidden="1"/>
    <cellStyle name="40% - 강조색5 4" xfId="46459" hidden="1"/>
    <cellStyle name="40% - 강조색5 4" xfId="45893" hidden="1"/>
    <cellStyle name="40% - 강조색5 4" xfId="45854" hidden="1"/>
    <cellStyle name="40% - 강조색5 4" xfId="46501" hidden="1"/>
    <cellStyle name="40% - 강조색5 4" xfId="46543" hidden="1"/>
    <cellStyle name="40% - 강조색5 4" xfId="46585" hidden="1"/>
    <cellStyle name="40% - 강조색5 4" xfId="46627" hidden="1"/>
    <cellStyle name="40% - 강조색5 4" xfId="46669" hidden="1"/>
    <cellStyle name="40% - 강조색5 4" xfId="46711" hidden="1"/>
    <cellStyle name="40% - 강조색5 4" xfId="46753" hidden="1"/>
    <cellStyle name="40% - 강조색5 4" xfId="46795" hidden="1"/>
    <cellStyle name="40% - 강조색5 4" xfId="46837" hidden="1"/>
    <cellStyle name="40% - 강조색5 4" xfId="46879" hidden="1"/>
    <cellStyle name="40% - 강조색5 4" xfId="45946" hidden="1"/>
    <cellStyle name="40% - 강조색5 4" xfId="46907" hidden="1"/>
    <cellStyle name="40% - 강조색5 4" xfId="46947" hidden="1"/>
    <cellStyle name="40% - 강조색5 4" xfId="46987" hidden="1"/>
    <cellStyle name="40% - 강조색5 4" xfId="47027" hidden="1"/>
    <cellStyle name="40% - 강조색5 4" xfId="47067" hidden="1"/>
    <cellStyle name="40% - 강조색5 4" xfId="47107" hidden="1"/>
    <cellStyle name="40% - 강조색5 4" xfId="47147" hidden="1"/>
    <cellStyle name="40% - 강조색5 4" xfId="47187" hidden="1"/>
    <cellStyle name="40% - 강조색5 4" xfId="47227" hidden="1"/>
    <cellStyle name="40% - 강조색5 4" xfId="47267" hidden="1"/>
    <cellStyle name="40% - 강조색5 4" xfId="47307" hidden="1"/>
    <cellStyle name="40% - 강조색5 4" xfId="47347" hidden="1"/>
    <cellStyle name="40% - 강조색5 4" xfId="47358" hidden="1"/>
    <cellStyle name="40% - 강조색5 4" xfId="47398" hidden="1"/>
    <cellStyle name="40% - 강조색5 4" xfId="47438" hidden="1"/>
    <cellStyle name="40% - 강조색5 4" xfId="47478" hidden="1"/>
    <cellStyle name="40% - 강조색5 4" xfId="47518" hidden="1"/>
    <cellStyle name="40% - 강조색5 4" xfId="47558" hidden="1"/>
    <cellStyle name="40% - 강조색5 4" xfId="47598" hidden="1"/>
    <cellStyle name="40% - 강조색5 4" xfId="47638" hidden="1"/>
    <cellStyle name="40% - 강조색5 4" xfId="47678" hidden="1"/>
    <cellStyle name="40% - 강조색5 4" xfId="47718" hidden="1"/>
    <cellStyle name="40% - 강조색5 4" xfId="47758" hidden="1"/>
    <cellStyle name="40% - 강조색5 4" xfId="47798" hidden="1"/>
    <cellStyle name="40% - 강조색5 4" xfId="47882" hidden="1"/>
    <cellStyle name="40% - 강조색5 4" xfId="47923" hidden="1"/>
    <cellStyle name="40% - 강조색5 4" xfId="47965" hidden="1"/>
    <cellStyle name="40% - 강조색5 4" xfId="48007" hidden="1"/>
    <cellStyle name="40% - 강조색5 4" xfId="48049" hidden="1"/>
    <cellStyle name="40% - 강조색5 4" xfId="48091" hidden="1"/>
    <cellStyle name="40% - 강조색5 4" xfId="48133" hidden="1"/>
    <cellStyle name="40% - 강조색5 4" xfId="48175" hidden="1"/>
    <cellStyle name="40% - 강조색5 4" xfId="48217" hidden="1"/>
    <cellStyle name="40% - 강조색5 4" xfId="48259" hidden="1"/>
    <cellStyle name="40% - 강조색5 4" xfId="48301" hidden="1"/>
    <cellStyle name="40% - 강조색5 4" xfId="48343" hidden="1"/>
    <cellStyle name="40% - 강조색5 4" xfId="47839" hidden="1"/>
    <cellStyle name="40% - 강조색5 4" xfId="48522" hidden="1"/>
    <cellStyle name="40% - 강조색5 4" xfId="48562" hidden="1"/>
    <cellStyle name="40% - 강조색5 4" xfId="48602" hidden="1"/>
    <cellStyle name="40% - 강조색5 4" xfId="48642" hidden="1"/>
    <cellStyle name="40% - 강조색5 4" xfId="48682" hidden="1"/>
    <cellStyle name="40% - 강조색5 4" xfId="48722" hidden="1"/>
    <cellStyle name="40% - 강조색5 4" xfId="48762" hidden="1"/>
    <cellStyle name="40% - 강조색5 4" xfId="48802" hidden="1"/>
    <cellStyle name="40% - 강조색5 4" xfId="48842" hidden="1"/>
    <cellStyle name="40% - 강조색5 4" xfId="48882" hidden="1"/>
    <cellStyle name="40% - 강조색5 4" xfId="48922" hidden="1"/>
    <cellStyle name="40% - 강조색5 4" xfId="48962" hidden="1"/>
    <cellStyle name="40% - 강조색5 4" xfId="48396" hidden="1"/>
    <cellStyle name="40% - 강조색5 4" xfId="48357" hidden="1"/>
    <cellStyle name="40% - 강조색5 4" xfId="49004" hidden="1"/>
    <cellStyle name="40% - 강조색5 4" xfId="49046" hidden="1"/>
    <cellStyle name="40% - 강조색5 4" xfId="49088" hidden="1"/>
    <cellStyle name="40% - 강조색5 4" xfId="49130" hidden="1"/>
    <cellStyle name="40% - 강조색5 4" xfId="49172" hidden="1"/>
    <cellStyle name="40% - 강조색5 4" xfId="49214" hidden="1"/>
    <cellStyle name="40% - 강조색5 4" xfId="49256" hidden="1"/>
    <cellStyle name="40% - 강조색5 4" xfId="49298" hidden="1"/>
    <cellStyle name="40% - 강조색5 4" xfId="49340" hidden="1"/>
    <cellStyle name="40% - 강조색5 4" xfId="49382" hidden="1"/>
    <cellStyle name="40% - 강조색5 4" xfId="48449" hidden="1"/>
    <cellStyle name="40% - 강조색5 4" xfId="49410" hidden="1"/>
    <cellStyle name="40% - 강조색5 4" xfId="49450" hidden="1"/>
    <cellStyle name="40% - 강조색5 4" xfId="49490" hidden="1"/>
    <cellStyle name="40% - 강조색5 4" xfId="49530" hidden="1"/>
    <cellStyle name="40% - 강조색5 4" xfId="49570" hidden="1"/>
    <cellStyle name="40% - 강조색5 4" xfId="49610" hidden="1"/>
    <cellStyle name="40% - 강조색5 4" xfId="49650" hidden="1"/>
    <cellStyle name="40% - 강조색5 4" xfId="49690" hidden="1"/>
    <cellStyle name="40% - 강조색5 4" xfId="49730" hidden="1"/>
    <cellStyle name="40% - 강조색5 4" xfId="49770" hidden="1"/>
    <cellStyle name="40% - 강조색5 4" xfId="49810" hidden="1"/>
    <cellStyle name="40% - 강조색5 4" xfId="49850" hidden="1"/>
    <cellStyle name="40% - 강조색5 4" xfId="49860" hidden="1"/>
    <cellStyle name="40% - 강조색5 4" xfId="49900" hidden="1"/>
    <cellStyle name="40% - 강조색5 4" xfId="49940" hidden="1"/>
    <cellStyle name="40% - 강조색5 4" xfId="49980" hidden="1"/>
    <cellStyle name="40% - 강조색5 4" xfId="50020" hidden="1"/>
    <cellStyle name="40% - 강조색5 4" xfId="50060" hidden="1"/>
    <cellStyle name="40% - 강조색5 4" xfId="50100" hidden="1"/>
    <cellStyle name="40% - 강조색5 4" xfId="50140" hidden="1"/>
    <cellStyle name="40% - 강조색5 4" xfId="50180" hidden="1"/>
    <cellStyle name="40% - 강조색5 4" xfId="50220" hidden="1"/>
    <cellStyle name="40% - 강조색5 4" xfId="50260" hidden="1"/>
    <cellStyle name="40% - 강조색5 4" xfId="50300" hidden="1"/>
    <cellStyle name="40% - 강조색5 4" xfId="50384" hidden="1"/>
    <cellStyle name="40% - 강조색5 4" xfId="50425" hidden="1"/>
    <cellStyle name="40% - 강조색5 4" xfId="50467" hidden="1"/>
    <cellStyle name="40% - 강조색5 4" xfId="50509" hidden="1"/>
    <cellStyle name="40% - 강조색5 4" xfId="50551" hidden="1"/>
    <cellStyle name="40% - 강조색5 4" xfId="50593" hidden="1"/>
    <cellStyle name="40% - 강조색5 4" xfId="50635" hidden="1"/>
    <cellStyle name="40% - 강조색5 4" xfId="50677" hidden="1"/>
    <cellStyle name="40% - 강조색5 4" xfId="50719" hidden="1"/>
    <cellStyle name="40% - 강조색5 4" xfId="50761" hidden="1"/>
    <cellStyle name="40% - 강조색5 4" xfId="50803" hidden="1"/>
    <cellStyle name="40% - 강조색5 4" xfId="50845" hidden="1"/>
    <cellStyle name="40% - 강조색5 4" xfId="50341" hidden="1"/>
    <cellStyle name="40% - 강조색5 4" xfId="51024" hidden="1"/>
    <cellStyle name="40% - 강조색5 4" xfId="51064" hidden="1"/>
    <cellStyle name="40% - 강조색5 4" xfId="51104" hidden="1"/>
    <cellStyle name="40% - 강조색5 4" xfId="51144" hidden="1"/>
    <cellStyle name="40% - 강조색5 4" xfId="51184" hidden="1"/>
    <cellStyle name="40% - 강조색5 4" xfId="51224" hidden="1"/>
    <cellStyle name="40% - 강조색5 4" xfId="51264" hidden="1"/>
    <cellStyle name="40% - 강조색5 4" xfId="51304" hidden="1"/>
    <cellStyle name="40% - 강조색5 4" xfId="51344" hidden="1"/>
    <cellStyle name="40% - 강조색5 4" xfId="51384" hidden="1"/>
    <cellStyle name="40% - 강조색5 4" xfId="51424" hidden="1"/>
    <cellStyle name="40% - 강조색5 4" xfId="51464" hidden="1"/>
    <cellStyle name="40% - 강조색5 4" xfId="50898" hidden="1"/>
    <cellStyle name="40% - 강조색5 4" xfId="50859" hidden="1"/>
    <cellStyle name="40% - 강조색5 4" xfId="51506" hidden="1"/>
    <cellStyle name="40% - 강조색5 4" xfId="51548" hidden="1"/>
    <cellStyle name="40% - 강조색5 4" xfId="51590" hidden="1"/>
    <cellStyle name="40% - 강조색5 4" xfId="51632" hidden="1"/>
    <cellStyle name="40% - 강조색5 4" xfId="51674" hidden="1"/>
    <cellStyle name="40% - 강조색5 4" xfId="51716" hidden="1"/>
    <cellStyle name="40% - 강조색5 4" xfId="51758" hidden="1"/>
    <cellStyle name="40% - 강조색5 4" xfId="51800" hidden="1"/>
    <cellStyle name="40% - 강조색5 4" xfId="51842" hidden="1"/>
    <cellStyle name="40% - 강조색5 4" xfId="51884" hidden="1"/>
    <cellStyle name="40% - 강조색5 4" xfId="50951" hidden="1"/>
    <cellStyle name="40% - 강조색5 4" xfId="51912" hidden="1"/>
    <cellStyle name="40% - 강조색5 4" xfId="51952" hidden="1"/>
    <cellStyle name="40% - 강조색5 4" xfId="51992" hidden="1"/>
    <cellStyle name="40% - 강조색5 4" xfId="52032" hidden="1"/>
    <cellStyle name="40% - 강조색5 4" xfId="52072" hidden="1"/>
    <cellStyle name="40% - 강조색5 4" xfId="52112" hidden="1"/>
    <cellStyle name="40% - 강조색5 4" xfId="52152" hidden="1"/>
    <cellStyle name="40% - 강조색5 4" xfId="52192" hidden="1"/>
    <cellStyle name="40% - 강조색5 4" xfId="52232" hidden="1"/>
    <cellStyle name="40% - 강조색5 4" xfId="52272" hidden="1"/>
    <cellStyle name="40% - 강조색5 4" xfId="52312" hidden="1"/>
    <cellStyle name="40% - 강조색5 4" xfId="52352" hidden="1"/>
    <cellStyle name="40% - 강조색5 4 2" xfId="2433"/>
    <cellStyle name="40% - 강조색5 4 3" xfId="2434"/>
    <cellStyle name="40% - 강조색5 4 4" xfId="2435"/>
    <cellStyle name="40% - 강조색5 4 5" xfId="2436"/>
    <cellStyle name="40% - 강조색5 40" xfId="2437"/>
    <cellStyle name="40% - 강조색5 41" xfId="2438"/>
    <cellStyle name="40% - 강조색5 42" xfId="2439"/>
    <cellStyle name="40% - 강조색5 43" xfId="2440"/>
    <cellStyle name="40% - 강조색5 44" xfId="2441"/>
    <cellStyle name="40% - 강조색5 45" xfId="2442"/>
    <cellStyle name="40% - 강조색5 46" xfId="2443"/>
    <cellStyle name="40% - 강조색5 47" xfId="2444"/>
    <cellStyle name="40% - 강조색5 48" xfId="2445"/>
    <cellStyle name="40% - 강조색5 49" xfId="2446"/>
    <cellStyle name="40% - 강조색5 5" xfId="2447"/>
    <cellStyle name="40% - 강조색5 50" xfId="2448"/>
    <cellStyle name="40% - 강조색5 51" xfId="2449"/>
    <cellStyle name="40% - 강조색5 52" xfId="2450"/>
    <cellStyle name="40% - 강조색5 6" xfId="2451"/>
    <cellStyle name="40% - 강조색5 7" xfId="2452"/>
    <cellStyle name="40% - 강조색5 8" xfId="2453"/>
    <cellStyle name="40% - 강조색5 9" xfId="2454"/>
    <cellStyle name="40% - 강조색6 10" xfId="2455"/>
    <cellStyle name="40% - 강조색6 11" xfId="2456"/>
    <cellStyle name="40% - 강조색6 12" xfId="2457"/>
    <cellStyle name="40% - 강조색6 13" xfId="2458"/>
    <cellStyle name="40% - 강조색6 14" xfId="2459"/>
    <cellStyle name="40% - 강조색6 15" xfId="2460"/>
    <cellStyle name="40% - 강조색6 16" xfId="2461"/>
    <cellStyle name="40% - 강조색6 17" xfId="2462"/>
    <cellStyle name="40% - 강조색6 18" xfId="2463"/>
    <cellStyle name="40% - 강조색6 19" xfId="2464"/>
    <cellStyle name="40% - 강조색6 2" xfId="131"/>
    <cellStyle name="40% - 강조색6 2 10" xfId="2465"/>
    <cellStyle name="40% - 강조색6 2 100" xfId="2466"/>
    <cellStyle name="40% - 강조색6 2 101" xfId="2467"/>
    <cellStyle name="40% - 강조색6 2 102" xfId="2468"/>
    <cellStyle name="40% - 강조색6 2 103" xfId="2469"/>
    <cellStyle name="40% - 강조색6 2 104" xfId="2470"/>
    <cellStyle name="40% - 강조색6 2 105" xfId="2471"/>
    <cellStyle name="40% - 강조색6 2 106" xfId="2472"/>
    <cellStyle name="40% - 강조색6 2 107" xfId="2473"/>
    <cellStyle name="40% - 강조색6 2 108" xfId="2474"/>
    <cellStyle name="40% - 강조색6 2 109" xfId="2475"/>
    <cellStyle name="40% - 강조색6 2 11" xfId="2476"/>
    <cellStyle name="40% - 강조색6 2 110" xfId="2477"/>
    <cellStyle name="40% - 강조색6 2 111" xfId="2478"/>
    <cellStyle name="40% - 강조색6 2 112" xfId="2479"/>
    <cellStyle name="40% - 강조색6 2 12" xfId="2480"/>
    <cellStyle name="40% - 강조색6 2 13" xfId="2481"/>
    <cellStyle name="40% - 강조색6 2 14" xfId="2482"/>
    <cellStyle name="40% - 강조색6 2 15" xfId="2483"/>
    <cellStyle name="40% - 강조색6 2 16" xfId="2484"/>
    <cellStyle name="40% - 강조색6 2 17" xfId="2485"/>
    <cellStyle name="40% - 강조색6 2 18" xfId="2486"/>
    <cellStyle name="40% - 강조색6 2 19" xfId="2487"/>
    <cellStyle name="40% - 강조색6 2 2" xfId="132"/>
    <cellStyle name="40% - 강조색6 2 2 10" xfId="2488"/>
    <cellStyle name="40% - 강조색6 2 2 11" xfId="2489"/>
    <cellStyle name="40% - 강조색6 2 2 12" xfId="2490"/>
    <cellStyle name="40% - 강조색6 2 2 13" xfId="2491"/>
    <cellStyle name="40% - 강조색6 2 2 14" xfId="2492"/>
    <cellStyle name="40% - 강조색6 2 2 15" xfId="2493"/>
    <cellStyle name="40% - 강조색6 2 2 2" xfId="2494"/>
    <cellStyle name="40% - 강조색6 2 2 2 2" xfId="2495"/>
    <cellStyle name="40% - 강조색6 2 2 2 3" xfId="2496"/>
    <cellStyle name="40% - 강조색6 2 2 2 4" xfId="2497"/>
    <cellStyle name="40% - 강조색6 2 2 2 5" xfId="2498"/>
    <cellStyle name="40% - 강조색6 2 2 3" xfId="2499"/>
    <cellStyle name="40% - 강조색6 2 2 4" xfId="2500"/>
    <cellStyle name="40% - 강조색6 2 2 5" xfId="2501"/>
    <cellStyle name="40% - 강조색6 2 2 6" xfId="2502"/>
    <cellStyle name="40% - 강조색6 2 2 7" xfId="2503"/>
    <cellStyle name="40% - 강조색6 2 2 8" xfId="2504"/>
    <cellStyle name="40% - 강조색6 2 2 9" xfId="2505"/>
    <cellStyle name="40% - 강조색6 2 20" xfId="2506"/>
    <cellStyle name="40% - 강조색6 2 21" xfId="2507"/>
    <cellStyle name="40% - 강조색6 2 22" xfId="2508"/>
    <cellStyle name="40% - 강조색6 2 23" xfId="2509"/>
    <cellStyle name="40% - 강조색6 2 24" xfId="2510"/>
    <cellStyle name="40% - 강조색6 2 25" xfId="2511"/>
    <cellStyle name="40% - 강조색6 2 26" xfId="2512"/>
    <cellStyle name="40% - 강조색6 2 27" xfId="2513"/>
    <cellStyle name="40% - 강조색6 2 28" xfId="2514"/>
    <cellStyle name="40% - 강조색6 2 29" xfId="2515"/>
    <cellStyle name="40% - 강조색6 2 3" xfId="2516"/>
    <cellStyle name="40% - 강조색6 2 3 2" xfId="2517"/>
    <cellStyle name="40% - 강조색6 2 3 3" xfId="2518"/>
    <cellStyle name="40% - 강조색6 2 3 4" xfId="2519"/>
    <cellStyle name="40% - 강조색6 2 3 5" xfId="2520"/>
    <cellStyle name="40% - 강조색6 2 30" xfId="2521"/>
    <cellStyle name="40% - 강조색6 2 31" xfId="2522"/>
    <cellStyle name="40% - 강조색6 2 32" xfId="2523"/>
    <cellStyle name="40% - 강조색6 2 33" xfId="2524"/>
    <cellStyle name="40% - 강조색6 2 34" xfId="2525"/>
    <cellStyle name="40% - 강조색6 2 35" xfId="2526"/>
    <cellStyle name="40% - 강조색6 2 36" xfId="2527"/>
    <cellStyle name="40% - 강조색6 2 37" xfId="2528"/>
    <cellStyle name="40% - 강조색6 2 38" xfId="2529"/>
    <cellStyle name="40% - 강조색6 2 39" xfId="2530"/>
    <cellStyle name="40% - 강조색6 2 4" xfId="2531"/>
    <cellStyle name="40% - 강조색6 2 40" xfId="2532"/>
    <cellStyle name="40% - 강조색6 2 41" xfId="2533"/>
    <cellStyle name="40% - 강조색6 2 42" xfId="2534"/>
    <cellStyle name="40% - 강조색6 2 43" xfId="2535"/>
    <cellStyle name="40% - 강조색6 2 44" xfId="2536"/>
    <cellStyle name="40% - 강조색6 2 45" xfId="2537"/>
    <cellStyle name="40% - 강조색6 2 46" xfId="2538"/>
    <cellStyle name="40% - 강조색6 2 47" xfId="2539"/>
    <cellStyle name="40% - 강조색6 2 48" xfId="2540"/>
    <cellStyle name="40% - 강조색6 2 49" xfId="2541"/>
    <cellStyle name="40% - 강조색6 2 5" xfId="2542"/>
    <cellStyle name="40% - 강조색6 2 50" xfId="2543"/>
    <cellStyle name="40% - 강조색6 2 51" xfId="2544"/>
    <cellStyle name="40% - 강조색6 2 52" xfId="2545"/>
    <cellStyle name="40% - 강조색6 2 53" xfId="2546"/>
    <cellStyle name="40% - 강조색6 2 54" xfId="2547"/>
    <cellStyle name="40% - 강조색6 2 55" xfId="2548"/>
    <cellStyle name="40% - 강조색6 2 56" xfId="2549"/>
    <cellStyle name="40% - 강조색6 2 57" xfId="2550"/>
    <cellStyle name="40% - 강조색6 2 58" xfId="2551"/>
    <cellStyle name="40% - 강조색6 2 59" xfId="2552"/>
    <cellStyle name="40% - 강조색6 2 6" xfId="2553"/>
    <cellStyle name="40% - 강조색6 2 60" xfId="2554"/>
    <cellStyle name="40% - 강조색6 2 61" xfId="2555"/>
    <cellStyle name="40% - 강조색6 2 62" xfId="2556"/>
    <cellStyle name="40% - 강조색6 2 63" xfId="2557"/>
    <cellStyle name="40% - 강조색6 2 64" xfId="2558"/>
    <cellStyle name="40% - 강조색6 2 65" xfId="2559"/>
    <cellStyle name="40% - 강조색6 2 66" xfId="2560"/>
    <cellStyle name="40% - 강조색6 2 67" xfId="2561"/>
    <cellStyle name="40% - 강조색6 2 68" xfId="2562"/>
    <cellStyle name="40% - 강조색6 2 69" xfId="2563"/>
    <cellStyle name="40% - 강조색6 2 7" xfId="2564"/>
    <cellStyle name="40% - 강조색6 2 70" xfId="2565"/>
    <cellStyle name="40% - 강조색6 2 71" xfId="2566"/>
    <cellStyle name="40% - 강조색6 2 72" xfId="2567"/>
    <cellStyle name="40% - 강조색6 2 73" xfId="2568"/>
    <cellStyle name="40% - 강조색6 2 74" xfId="2569"/>
    <cellStyle name="40% - 강조색6 2 75" xfId="2570"/>
    <cellStyle name="40% - 강조색6 2 76" xfId="2571"/>
    <cellStyle name="40% - 강조색6 2 77" xfId="2572"/>
    <cellStyle name="40% - 강조색6 2 78" xfId="2573"/>
    <cellStyle name="40% - 강조색6 2 79" xfId="2574"/>
    <cellStyle name="40% - 강조색6 2 8" xfId="2575"/>
    <cellStyle name="40% - 강조색6 2 80" xfId="2576"/>
    <cellStyle name="40% - 강조색6 2 81" xfId="2577"/>
    <cellStyle name="40% - 강조색6 2 82" xfId="2578"/>
    <cellStyle name="40% - 강조색6 2 83" xfId="2579"/>
    <cellStyle name="40% - 강조색6 2 84" xfId="2580"/>
    <cellStyle name="40% - 강조색6 2 85" xfId="2581"/>
    <cellStyle name="40% - 강조색6 2 86" xfId="2582"/>
    <cellStyle name="40% - 강조색6 2 87" xfId="2583"/>
    <cellStyle name="40% - 강조색6 2 88" xfId="2584"/>
    <cellStyle name="40% - 강조색6 2 89" xfId="2585"/>
    <cellStyle name="40% - 강조색6 2 9" xfId="2586"/>
    <cellStyle name="40% - 강조색6 2 90" xfId="2587"/>
    <cellStyle name="40% - 강조색6 2 91" xfId="2588"/>
    <cellStyle name="40% - 강조색6 2 92" xfId="2589"/>
    <cellStyle name="40% - 강조색6 2 93" xfId="2590"/>
    <cellStyle name="40% - 강조색6 2 94" xfId="2591"/>
    <cellStyle name="40% - 강조색6 2 95" xfId="2592"/>
    <cellStyle name="40% - 강조색6 2 96" xfId="2593"/>
    <cellStyle name="40% - 강조색6 2 97" xfId="2594"/>
    <cellStyle name="40% - 강조색6 2 98" xfId="2595"/>
    <cellStyle name="40% - 강조색6 2 99" xfId="2596"/>
    <cellStyle name="40% - 강조색6 20" xfId="2597"/>
    <cellStyle name="40% - 강조색6 21" xfId="2598"/>
    <cellStyle name="40% - 강조색6 22" xfId="2599"/>
    <cellStyle name="40% - 강조색6 23" xfId="2600"/>
    <cellStyle name="40% - 강조색6 24" xfId="2601"/>
    <cellStyle name="40% - 강조색6 25" xfId="2602"/>
    <cellStyle name="40% - 강조색6 26" xfId="2603"/>
    <cellStyle name="40% - 강조색6 27" xfId="2604"/>
    <cellStyle name="40% - 강조색6 28" xfId="2605"/>
    <cellStyle name="40% - 강조색6 29" xfId="2606"/>
    <cellStyle name="40% - 강조색6 3" xfId="133"/>
    <cellStyle name="40% - 강조색6 30" xfId="2607"/>
    <cellStyle name="40% - 강조색6 31" xfId="2608"/>
    <cellStyle name="40% - 강조색6 32" xfId="2609"/>
    <cellStyle name="40% - 강조색6 33" xfId="2610"/>
    <cellStyle name="40% - 강조색6 34" xfId="2611"/>
    <cellStyle name="40% - 강조색6 35" xfId="2612"/>
    <cellStyle name="40% - 강조색6 36" xfId="2613"/>
    <cellStyle name="40% - 강조색6 37" xfId="2614"/>
    <cellStyle name="40% - 강조색6 38" xfId="2615"/>
    <cellStyle name="40% - 강조색6 39" xfId="2616"/>
    <cellStyle name="40% - 강조색6 4" xfId="11746" hidden="1"/>
    <cellStyle name="40% - 강조색6 4" xfId="11792" hidden="1"/>
    <cellStyle name="40% - 강조색6 4" xfId="11838" hidden="1"/>
    <cellStyle name="40% - 강조색6 4" xfId="11884" hidden="1"/>
    <cellStyle name="40% - 강조색6 4" xfId="11930" hidden="1"/>
    <cellStyle name="40% - 강조색6 4" xfId="11976" hidden="1"/>
    <cellStyle name="40% - 강조색6 4" xfId="12022" hidden="1"/>
    <cellStyle name="40% - 강조색6 4" xfId="12068" hidden="1"/>
    <cellStyle name="40% - 강조색6 4" xfId="12114" hidden="1"/>
    <cellStyle name="40% - 강조색6 4" xfId="12160" hidden="1"/>
    <cellStyle name="40% - 강조색6 4" xfId="12206" hidden="1"/>
    <cellStyle name="40% - 강조색6 4" xfId="12252" hidden="1"/>
    <cellStyle name="40% - 강조색6 4" xfId="12342" hidden="1"/>
    <cellStyle name="40% - 강조색6 4" xfId="12383" hidden="1"/>
    <cellStyle name="40% - 강조색6 4" xfId="12425" hidden="1"/>
    <cellStyle name="40% - 강조색6 4" xfId="12467" hidden="1"/>
    <cellStyle name="40% - 강조색6 4" xfId="12509" hidden="1"/>
    <cellStyle name="40% - 강조색6 4" xfId="12551" hidden="1"/>
    <cellStyle name="40% - 강조색6 4" xfId="12593" hidden="1"/>
    <cellStyle name="40% - 강조색6 4" xfId="12635" hidden="1"/>
    <cellStyle name="40% - 강조색6 4" xfId="12677" hidden="1"/>
    <cellStyle name="40% - 강조색6 4" xfId="12719" hidden="1"/>
    <cellStyle name="40% - 강조색6 4" xfId="12761" hidden="1"/>
    <cellStyle name="40% - 강조색6 4" xfId="12803" hidden="1"/>
    <cellStyle name="40% - 강조색6 4" xfId="12297" hidden="1"/>
    <cellStyle name="40% - 강조색6 4" xfId="12985" hidden="1"/>
    <cellStyle name="40% - 강조색6 4" xfId="13025" hidden="1"/>
    <cellStyle name="40% - 강조색6 4" xfId="13065" hidden="1"/>
    <cellStyle name="40% - 강조색6 4" xfId="13105" hidden="1"/>
    <cellStyle name="40% - 강조색6 4" xfId="13145" hidden="1"/>
    <cellStyle name="40% - 강조색6 4" xfId="13185" hidden="1"/>
    <cellStyle name="40% - 강조색6 4" xfId="13225" hidden="1"/>
    <cellStyle name="40% - 강조색6 4" xfId="13265" hidden="1"/>
    <cellStyle name="40% - 강조색6 4" xfId="13305" hidden="1"/>
    <cellStyle name="40% - 강조색6 4" xfId="13345" hidden="1"/>
    <cellStyle name="40% - 강조색6 4" xfId="13385" hidden="1"/>
    <cellStyle name="40% - 강조색6 4" xfId="13425" hidden="1"/>
    <cellStyle name="40% - 강조색6 4" xfId="12850" hidden="1"/>
    <cellStyle name="40% - 강조색6 4" xfId="12821" hidden="1"/>
    <cellStyle name="40% - 강조색6 4" xfId="13467" hidden="1"/>
    <cellStyle name="40% - 강조색6 4" xfId="13509" hidden="1"/>
    <cellStyle name="40% - 강조색6 4" xfId="13551" hidden="1"/>
    <cellStyle name="40% - 강조색6 4" xfId="13593" hidden="1"/>
    <cellStyle name="40% - 강조색6 4" xfId="13635" hidden="1"/>
    <cellStyle name="40% - 강조색6 4" xfId="13677" hidden="1"/>
    <cellStyle name="40% - 강조색6 4" xfId="13719" hidden="1"/>
    <cellStyle name="40% - 강조색6 4" xfId="13761" hidden="1"/>
    <cellStyle name="40% - 강조색6 4" xfId="13803" hidden="1"/>
    <cellStyle name="40% - 강조색6 4" xfId="13845" hidden="1"/>
    <cellStyle name="40% - 강조색6 4" xfId="12903" hidden="1"/>
    <cellStyle name="40% - 강조색6 4" xfId="13873" hidden="1"/>
    <cellStyle name="40% - 강조색6 4" xfId="13913" hidden="1"/>
    <cellStyle name="40% - 강조색6 4" xfId="13953" hidden="1"/>
    <cellStyle name="40% - 강조색6 4" xfId="13993" hidden="1"/>
    <cellStyle name="40% - 강조색6 4" xfId="14033" hidden="1"/>
    <cellStyle name="40% - 강조색6 4" xfId="14073" hidden="1"/>
    <cellStyle name="40% - 강조색6 4" xfId="14113" hidden="1"/>
    <cellStyle name="40% - 강조색6 4" xfId="14153" hidden="1"/>
    <cellStyle name="40% - 강조색6 4" xfId="14193" hidden="1"/>
    <cellStyle name="40% - 강조색6 4" xfId="14233" hidden="1"/>
    <cellStyle name="40% - 강조색6 4" xfId="14273" hidden="1"/>
    <cellStyle name="40% - 강조색6 4" xfId="14313" hidden="1"/>
    <cellStyle name="40% - 강조색6 4" xfId="14419" hidden="1"/>
    <cellStyle name="40% - 강조색6 4" xfId="14459" hidden="1"/>
    <cellStyle name="40% - 강조색6 4" xfId="14499" hidden="1"/>
    <cellStyle name="40% - 강조색6 4" xfId="14539" hidden="1"/>
    <cellStyle name="40% - 강조색6 4" xfId="14579" hidden="1"/>
    <cellStyle name="40% - 강조색6 4" xfId="14619" hidden="1"/>
    <cellStyle name="40% - 강조색6 4" xfId="14659" hidden="1"/>
    <cellStyle name="40% - 강조색6 4" xfId="14699" hidden="1"/>
    <cellStyle name="40% - 강조색6 4" xfId="14739" hidden="1"/>
    <cellStyle name="40% - 강조색6 4" xfId="14779" hidden="1"/>
    <cellStyle name="40% - 강조색6 4" xfId="14819" hidden="1"/>
    <cellStyle name="40% - 강조색6 4" xfId="14859" hidden="1"/>
    <cellStyle name="40% - 강조색6 4" xfId="14943" hidden="1"/>
    <cellStyle name="40% - 강조색6 4" xfId="14984" hidden="1"/>
    <cellStyle name="40% - 강조색6 4" xfId="15026" hidden="1"/>
    <cellStyle name="40% - 강조색6 4" xfId="15068" hidden="1"/>
    <cellStyle name="40% - 강조색6 4" xfId="15110" hidden="1"/>
    <cellStyle name="40% - 강조색6 4" xfId="15152" hidden="1"/>
    <cellStyle name="40% - 강조색6 4" xfId="15194" hidden="1"/>
    <cellStyle name="40% - 강조색6 4" xfId="15236" hidden="1"/>
    <cellStyle name="40% - 강조색6 4" xfId="15278" hidden="1"/>
    <cellStyle name="40% - 강조색6 4" xfId="15320" hidden="1"/>
    <cellStyle name="40% - 강조색6 4" xfId="15362" hidden="1"/>
    <cellStyle name="40% - 강조색6 4" xfId="15404" hidden="1"/>
    <cellStyle name="40% - 강조색6 4" xfId="14900" hidden="1"/>
    <cellStyle name="40% - 강조색6 4" xfId="15583" hidden="1"/>
    <cellStyle name="40% - 강조색6 4" xfId="15623" hidden="1"/>
    <cellStyle name="40% - 강조색6 4" xfId="15663" hidden="1"/>
    <cellStyle name="40% - 강조색6 4" xfId="15703" hidden="1"/>
    <cellStyle name="40% - 강조색6 4" xfId="15743" hidden="1"/>
    <cellStyle name="40% - 강조색6 4" xfId="15783" hidden="1"/>
    <cellStyle name="40% - 강조색6 4" xfId="15823" hidden="1"/>
    <cellStyle name="40% - 강조색6 4" xfId="15863" hidden="1"/>
    <cellStyle name="40% - 강조색6 4" xfId="15903" hidden="1"/>
    <cellStyle name="40% - 강조색6 4" xfId="15943" hidden="1"/>
    <cellStyle name="40% - 강조색6 4" xfId="15983" hidden="1"/>
    <cellStyle name="40% - 강조색6 4" xfId="16023" hidden="1"/>
    <cellStyle name="40% - 강조색6 4" xfId="15450" hidden="1"/>
    <cellStyle name="40% - 강조색6 4" xfId="15421" hidden="1"/>
    <cellStyle name="40% - 강조색6 4" xfId="16065" hidden="1"/>
    <cellStyle name="40% - 강조색6 4" xfId="16107" hidden="1"/>
    <cellStyle name="40% - 강조색6 4" xfId="16149" hidden="1"/>
    <cellStyle name="40% - 강조색6 4" xfId="16191" hidden="1"/>
    <cellStyle name="40% - 강조색6 4" xfId="16233" hidden="1"/>
    <cellStyle name="40% - 강조색6 4" xfId="16275" hidden="1"/>
    <cellStyle name="40% - 강조색6 4" xfId="16317" hidden="1"/>
    <cellStyle name="40% - 강조색6 4" xfId="16359" hidden="1"/>
    <cellStyle name="40% - 강조색6 4" xfId="16401" hidden="1"/>
    <cellStyle name="40% - 강조색6 4" xfId="16443" hidden="1"/>
    <cellStyle name="40% - 강조색6 4" xfId="15502" hidden="1"/>
    <cellStyle name="40% - 강조색6 4" xfId="16471" hidden="1"/>
    <cellStyle name="40% - 강조색6 4" xfId="16511" hidden="1"/>
    <cellStyle name="40% - 강조색6 4" xfId="16551" hidden="1"/>
    <cellStyle name="40% - 강조색6 4" xfId="16591" hidden="1"/>
    <cellStyle name="40% - 강조색6 4" xfId="16631" hidden="1"/>
    <cellStyle name="40% - 강조색6 4" xfId="16671" hidden="1"/>
    <cellStyle name="40% - 강조색6 4" xfId="16711" hidden="1"/>
    <cellStyle name="40% - 강조색6 4" xfId="16751" hidden="1"/>
    <cellStyle name="40% - 강조색6 4" xfId="16791" hidden="1"/>
    <cellStyle name="40% - 강조색6 4" xfId="16831" hidden="1"/>
    <cellStyle name="40% - 강조색6 4" xfId="16871" hidden="1"/>
    <cellStyle name="40% - 강조색6 4" xfId="16911" hidden="1"/>
    <cellStyle name="40% - 강조색6 4" xfId="16922" hidden="1"/>
    <cellStyle name="40% - 강조색6 4" xfId="16962" hidden="1"/>
    <cellStyle name="40% - 강조색6 4" xfId="17003" hidden="1"/>
    <cellStyle name="40% - 강조색6 4" xfId="17043" hidden="1"/>
    <cellStyle name="40% - 강조색6 4" xfId="17083" hidden="1"/>
    <cellStyle name="40% - 강조색6 4" xfId="17123" hidden="1"/>
    <cellStyle name="40% - 강조색6 4" xfId="17163" hidden="1"/>
    <cellStyle name="40% - 강조색6 4" xfId="17203" hidden="1"/>
    <cellStyle name="40% - 강조색6 4" xfId="17243" hidden="1"/>
    <cellStyle name="40% - 강조색6 4" xfId="17283" hidden="1"/>
    <cellStyle name="40% - 강조색6 4" xfId="17323" hidden="1"/>
    <cellStyle name="40% - 강조색6 4" xfId="17363" hidden="1"/>
    <cellStyle name="40% - 강조색6 4" xfId="17447" hidden="1"/>
    <cellStyle name="40% - 강조색6 4" xfId="17488" hidden="1"/>
    <cellStyle name="40% - 강조색6 4" xfId="17530" hidden="1"/>
    <cellStyle name="40% - 강조색6 4" xfId="17572" hidden="1"/>
    <cellStyle name="40% - 강조색6 4" xfId="17614" hidden="1"/>
    <cellStyle name="40% - 강조색6 4" xfId="17656" hidden="1"/>
    <cellStyle name="40% - 강조색6 4" xfId="17698" hidden="1"/>
    <cellStyle name="40% - 강조색6 4" xfId="17740" hidden="1"/>
    <cellStyle name="40% - 강조색6 4" xfId="17782" hidden="1"/>
    <cellStyle name="40% - 강조색6 4" xfId="17824" hidden="1"/>
    <cellStyle name="40% - 강조색6 4" xfId="17866" hidden="1"/>
    <cellStyle name="40% - 강조색6 4" xfId="17908" hidden="1"/>
    <cellStyle name="40% - 강조색6 4" xfId="17404" hidden="1"/>
    <cellStyle name="40% - 강조색6 4" xfId="18087" hidden="1"/>
    <cellStyle name="40% - 강조색6 4" xfId="18127" hidden="1"/>
    <cellStyle name="40% - 강조색6 4" xfId="18167" hidden="1"/>
    <cellStyle name="40% - 강조색6 4" xfId="18207" hidden="1"/>
    <cellStyle name="40% - 강조색6 4" xfId="18247" hidden="1"/>
    <cellStyle name="40% - 강조색6 4" xfId="18287" hidden="1"/>
    <cellStyle name="40% - 강조색6 4" xfId="18327" hidden="1"/>
    <cellStyle name="40% - 강조색6 4" xfId="18367" hidden="1"/>
    <cellStyle name="40% - 강조색6 4" xfId="18407" hidden="1"/>
    <cellStyle name="40% - 강조색6 4" xfId="18447" hidden="1"/>
    <cellStyle name="40% - 강조색6 4" xfId="18487" hidden="1"/>
    <cellStyle name="40% - 강조색6 4" xfId="18527" hidden="1"/>
    <cellStyle name="40% - 강조색6 4" xfId="17954" hidden="1"/>
    <cellStyle name="40% - 강조색6 4" xfId="17925" hidden="1"/>
    <cellStyle name="40% - 강조색6 4" xfId="18569" hidden="1"/>
    <cellStyle name="40% - 강조색6 4" xfId="18611" hidden="1"/>
    <cellStyle name="40% - 강조색6 4" xfId="18653" hidden="1"/>
    <cellStyle name="40% - 강조색6 4" xfId="18695" hidden="1"/>
    <cellStyle name="40% - 강조색6 4" xfId="18737" hidden="1"/>
    <cellStyle name="40% - 강조색6 4" xfId="18779" hidden="1"/>
    <cellStyle name="40% - 강조색6 4" xfId="18821" hidden="1"/>
    <cellStyle name="40% - 강조색6 4" xfId="18863" hidden="1"/>
    <cellStyle name="40% - 강조색6 4" xfId="18905" hidden="1"/>
    <cellStyle name="40% - 강조색6 4" xfId="18947" hidden="1"/>
    <cellStyle name="40% - 강조색6 4" xfId="18006" hidden="1"/>
    <cellStyle name="40% - 강조색6 4" xfId="18975" hidden="1"/>
    <cellStyle name="40% - 강조색6 4" xfId="19015" hidden="1"/>
    <cellStyle name="40% - 강조색6 4" xfId="19055" hidden="1"/>
    <cellStyle name="40% - 강조색6 4" xfId="19095" hidden="1"/>
    <cellStyle name="40% - 강조색6 4" xfId="19135" hidden="1"/>
    <cellStyle name="40% - 강조색6 4" xfId="19175" hidden="1"/>
    <cellStyle name="40% - 강조색6 4" xfId="19215" hidden="1"/>
    <cellStyle name="40% - 강조색6 4" xfId="19255" hidden="1"/>
    <cellStyle name="40% - 강조색6 4" xfId="19295" hidden="1"/>
    <cellStyle name="40% - 강조색6 4" xfId="19335" hidden="1"/>
    <cellStyle name="40% - 강조색6 4" xfId="19375" hidden="1"/>
    <cellStyle name="40% - 강조색6 4" xfId="19415" hidden="1"/>
    <cellStyle name="40% - 강조색6 4" xfId="19425" hidden="1"/>
    <cellStyle name="40% - 강조색6 4" xfId="19465" hidden="1"/>
    <cellStyle name="40% - 강조색6 4" xfId="19505" hidden="1"/>
    <cellStyle name="40% - 강조색6 4" xfId="19545" hidden="1"/>
    <cellStyle name="40% - 강조색6 4" xfId="19585" hidden="1"/>
    <cellStyle name="40% - 강조색6 4" xfId="19625" hidden="1"/>
    <cellStyle name="40% - 강조색6 4" xfId="19665" hidden="1"/>
    <cellStyle name="40% - 강조색6 4" xfId="19705" hidden="1"/>
    <cellStyle name="40% - 강조색6 4" xfId="19745" hidden="1"/>
    <cellStyle name="40% - 강조색6 4" xfId="19785" hidden="1"/>
    <cellStyle name="40% - 강조색6 4" xfId="19825" hidden="1"/>
    <cellStyle name="40% - 강조색6 4" xfId="19865" hidden="1"/>
    <cellStyle name="40% - 강조색6 4" xfId="19949" hidden="1"/>
    <cellStyle name="40% - 강조색6 4" xfId="19990" hidden="1"/>
    <cellStyle name="40% - 강조색6 4" xfId="20032" hidden="1"/>
    <cellStyle name="40% - 강조색6 4" xfId="20074" hidden="1"/>
    <cellStyle name="40% - 강조색6 4" xfId="20116" hidden="1"/>
    <cellStyle name="40% - 강조색6 4" xfId="20158" hidden="1"/>
    <cellStyle name="40% - 강조색6 4" xfId="20200" hidden="1"/>
    <cellStyle name="40% - 강조색6 4" xfId="20242" hidden="1"/>
    <cellStyle name="40% - 강조색6 4" xfId="20284" hidden="1"/>
    <cellStyle name="40% - 강조색6 4" xfId="20326" hidden="1"/>
    <cellStyle name="40% - 강조색6 4" xfId="20368" hidden="1"/>
    <cellStyle name="40% - 강조색6 4" xfId="20410" hidden="1"/>
    <cellStyle name="40% - 강조색6 4" xfId="19906" hidden="1"/>
    <cellStyle name="40% - 강조색6 4" xfId="20589" hidden="1"/>
    <cellStyle name="40% - 강조색6 4" xfId="20629" hidden="1"/>
    <cellStyle name="40% - 강조색6 4" xfId="20669" hidden="1"/>
    <cellStyle name="40% - 강조색6 4" xfId="20709" hidden="1"/>
    <cellStyle name="40% - 강조색6 4" xfId="20749" hidden="1"/>
    <cellStyle name="40% - 강조색6 4" xfId="20789" hidden="1"/>
    <cellStyle name="40% - 강조색6 4" xfId="20829" hidden="1"/>
    <cellStyle name="40% - 강조색6 4" xfId="20869" hidden="1"/>
    <cellStyle name="40% - 강조색6 4" xfId="20909" hidden="1"/>
    <cellStyle name="40% - 강조색6 4" xfId="20949" hidden="1"/>
    <cellStyle name="40% - 강조색6 4" xfId="20989" hidden="1"/>
    <cellStyle name="40% - 강조색6 4" xfId="21029" hidden="1"/>
    <cellStyle name="40% - 강조색6 4" xfId="20456" hidden="1"/>
    <cellStyle name="40% - 강조색6 4" xfId="20427" hidden="1"/>
    <cellStyle name="40% - 강조색6 4" xfId="21071" hidden="1"/>
    <cellStyle name="40% - 강조색6 4" xfId="21113" hidden="1"/>
    <cellStyle name="40% - 강조색6 4" xfId="21155" hidden="1"/>
    <cellStyle name="40% - 강조색6 4" xfId="21197" hidden="1"/>
    <cellStyle name="40% - 강조색6 4" xfId="21239" hidden="1"/>
    <cellStyle name="40% - 강조색6 4" xfId="21281" hidden="1"/>
    <cellStyle name="40% - 강조색6 4" xfId="21323" hidden="1"/>
    <cellStyle name="40% - 강조색6 4" xfId="21365" hidden="1"/>
    <cellStyle name="40% - 강조색6 4" xfId="21407" hidden="1"/>
    <cellStyle name="40% - 강조색6 4" xfId="21449" hidden="1"/>
    <cellStyle name="40% - 강조색6 4" xfId="20508" hidden="1"/>
    <cellStyle name="40% - 강조색6 4" xfId="21477" hidden="1"/>
    <cellStyle name="40% - 강조색6 4" xfId="21517" hidden="1"/>
    <cellStyle name="40% - 강조색6 4" xfId="21557" hidden="1"/>
    <cellStyle name="40% - 강조색6 4" xfId="21597" hidden="1"/>
    <cellStyle name="40% - 강조색6 4" xfId="21637" hidden="1"/>
    <cellStyle name="40% - 강조색6 4" xfId="21677" hidden="1"/>
    <cellStyle name="40% - 강조색6 4" xfId="21717" hidden="1"/>
    <cellStyle name="40% - 강조색6 4" xfId="21757" hidden="1"/>
    <cellStyle name="40% - 강조색6 4" xfId="21797" hidden="1"/>
    <cellStyle name="40% - 강조색6 4" xfId="21837" hidden="1"/>
    <cellStyle name="40% - 강조색6 4" xfId="21877" hidden="1"/>
    <cellStyle name="40% - 강조색6 4" xfId="21917" hidden="1"/>
    <cellStyle name="40% - 강조색6 4" xfId="21985" hidden="1"/>
    <cellStyle name="40% - 강조색6 4" xfId="22025" hidden="1"/>
    <cellStyle name="40% - 강조색6 4" xfId="22065" hidden="1"/>
    <cellStyle name="40% - 강조색6 4" xfId="22105" hidden="1"/>
    <cellStyle name="40% - 강조색6 4" xfId="22145" hidden="1"/>
    <cellStyle name="40% - 강조색6 4" xfId="22185" hidden="1"/>
    <cellStyle name="40% - 강조색6 4" xfId="22225" hidden="1"/>
    <cellStyle name="40% - 강조색6 4" xfId="22265" hidden="1"/>
    <cellStyle name="40% - 강조색6 4" xfId="22305" hidden="1"/>
    <cellStyle name="40% - 강조색6 4" xfId="22345" hidden="1"/>
    <cellStyle name="40% - 강조색6 4" xfId="22385" hidden="1"/>
    <cellStyle name="40% - 강조색6 4" xfId="22425" hidden="1"/>
    <cellStyle name="40% - 강조색6 4" xfId="22509" hidden="1"/>
    <cellStyle name="40% - 강조색6 4" xfId="22550" hidden="1"/>
    <cellStyle name="40% - 강조색6 4" xfId="22592" hidden="1"/>
    <cellStyle name="40% - 강조색6 4" xfId="22634" hidden="1"/>
    <cellStyle name="40% - 강조색6 4" xfId="22676" hidden="1"/>
    <cellStyle name="40% - 강조색6 4" xfId="22718" hidden="1"/>
    <cellStyle name="40% - 강조색6 4" xfId="22760" hidden="1"/>
    <cellStyle name="40% - 강조색6 4" xfId="22802" hidden="1"/>
    <cellStyle name="40% - 강조색6 4" xfId="22844" hidden="1"/>
    <cellStyle name="40% - 강조색6 4" xfId="22886" hidden="1"/>
    <cellStyle name="40% - 강조색6 4" xfId="22928" hidden="1"/>
    <cellStyle name="40% - 강조색6 4" xfId="22970" hidden="1"/>
    <cellStyle name="40% - 강조색6 4" xfId="22466" hidden="1"/>
    <cellStyle name="40% - 강조색6 4" xfId="23149" hidden="1"/>
    <cellStyle name="40% - 강조색6 4" xfId="23189" hidden="1"/>
    <cellStyle name="40% - 강조색6 4" xfId="23229" hidden="1"/>
    <cellStyle name="40% - 강조색6 4" xfId="23269" hidden="1"/>
    <cellStyle name="40% - 강조색6 4" xfId="23309" hidden="1"/>
    <cellStyle name="40% - 강조색6 4" xfId="23349" hidden="1"/>
    <cellStyle name="40% - 강조색6 4" xfId="23389" hidden="1"/>
    <cellStyle name="40% - 강조색6 4" xfId="23429" hidden="1"/>
    <cellStyle name="40% - 강조색6 4" xfId="23469" hidden="1"/>
    <cellStyle name="40% - 강조색6 4" xfId="23509" hidden="1"/>
    <cellStyle name="40% - 강조색6 4" xfId="23549" hidden="1"/>
    <cellStyle name="40% - 강조색6 4" xfId="23589" hidden="1"/>
    <cellStyle name="40% - 강조색6 4" xfId="23016" hidden="1"/>
    <cellStyle name="40% - 강조색6 4" xfId="22987" hidden="1"/>
    <cellStyle name="40% - 강조색6 4" xfId="23631" hidden="1"/>
    <cellStyle name="40% - 강조색6 4" xfId="23673" hidden="1"/>
    <cellStyle name="40% - 강조색6 4" xfId="23715" hidden="1"/>
    <cellStyle name="40% - 강조색6 4" xfId="23757" hidden="1"/>
    <cellStyle name="40% - 강조색6 4" xfId="23799" hidden="1"/>
    <cellStyle name="40% - 강조색6 4" xfId="23841" hidden="1"/>
    <cellStyle name="40% - 강조색6 4" xfId="23883" hidden="1"/>
    <cellStyle name="40% - 강조색6 4" xfId="23925" hidden="1"/>
    <cellStyle name="40% - 강조색6 4" xfId="23967" hidden="1"/>
    <cellStyle name="40% - 강조색6 4" xfId="24009" hidden="1"/>
    <cellStyle name="40% - 강조색6 4" xfId="23068" hidden="1"/>
    <cellStyle name="40% - 강조색6 4" xfId="24037" hidden="1"/>
    <cellStyle name="40% - 강조색6 4" xfId="24077" hidden="1"/>
    <cellStyle name="40% - 강조색6 4" xfId="24117" hidden="1"/>
    <cellStyle name="40% - 강조색6 4" xfId="24157" hidden="1"/>
    <cellStyle name="40% - 강조색6 4" xfId="24197" hidden="1"/>
    <cellStyle name="40% - 강조색6 4" xfId="24237" hidden="1"/>
    <cellStyle name="40% - 강조색6 4" xfId="24277" hidden="1"/>
    <cellStyle name="40% - 강조색6 4" xfId="24317" hidden="1"/>
    <cellStyle name="40% - 강조색6 4" xfId="24357" hidden="1"/>
    <cellStyle name="40% - 강조색6 4" xfId="24397" hidden="1"/>
    <cellStyle name="40% - 강조색6 4" xfId="24437" hidden="1"/>
    <cellStyle name="40% - 강조색6 4" xfId="24477" hidden="1"/>
    <cellStyle name="40% - 강조색6 4" xfId="24575" hidden="1"/>
    <cellStyle name="40% - 강조색6 4" xfId="24615" hidden="1"/>
    <cellStyle name="40% - 강조색6 4" xfId="24657" hidden="1"/>
    <cellStyle name="40% - 강조색6 4" xfId="24698" hidden="1"/>
    <cellStyle name="40% - 강조색6 4" xfId="24738" hidden="1"/>
    <cellStyle name="40% - 강조색6 4" xfId="24778" hidden="1"/>
    <cellStyle name="40% - 강조색6 4" xfId="24818" hidden="1"/>
    <cellStyle name="40% - 강조색6 4" xfId="24858" hidden="1"/>
    <cellStyle name="40% - 강조색6 4" xfId="24898" hidden="1"/>
    <cellStyle name="40% - 강조색6 4" xfId="24938" hidden="1"/>
    <cellStyle name="40% - 강조색6 4" xfId="24978" hidden="1"/>
    <cellStyle name="40% - 강조색6 4" xfId="25018" hidden="1"/>
    <cellStyle name="40% - 강조색6 4" xfId="25102" hidden="1"/>
    <cellStyle name="40% - 강조색6 4" xfId="25143" hidden="1"/>
    <cellStyle name="40% - 강조색6 4" xfId="25185" hidden="1"/>
    <cellStyle name="40% - 강조색6 4" xfId="25227" hidden="1"/>
    <cellStyle name="40% - 강조색6 4" xfId="25269" hidden="1"/>
    <cellStyle name="40% - 강조색6 4" xfId="25311" hidden="1"/>
    <cellStyle name="40% - 강조색6 4" xfId="25353" hidden="1"/>
    <cellStyle name="40% - 강조색6 4" xfId="25395" hidden="1"/>
    <cellStyle name="40% - 강조색6 4" xfId="25437" hidden="1"/>
    <cellStyle name="40% - 강조색6 4" xfId="25479" hidden="1"/>
    <cellStyle name="40% - 강조색6 4" xfId="25521" hidden="1"/>
    <cellStyle name="40% - 강조색6 4" xfId="25563" hidden="1"/>
    <cellStyle name="40% - 강조색6 4" xfId="25059" hidden="1"/>
    <cellStyle name="40% - 강조색6 4" xfId="25742" hidden="1"/>
    <cellStyle name="40% - 강조색6 4" xfId="25782" hidden="1"/>
    <cellStyle name="40% - 강조색6 4" xfId="25822" hidden="1"/>
    <cellStyle name="40% - 강조색6 4" xfId="25862" hidden="1"/>
    <cellStyle name="40% - 강조색6 4" xfId="25902" hidden="1"/>
    <cellStyle name="40% - 강조색6 4" xfId="25942" hidden="1"/>
    <cellStyle name="40% - 강조색6 4" xfId="25982" hidden="1"/>
    <cellStyle name="40% - 강조색6 4" xfId="26022" hidden="1"/>
    <cellStyle name="40% - 강조색6 4" xfId="26062" hidden="1"/>
    <cellStyle name="40% - 강조색6 4" xfId="26102" hidden="1"/>
    <cellStyle name="40% - 강조색6 4" xfId="26142" hidden="1"/>
    <cellStyle name="40% - 강조색6 4" xfId="26182" hidden="1"/>
    <cellStyle name="40% - 강조색6 4" xfId="25609" hidden="1"/>
    <cellStyle name="40% - 강조색6 4" xfId="25580" hidden="1"/>
    <cellStyle name="40% - 강조색6 4" xfId="26224" hidden="1"/>
    <cellStyle name="40% - 강조색6 4" xfId="26266" hidden="1"/>
    <cellStyle name="40% - 강조색6 4" xfId="26308" hidden="1"/>
    <cellStyle name="40% - 강조색6 4" xfId="26350" hidden="1"/>
    <cellStyle name="40% - 강조색6 4" xfId="26392" hidden="1"/>
    <cellStyle name="40% - 강조색6 4" xfId="26434" hidden="1"/>
    <cellStyle name="40% - 강조색6 4" xfId="26476" hidden="1"/>
    <cellStyle name="40% - 강조색6 4" xfId="26518" hidden="1"/>
    <cellStyle name="40% - 강조색6 4" xfId="26560" hidden="1"/>
    <cellStyle name="40% - 강조색6 4" xfId="26602" hidden="1"/>
    <cellStyle name="40% - 강조색6 4" xfId="25661" hidden="1"/>
    <cellStyle name="40% - 강조색6 4" xfId="26630" hidden="1"/>
    <cellStyle name="40% - 강조색6 4" xfId="26670" hidden="1"/>
    <cellStyle name="40% - 강조색6 4" xfId="26710" hidden="1"/>
    <cellStyle name="40% - 강조색6 4" xfId="26750" hidden="1"/>
    <cellStyle name="40% - 강조색6 4" xfId="26790" hidden="1"/>
    <cellStyle name="40% - 강조색6 4" xfId="26830" hidden="1"/>
    <cellStyle name="40% - 강조색6 4" xfId="26870" hidden="1"/>
    <cellStyle name="40% - 강조색6 4" xfId="26910" hidden="1"/>
    <cellStyle name="40% - 강조색6 4" xfId="26950" hidden="1"/>
    <cellStyle name="40% - 강조색6 4" xfId="26990" hidden="1"/>
    <cellStyle name="40% - 강조색6 4" xfId="27030" hidden="1"/>
    <cellStyle name="40% - 강조색6 4" xfId="27070" hidden="1"/>
    <cellStyle name="40% - 강조색6 4" xfId="27081" hidden="1"/>
    <cellStyle name="40% - 강조색6 4" xfId="27121" hidden="1"/>
    <cellStyle name="40% - 강조색6 4" xfId="27161" hidden="1"/>
    <cellStyle name="40% - 강조색6 4" xfId="27201" hidden="1"/>
    <cellStyle name="40% - 강조색6 4" xfId="27241" hidden="1"/>
    <cellStyle name="40% - 강조색6 4" xfId="27281" hidden="1"/>
    <cellStyle name="40% - 강조색6 4" xfId="27321" hidden="1"/>
    <cellStyle name="40% - 강조색6 4" xfId="27361" hidden="1"/>
    <cellStyle name="40% - 강조색6 4" xfId="27401" hidden="1"/>
    <cellStyle name="40% - 강조색6 4" xfId="27441" hidden="1"/>
    <cellStyle name="40% - 강조색6 4" xfId="27481" hidden="1"/>
    <cellStyle name="40% - 강조색6 4" xfId="27521" hidden="1"/>
    <cellStyle name="40% - 강조색6 4" xfId="27605" hidden="1"/>
    <cellStyle name="40% - 강조색6 4" xfId="27646" hidden="1"/>
    <cellStyle name="40% - 강조색6 4" xfId="27688" hidden="1"/>
    <cellStyle name="40% - 강조색6 4" xfId="27730" hidden="1"/>
    <cellStyle name="40% - 강조색6 4" xfId="27772" hidden="1"/>
    <cellStyle name="40% - 강조색6 4" xfId="27814" hidden="1"/>
    <cellStyle name="40% - 강조색6 4" xfId="27856" hidden="1"/>
    <cellStyle name="40% - 강조색6 4" xfId="27898" hidden="1"/>
    <cellStyle name="40% - 강조색6 4" xfId="27940" hidden="1"/>
    <cellStyle name="40% - 강조색6 4" xfId="27982" hidden="1"/>
    <cellStyle name="40% - 강조색6 4" xfId="28024" hidden="1"/>
    <cellStyle name="40% - 강조색6 4" xfId="28066" hidden="1"/>
    <cellStyle name="40% - 강조색6 4" xfId="27562" hidden="1"/>
    <cellStyle name="40% - 강조색6 4" xfId="28245" hidden="1"/>
    <cellStyle name="40% - 강조색6 4" xfId="28285" hidden="1"/>
    <cellStyle name="40% - 강조색6 4" xfId="28325" hidden="1"/>
    <cellStyle name="40% - 강조색6 4" xfId="28365" hidden="1"/>
    <cellStyle name="40% - 강조색6 4" xfId="28405" hidden="1"/>
    <cellStyle name="40% - 강조색6 4" xfId="28445" hidden="1"/>
    <cellStyle name="40% - 강조색6 4" xfId="28485" hidden="1"/>
    <cellStyle name="40% - 강조색6 4" xfId="28525" hidden="1"/>
    <cellStyle name="40% - 강조색6 4" xfId="28565" hidden="1"/>
    <cellStyle name="40% - 강조색6 4" xfId="28605" hidden="1"/>
    <cellStyle name="40% - 강조색6 4" xfId="28645" hidden="1"/>
    <cellStyle name="40% - 강조색6 4" xfId="28685" hidden="1"/>
    <cellStyle name="40% - 강조색6 4" xfId="28112" hidden="1"/>
    <cellStyle name="40% - 강조색6 4" xfId="28083" hidden="1"/>
    <cellStyle name="40% - 강조색6 4" xfId="28727" hidden="1"/>
    <cellStyle name="40% - 강조색6 4" xfId="28769" hidden="1"/>
    <cellStyle name="40% - 강조색6 4" xfId="28811" hidden="1"/>
    <cellStyle name="40% - 강조색6 4" xfId="28853" hidden="1"/>
    <cellStyle name="40% - 강조색6 4" xfId="28895" hidden="1"/>
    <cellStyle name="40% - 강조색6 4" xfId="28937" hidden="1"/>
    <cellStyle name="40% - 강조색6 4" xfId="28979" hidden="1"/>
    <cellStyle name="40% - 강조색6 4" xfId="29021" hidden="1"/>
    <cellStyle name="40% - 강조색6 4" xfId="29063" hidden="1"/>
    <cellStyle name="40% - 강조색6 4" xfId="29105" hidden="1"/>
    <cellStyle name="40% - 강조색6 4" xfId="28164" hidden="1"/>
    <cellStyle name="40% - 강조색6 4" xfId="29133" hidden="1"/>
    <cellStyle name="40% - 강조색6 4" xfId="29173" hidden="1"/>
    <cellStyle name="40% - 강조색6 4" xfId="29213" hidden="1"/>
    <cellStyle name="40% - 강조색6 4" xfId="29253" hidden="1"/>
    <cellStyle name="40% - 강조색6 4" xfId="29293" hidden="1"/>
    <cellStyle name="40% - 강조색6 4" xfId="29333" hidden="1"/>
    <cellStyle name="40% - 강조색6 4" xfId="29373" hidden="1"/>
    <cellStyle name="40% - 강조색6 4" xfId="29413" hidden="1"/>
    <cellStyle name="40% - 강조색6 4" xfId="29453" hidden="1"/>
    <cellStyle name="40% - 강조색6 4" xfId="29493" hidden="1"/>
    <cellStyle name="40% - 강조색6 4" xfId="29533" hidden="1"/>
    <cellStyle name="40% - 강조색6 4" xfId="29573" hidden="1"/>
    <cellStyle name="40% - 강조색6 4" xfId="29583" hidden="1"/>
    <cellStyle name="40% - 강조색6 4" xfId="29623" hidden="1"/>
    <cellStyle name="40% - 강조색6 4" xfId="29663" hidden="1"/>
    <cellStyle name="40% - 강조색6 4" xfId="29703" hidden="1"/>
    <cellStyle name="40% - 강조색6 4" xfId="29743" hidden="1"/>
    <cellStyle name="40% - 강조색6 4" xfId="29783" hidden="1"/>
    <cellStyle name="40% - 강조색6 4" xfId="29823" hidden="1"/>
    <cellStyle name="40% - 강조색6 4" xfId="29863" hidden="1"/>
    <cellStyle name="40% - 강조색6 4" xfId="29903" hidden="1"/>
    <cellStyle name="40% - 강조색6 4" xfId="29943" hidden="1"/>
    <cellStyle name="40% - 강조색6 4" xfId="29983" hidden="1"/>
    <cellStyle name="40% - 강조색6 4" xfId="30023" hidden="1"/>
    <cellStyle name="40% - 강조색6 4" xfId="30107" hidden="1"/>
    <cellStyle name="40% - 강조색6 4" xfId="30148" hidden="1"/>
    <cellStyle name="40% - 강조색6 4" xfId="30190" hidden="1"/>
    <cellStyle name="40% - 강조색6 4" xfId="30232" hidden="1"/>
    <cellStyle name="40% - 강조색6 4" xfId="30274" hidden="1"/>
    <cellStyle name="40% - 강조색6 4" xfId="30316" hidden="1"/>
    <cellStyle name="40% - 강조색6 4" xfId="30358" hidden="1"/>
    <cellStyle name="40% - 강조색6 4" xfId="30400" hidden="1"/>
    <cellStyle name="40% - 강조색6 4" xfId="30442" hidden="1"/>
    <cellStyle name="40% - 강조색6 4" xfId="30484" hidden="1"/>
    <cellStyle name="40% - 강조색6 4" xfId="30526" hidden="1"/>
    <cellStyle name="40% - 강조색6 4" xfId="30568" hidden="1"/>
    <cellStyle name="40% - 강조색6 4" xfId="30064" hidden="1"/>
    <cellStyle name="40% - 강조색6 4" xfId="30747" hidden="1"/>
    <cellStyle name="40% - 강조색6 4" xfId="30787" hidden="1"/>
    <cellStyle name="40% - 강조색6 4" xfId="30827" hidden="1"/>
    <cellStyle name="40% - 강조색6 4" xfId="30867" hidden="1"/>
    <cellStyle name="40% - 강조색6 4" xfId="30907" hidden="1"/>
    <cellStyle name="40% - 강조색6 4" xfId="30947" hidden="1"/>
    <cellStyle name="40% - 강조색6 4" xfId="30987" hidden="1"/>
    <cellStyle name="40% - 강조색6 4" xfId="31027" hidden="1"/>
    <cellStyle name="40% - 강조색6 4" xfId="31067" hidden="1"/>
    <cellStyle name="40% - 강조색6 4" xfId="31107" hidden="1"/>
    <cellStyle name="40% - 강조색6 4" xfId="31147" hidden="1"/>
    <cellStyle name="40% - 강조색6 4" xfId="31187" hidden="1"/>
    <cellStyle name="40% - 강조색6 4" xfId="30614" hidden="1"/>
    <cellStyle name="40% - 강조색6 4" xfId="30585" hidden="1"/>
    <cellStyle name="40% - 강조색6 4" xfId="31229" hidden="1"/>
    <cellStyle name="40% - 강조색6 4" xfId="31271" hidden="1"/>
    <cellStyle name="40% - 강조색6 4" xfId="31313" hidden="1"/>
    <cellStyle name="40% - 강조색6 4" xfId="31355" hidden="1"/>
    <cellStyle name="40% - 강조색6 4" xfId="31397" hidden="1"/>
    <cellStyle name="40% - 강조색6 4" xfId="31439" hidden="1"/>
    <cellStyle name="40% - 강조색6 4" xfId="31481" hidden="1"/>
    <cellStyle name="40% - 강조색6 4" xfId="31523" hidden="1"/>
    <cellStyle name="40% - 강조색6 4" xfId="31565" hidden="1"/>
    <cellStyle name="40% - 강조색6 4" xfId="31607" hidden="1"/>
    <cellStyle name="40% - 강조색6 4" xfId="30666" hidden="1"/>
    <cellStyle name="40% - 강조색6 4" xfId="31635" hidden="1"/>
    <cellStyle name="40% - 강조색6 4" xfId="31675" hidden="1"/>
    <cellStyle name="40% - 강조색6 4" xfId="31715" hidden="1"/>
    <cellStyle name="40% - 강조색6 4" xfId="31755" hidden="1"/>
    <cellStyle name="40% - 강조색6 4" xfId="31795" hidden="1"/>
    <cellStyle name="40% - 강조색6 4" xfId="31835" hidden="1"/>
    <cellStyle name="40% - 강조색6 4" xfId="31875" hidden="1"/>
    <cellStyle name="40% - 강조색6 4" xfId="31915" hidden="1"/>
    <cellStyle name="40% - 강조색6 4" xfId="31955" hidden="1"/>
    <cellStyle name="40% - 강조색6 4" xfId="31995" hidden="1"/>
    <cellStyle name="40% - 강조색6 4" xfId="32035" hidden="1"/>
    <cellStyle name="40% - 강조색6 4" xfId="32075" hidden="1"/>
    <cellStyle name="40% - 강조색6 4" xfId="32137" hidden="1"/>
    <cellStyle name="40% - 강조색6 4" xfId="32177" hidden="1"/>
    <cellStyle name="40% - 강조색6 4" xfId="32217" hidden="1"/>
    <cellStyle name="40% - 강조색6 4" xfId="32257" hidden="1"/>
    <cellStyle name="40% - 강조색6 4" xfId="32297" hidden="1"/>
    <cellStyle name="40% - 강조색6 4" xfId="32337" hidden="1"/>
    <cellStyle name="40% - 강조색6 4" xfId="32377" hidden="1"/>
    <cellStyle name="40% - 강조색6 4" xfId="32417" hidden="1"/>
    <cellStyle name="40% - 강조색6 4" xfId="32457" hidden="1"/>
    <cellStyle name="40% - 강조색6 4" xfId="32497" hidden="1"/>
    <cellStyle name="40% - 강조색6 4" xfId="32537" hidden="1"/>
    <cellStyle name="40% - 강조색6 4" xfId="32577" hidden="1"/>
    <cellStyle name="40% - 강조색6 4" xfId="32662" hidden="1"/>
    <cellStyle name="40% - 강조색6 4" xfId="32703" hidden="1"/>
    <cellStyle name="40% - 강조색6 4" xfId="32745" hidden="1"/>
    <cellStyle name="40% - 강조색6 4" xfId="32787" hidden="1"/>
    <cellStyle name="40% - 강조색6 4" xfId="32829" hidden="1"/>
    <cellStyle name="40% - 강조색6 4" xfId="32871" hidden="1"/>
    <cellStyle name="40% - 강조색6 4" xfId="32913" hidden="1"/>
    <cellStyle name="40% - 강조색6 4" xfId="32955" hidden="1"/>
    <cellStyle name="40% - 강조색6 4" xfId="32997" hidden="1"/>
    <cellStyle name="40% - 강조색6 4" xfId="33039" hidden="1"/>
    <cellStyle name="40% - 강조색6 4" xfId="33081" hidden="1"/>
    <cellStyle name="40% - 강조색6 4" xfId="33123" hidden="1"/>
    <cellStyle name="40% - 강조색6 4" xfId="32619" hidden="1"/>
    <cellStyle name="40% - 강조색6 4" xfId="33302" hidden="1"/>
    <cellStyle name="40% - 강조색6 4" xfId="33342" hidden="1"/>
    <cellStyle name="40% - 강조색6 4" xfId="33382" hidden="1"/>
    <cellStyle name="40% - 강조색6 4" xfId="33422" hidden="1"/>
    <cellStyle name="40% - 강조색6 4" xfId="33462" hidden="1"/>
    <cellStyle name="40% - 강조색6 4" xfId="33502" hidden="1"/>
    <cellStyle name="40% - 강조색6 4" xfId="33542" hidden="1"/>
    <cellStyle name="40% - 강조색6 4" xfId="33582" hidden="1"/>
    <cellStyle name="40% - 강조색6 4" xfId="33622" hidden="1"/>
    <cellStyle name="40% - 강조색6 4" xfId="33662" hidden="1"/>
    <cellStyle name="40% - 강조색6 4" xfId="33702" hidden="1"/>
    <cellStyle name="40% - 강조색6 4" xfId="33742" hidden="1"/>
    <cellStyle name="40% - 강조색6 4" xfId="33169" hidden="1"/>
    <cellStyle name="40% - 강조색6 4" xfId="33140" hidden="1"/>
    <cellStyle name="40% - 강조색6 4" xfId="33784" hidden="1"/>
    <cellStyle name="40% - 강조색6 4" xfId="33826" hidden="1"/>
    <cellStyle name="40% - 강조색6 4" xfId="33868" hidden="1"/>
    <cellStyle name="40% - 강조색6 4" xfId="33910" hidden="1"/>
    <cellStyle name="40% - 강조색6 4" xfId="33952" hidden="1"/>
    <cellStyle name="40% - 강조색6 4" xfId="33994" hidden="1"/>
    <cellStyle name="40% - 강조색6 4" xfId="34036" hidden="1"/>
    <cellStyle name="40% - 강조색6 4" xfId="34078" hidden="1"/>
    <cellStyle name="40% - 강조색6 4" xfId="34120" hidden="1"/>
    <cellStyle name="40% - 강조색6 4" xfId="34162" hidden="1"/>
    <cellStyle name="40% - 강조색6 4" xfId="33221" hidden="1"/>
    <cellStyle name="40% - 강조색6 4" xfId="34190" hidden="1"/>
    <cellStyle name="40% - 강조색6 4" xfId="34230" hidden="1"/>
    <cellStyle name="40% - 강조색6 4" xfId="34270" hidden="1"/>
    <cellStyle name="40% - 강조색6 4" xfId="34310" hidden="1"/>
    <cellStyle name="40% - 강조색6 4" xfId="34350" hidden="1"/>
    <cellStyle name="40% - 강조색6 4" xfId="34390" hidden="1"/>
    <cellStyle name="40% - 강조색6 4" xfId="34430" hidden="1"/>
    <cellStyle name="40% - 강조색6 4" xfId="34470" hidden="1"/>
    <cellStyle name="40% - 강조색6 4" xfId="34510" hidden="1"/>
    <cellStyle name="40% - 강조색6 4" xfId="34550" hidden="1"/>
    <cellStyle name="40% - 강조색6 4" xfId="34590" hidden="1"/>
    <cellStyle name="40% - 강조색6 4" xfId="34630" hidden="1"/>
    <cellStyle name="40% - 강조색6 4" xfId="34727" hidden="1"/>
    <cellStyle name="40% - 강조색6 4" xfId="34767" hidden="1"/>
    <cellStyle name="40% - 강조색6 4" xfId="34807" hidden="1"/>
    <cellStyle name="40% - 강조색6 4" xfId="34847" hidden="1"/>
    <cellStyle name="40% - 강조색6 4" xfId="34887" hidden="1"/>
    <cellStyle name="40% - 강조색6 4" xfId="34927" hidden="1"/>
    <cellStyle name="40% - 강조색6 4" xfId="34967" hidden="1"/>
    <cellStyle name="40% - 강조색6 4" xfId="35007" hidden="1"/>
    <cellStyle name="40% - 강조색6 4" xfId="35047" hidden="1"/>
    <cellStyle name="40% - 강조색6 4" xfId="35087" hidden="1"/>
    <cellStyle name="40% - 강조색6 4" xfId="35127" hidden="1"/>
    <cellStyle name="40% - 강조색6 4" xfId="35167" hidden="1"/>
    <cellStyle name="40% - 강조색6 4" xfId="35251" hidden="1"/>
    <cellStyle name="40% - 강조색6 4" xfId="35292" hidden="1"/>
    <cellStyle name="40% - 강조색6 4" xfId="35334" hidden="1"/>
    <cellStyle name="40% - 강조색6 4" xfId="35376" hidden="1"/>
    <cellStyle name="40% - 강조색6 4" xfId="35418" hidden="1"/>
    <cellStyle name="40% - 강조색6 4" xfId="35460" hidden="1"/>
    <cellStyle name="40% - 강조색6 4" xfId="35502" hidden="1"/>
    <cellStyle name="40% - 강조색6 4" xfId="35544" hidden="1"/>
    <cellStyle name="40% - 강조색6 4" xfId="35586" hidden="1"/>
    <cellStyle name="40% - 강조색6 4" xfId="35628" hidden="1"/>
    <cellStyle name="40% - 강조색6 4" xfId="35670" hidden="1"/>
    <cellStyle name="40% - 강조색6 4" xfId="35712" hidden="1"/>
    <cellStyle name="40% - 강조색6 4" xfId="35208" hidden="1"/>
    <cellStyle name="40% - 강조색6 4" xfId="35891" hidden="1"/>
    <cellStyle name="40% - 강조색6 4" xfId="35931" hidden="1"/>
    <cellStyle name="40% - 강조색6 4" xfId="35971" hidden="1"/>
    <cellStyle name="40% - 강조색6 4" xfId="36011" hidden="1"/>
    <cellStyle name="40% - 강조색6 4" xfId="36051" hidden="1"/>
    <cellStyle name="40% - 강조색6 4" xfId="36091" hidden="1"/>
    <cellStyle name="40% - 강조색6 4" xfId="36131" hidden="1"/>
    <cellStyle name="40% - 강조색6 4" xfId="36171" hidden="1"/>
    <cellStyle name="40% - 강조색6 4" xfId="36211" hidden="1"/>
    <cellStyle name="40% - 강조색6 4" xfId="36251" hidden="1"/>
    <cellStyle name="40% - 강조색6 4" xfId="36291" hidden="1"/>
    <cellStyle name="40% - 강조색6 4" xfId="36331" hidden="1"/>
    <cellStyle name="40% - 강조색6 4" xfId="35758" hidden="1"/>
    <cellStyle name="40% - 강조색6 4" xfId="35729" hidden="1"/>
    <cellStyle name="40% - 강조색6 4" xfId="36373" hidden="1"/>
    <cellStyle name="40% - 강조색6 4" xfId="36415" hidden="1"/>
    <cellStyle name="40% - 강조색6 4" xfId="36457" hidden="1"/>
    <cellStyle name="40% - 강조색6 4" xfId="36499" hidden="1"/>
    <cellStyle name="40% - 강조색6 4" xfId="36541" hidden="1"/>
    <cellStyle name="40% - 강조색6 4" xfId="36583" hidden="1"/>
    <cellStyle name="40% - 강조색6 4" xfId="36625" hidden="1"/>
    <cellStyle name="40% - 강조색6 4" xfId="36667" hidden="1"/>
    <cellStyle name="40% - 강조색6 4" xfId="36709" hidden="1"/>
    <cellStyle name="40% - 강조색6 4" xfId="36751" hidden="1"/>
    <cellStyle name="40% - 강조색6 4" xfId="35810" hidden="1"/>
    <cellStyle name="40% - 강조색6 4" xfId="36779" hidden="1"/>
    <cellStyle name="40% - 강조색6 4" xfId="36819" hidden="1"/>
    <cellStyle name="40% - 강조색6 4" xfId="36859" hidden="1"/>
    <cellStyle name="40% - 강조색6 4" xfId="36899" hidden="1"/>
    <cellStyle name="40% - 강조색6 4" xfId="36939" hidden="1"/>
    <cellStyle name="40% - 강조색6 4" xfId="36979" hidden="1"/>
    <cellStyle name="40% - 강조색6 4" xfId="37019" hidden="1"/>
    <cellStyle name="40% - 강조색6 4" xfId="37059" hidden="1"/>
    <cellStyle name="40% - 강조색6 4" xfId="37099" hidden="1"/>
    <cellStyle name="40% - 강조색6 4" xfId="37139" hidden="1"/>
    <cellStyle name="40% - 강조색6 4" xfId="37179" hidden="1"/>
    <cellStyle name="40% - 강조색6 4" xfId="37219" hidden="1"/>
    <cellStyle name="40% - 강조색6 4" xfId="37230" hidden="1"/>
    <cellStyle name="40% - 강조색6 4" xfId="37270" hidden="1"/>
    <cellStyle name="40% - 강조색6 4" xfId="37311" hidden="1"/>
    <cellStyle name="40% - 강조색6 4" xfId="37351" hidden="1"/>
    <cellStyle name="40% - 강조색6 4" xfId="37391" hidden="1"/>
    <cellStyle name="40% - 강조색6 4" xfId="37431" hidden="1"/>
    <cellStyle name="40% - 강조색6 4" xfId="37471" hidden="1"/>
    <cellStyle name="40% - 강조색6 4" xfId="37511" hidden="1"/>
    <cellStyle name="40% - 강조색6 4" xfId="37551" hidden="1"/>
    <cellStyle name="40% - 강조색6 4" xfId="37591" hidden="1"/>
    <cellStyle name="40% - 강조색6 4" xfId="37631" hidden="1"/>
    <cellStyle name="40% - 강조색6 4" xfId="37671" hidden="1"/>
    <cellStyle name="40% - 강조색6 4" xfId="37755" hidden="1"/>
    <cellStyle name="40% - 강조색6 4" xfId="37796" hidden="1"/>
    <cellStyle name="40% - 강조색6 4" xfId="37838" hidden="1"/>
    <cellStyle name="40% - 강조색6 4" xfId="37880" hidden="1"/>
    <cellStyle name="40% - 강조색6 4" xfId="37922" hidden="1"/>
    <cellStyle name="40% - 강조색6 4" xfId="37964" hidden="1"/>
    <cellStyle name="40% - 강조색6 4" xfId="38006" hidden="1"/>
    <cellStyle name="40% - 강조색6 4" xfId="38048" hidden="1"/>
    <cellStyle name="40% - 강조색6 4" xfId="38090" hidden="1"/>
    <cellStyle name="40% - 강조색6 4" xfId="38132" hidden="1"/>
    <cellStyle name="40% - 강조색6 4" xfId="38174" hidden="1"/>
    <cellStyle name="40% - 강조색6 4" xfId="38216" hidden="1"/>
    <cellStyle name="40% - 강조색6 4" xfId="37712" hidden="1"/>
    <cellStyle name="40% - 강조색6 4" xfId="38395" hidden="1"/>
    <cellStyle name="40% - 강조색6 4" xfId="38435" hidden="1"/>
    <cellStyle name="40% - 강조색6 4" xfId="38475" hidden="1"/>
    <cellStyle name="40% - 강조색6 4" xfId="38515" hidden="1"/>
    <cellStyle name="40% - 강조색6 4" xfId="38555" hidden="1"/>
    <cellStyle name="40% - 강조색6 4" xfId="38595" hidden="1"/>
    <cellStyle name="40% - 강조색6 4" xfId="38635" hidden="1"/>
    <cellStyle name="40% - 강조색6 4" xfId="38675" hidden="1"/>
    <cellStyle name="40% - 강조색6 4" xfId="38715" hidden="1"/>
    <cellStyle name="40% - 강조색6 4" xfId="38755" hidden="1"/>
    <cellStyle name="40% - 강조색6 4" xfId="38795" hidden="1"/>
    <cellStyle name="40% - 강조색6 4" xfId="38835" hidden="1"/>
    <cellStyle name="40% - 강조색6 4" xfId="38262" hidden="1"/>
    <cellStyle name="40% - 강조색6 4" xfId="38233" hidden="1"/>
    <cellStyle name="40% - 강조색6 4" xfId="38877" hidden="1"/>
    <cellStyle name="40% - 강조색6 4" xfId="38919" hidden="1"/>
    <cellStyle name="40% - 강조색6 4" xfId="38961" hidden="1"/>
    <cellStyle name="40% - 강조색6 4" xfId="39003" hidden="1"/>
    <cellStyle name="40% - 강조색6 4" xfId="39045" hidden="1"/>
    <cellStyle name="40% - 강조색6 4" xfId="39087" hidden="1"/>
    <cellStyle name="40% - 강조색6 4" xfId="39129" hidden="1"/>
    <cellStyle name="40% - 강조색6 4" xfId="39171" hidden="1"/>
    <cellStyle name="40% - 강조색6 4" xfId="39213" hidden="1"/>
    <cellStyle name="40% - 강조색6 4" xfId="39255" hidden="1"/>
    <cellStyle name="40% - 강조색6 4" xfId="38314" hidden="1"/>
    <cellStyle name="40% - 강조색6 4" xfId="39283" hidden="1"/>
    <cellStyle name="40% - 강조색6 4" xfId="39323" hidden="1"/>
    <cellStyle name="40% - 강조색6 4" xfId="39363" hidden="1"/>
    <cellStyle name="40% - 강조색6 4" xfId="39403" hidden="1"/>
    <cellStyle name="40% - 강조색6 4" xfId="39443" hidden="1"/>
    <cellStyle name="40% - 강조색6 4" xfId="39483" hidden="1"/>
    <cellStyle name="40% - 강조색6 4" xfId="39523" hidden="1"/>
    <cellStyle name="40% - 강조색6 4" xfId="39563" hidden="1"/>
    <cellStyle name="40% - 강조색6 4" xfId="39603" hidden="1"/>
    <cellStyle name="40% - 강조색6 4" xfId="39643" hidden="1"/>
    <cellStyle name="40% - 강조색6 4" xfId="39683" hidden="1"/>
    <cellStyle name="40% - 강조색6 4" xfId="39723" hidden="1"/>
    <cellStyle name="40% - 강조색6 4" xfId="39733" hidden="1"/>
    <cellStyle name="40% - 강조색6 4" xfId="39773" hidden="1"/>
    <cellStyle name="40% - 강조색6 4" xfId="39813" hidden="1"/>
    <cellStyle name="40% - 강조색6 4" xfId="39853" hidden="1"/>
    <cellStyle name="40% - 강조색6 4" xfId="39893" hidden="1"/>
    <cellStyle name="40% - 강조색6 4" xfId="39933" hidden="1"/>
    <cellStyle name="40% - 강조색6 4" xfId="39973" hidden="1"/>
    <cellStyle name="40% - 강조색6 4" xfId="40013" hidden="1"/>
    <cellStyle name="40% - 강조색6 4" xfId="40053" hidden="1"/>
    <cellStyle name="40% - 강조색6 4" xfId="40093" hidden="1"/>
    <cellStyle name="40% - 강조색6 4" xfId="40133" hidden="1"/>
    <cellStyle name="40% - 강조색6 4" xfId="40173" hidden="1"/>
    <cellStyle name="40% - 강조색6 4" xfId="40257" hidden="1"/>
    <cellStyle name="40% - 강조색6 4" xfId="40298" hidden="1"/>
    <cellStyle name="40% - 강조색6 4" xfId="40340" hidden="1"/>
    <cellStyle name="40% - 강조색6 4" xfId="40382" hidden="1"/>
    <cellStyle name="40% - 강조색6 4" xfId="40424" hidden="1"/>
    <cellStyle name="40% - 강조색6 4" xfId="40466" hidden="1"/>
    <cellStyle name="40% - 강조색6 4" xfId="40508" hidden="1"/>
    <cellStyle name="40% - 강조색6 4" xfId="40550" hidden="1"/>
    <cellStyle name="40% - 강조색6 4" xfId="40592" hidden="1"/>
    <cellStyle name="40% - 강조색6 4" xfId="40634" hidden="1"/>
    <cellStyle name="40% - 강조색6 4" xfId="40676" hidden="1"/>
    <cellStyle name="40% - 강조색6 4" xfId="40718" hidden="1"/>
    <cellStyle name="40% - 강조색6 4" xfId="40214" hidden="1"/>
    <cellStyle name="40% - 강조색6 4" xfId="40897" hidden="1"/>
    <cellStyle name="40% - 강조색6 4" xfId="40937" hidden="1"/>
    <cellStyle name="40% - 강조색6 4" xfId="40977" hidden="1"/>
    <cellStyle name="40% - 강조색6 4" xfId="41017" hidden="1"/>
    <cellStyle name="40% - 강조색6 4" xfId="41057" hidden="1"/>
    <cellStyle name="40% - 강조색6 4" xfId="41097" hidden="1"/>
    <cellStyle name="40% - 강조색6 4" xfId="41137" hidden="1"/>
    <cellStyle name="40% - 강조색6 4" xfId="41177" hidden="1"/>
    <cellStyle name="40% - 강조색6 4" xfId="41217" hidden="1"/>
    <cellStyle name="40% - 강조색6 4" xfId="41257" hidden="1"/>
    <cellStyle name="40% - 강조색6 4" xfId="41297" hidden="1"/>
    <cellStyle name="40% - 강조색6 4" xfId="41337" hidden="1"/>
    <cellStyle name="40% - 강조색6 4" xfId="40764" hidden="1"/>
    <cellStyle name="40% - 강조색6 4" xfId="40735" hidden="1"/>
    <cellStyle name="40% - 강조색6 4" xfId="41379" hidden="1"/>
    <cellStyle name="40% - 강조색6 4" xfId="41421" hidden="1"/>
    <cellStyle name="40% - 강조색6 4" xfId="41463" hidden="1"/>
    <cellStyle name="40% - 강조색6 4" xfId="41505" hidden="1"/>
    <cellStyle name="40% - 강조색6 4" xfId="41547" hidden="1"/>
    <cellStyle name="40% - 강조색6 4" xfId="41589" hidden="1"/>
    <cellStyle name="40% - 강조색6 4" xfId="41631" hidden="1"/>
    <cellStyle name="40% - 강조색6 4" xfId="41673" hidden="1"/>
    <cellStyle name="40% - 강조색6 4" xfId="41715" hidden="1"/>
    <cellStyle name="40% - 강조색6 4" xfId="41757" hidden="1"/>
    <cellStyle name="40% - 강조색6 4" xfId="40816" hidden="1"/>
    <cellStyle name="40% - 강조색6 4" xfId="41785" hidden="1"/>
    <cellStyle name="40% - 강조색6 4" xfId="41825" hidden="1"/>
    <cellStyle name="40% - 강조색6 4" xfId="41865" hidden="1"/>
    <cellStyle name="40% - 강조색6 4" xfId="41905" hidden="1"/>
    <cellStyle name="40% - 강조색6 4" xfId="41945" hidden="1"/>
    <cellStyle name="40% - 강조색6 4" xfId="41985" hidden="1"/>
    <cellStyle name="40% - 강조색6 4" xfId="42025" hidden="1"/>
    <cellStyle name="40% - 강조색6 4" xfId="42065" hidden="1"/>
    <cellStyle name="40% - 강조색6 4" xfId="42105" hidden="1"/>
    <cellStyle name="40% - 강조색6 4" xfId="42145" hidden="1"/>
    <cellStyle name="40% - 강조색6 4" xfId="42185" hidden="1"/>
    <cellStyle name="40% - 강조색6 4" xfId="42225" hidden="1"/>
    <cellStyle name="40% - 강조색6 4" xfId="42268" hidden="1"/>
    <cellStyle name="40% - 강조색6 4" xfId="42308" hidden="1"/>
    <cellStyle name="40% - 강조색6 4" xfId="42348" hidden="1"/>
    <cellStyle name="40% - 강조색6 4" xfId="42388" hidden="1"/>
    <cellStyle name="40% - 강조색6 4" xfId="42428" hidden="1"/>
    <cellStyle name="40% - 강조색6 4" xfId="42468" hidden="1"/>
    <cellStyle name="40% - 강조색6 4" xfId="42508" hidden="1"/>
    <cellStyle name="40% - 강조색6 4" xfId="42548" hidden="1"/>
    <cellStyle name="40% - 강조색6 4" xfId="42588" hidden="1"/>
    <cellStyle name="40% - 강조색6 4" xfId="42628" hidden="1"/>
    <cellStyle name="40% - 강조색6 4" xfId="42668" hidden="1"/>
    <cellStyle name="40% - 강조색6 4" xfId="42708" hidden="1"/>
    <cellStyle name="40% - 강조색6 4" xfId="42792" hidden="1"/>
    <cellStyle name="40% - 강조색6 4" xfId="42833" hidden="1"/>
    <cellStyle name="40% - 강조색6 4" xfId="42875" hidden="1"/>
    <cellStyle name="40% - 강조색6 4" xfId="42917" hidden="1"/>
    <cellStyle name="40% - 강조색6 4" xfId="42959" hidden="1"/>
    <cellStyle name="40% - 강조색6 4" xfId="43001" hidden="1"/>
    <cellStyle name="40% - 강조색6 4" xfId="43043" hidden="1"/>
    <cellStyle name="40% - 강조색6 4" xfId="43085" hidden="1"/>
    <cellStyle name="40% - 강조색6 4" xfId="43127" hidden="1"/>
    <cellStyle name="40% - 강조색6 4" xfId="43169" hidden="1"/>
    <cellStyle name="40% - 강조색6 4" xfId="43211" hidden="1"/>
    <cellStyle name="40% - 강조색6 4" xfId="43253" hidden="1"/>
    <cellStyle name="40% - 강조색6 4" xfId="42749" hidden="1"/>
    <cellStyle name="40% - 강조색6 4" xfId="43432" hidden="1"/>
    <cellStyle name="40% - 강조색6 4" xfId="43472" hidden="1"/>
    <cellStyle name="40% - 강조색6 4" xfId="43512" hidden="1"/>
    <cellStyle name="40% - 강조색6 4" xfId="43552" hidden="1"/>
    <cellStyle name="40% - 강조색6 4" xfId="43592" hidden="1"/>
    <cellStyle name="40% - 강조색6 4" xfId="43632" hidden="1"/>
    <cellStyle name="40% - 강조색6 4" xfId="43672" hidden="1"/>
    <cellStyle name="40% - 강조색6 4" xfId="43712" hidden="1"/>
    <cellStyle name="40% - 강조색6 4" xfId="43752" hidden="1"/>
    <cellStyle name="40% - 강조색6 4" xfId="43792" hidden="1"/>
    <cellStyle name="40% - 강조색6 4" xfId="43832" hidden="1"/>
    <cellStyle name="40% - 강조색6 4" xfId="43872" hidden="1"/>
    <cellStyle name="40% - 강조색6 4" xfId="43299" hidden="1"/>
    <cellStyle name="40% - 강조색6 4" xfId="43270" hidden="1"/>
    <cellStyle name="40% - 강조색6 4" xfId="43914" hidden="1"/>
    <cellStyle name="40% - 강조색6 4" xfId="43956" hidden="1"/>
    <cellStyle name="40% - 강조색6 4" xfId="43998" hidden="1"/>
    <cellStyle name="40% - 강조색6 4" xfId="44040" hidden="1"/>
    <cellStyle name="40% - 강조색6 4" xfId="44082" hidden="1"/>
    <cellStyle name="40% - 강조색6 4" xfId="44124" hidden="1"/>
    <cellStyle name="40% - 강조색6 4" xfId="44166" hidden="1"/>
    <cellStyle name="40% - 강조색6 4" xfId="44208" hidden="1"/>
    <cellStyle name="40% - 강조색6 4" xfId="44250" hidden="1"/>
    <cellStyle name="40% - 강조색6 4" xfId="44292" hidden="1"/>
    <cellStyle name="40% - 강조색6 4" xfId="43351" hidden="1"/>
    <cellStyle name="40% - 강조색6 4" xfId="44320" hidden="1"/>
    <cellStyle name="40% - 강조색6 4" xfId="44360" hidden="1"/>
    <cellStyle name="40% - 강조색6 4" xfId="44400" hidden="1"/>
    <cellStyle name="40% - 강조색6 4" xfId="44440" hidden="1"/>
    <cellStyle name="40% - 강조색6 4" xfId="44480" hidden="1"/>
    <cellStyle name="40% - 강조색6 4" xfId="44520" hidden="1"/>
    <cellStyle name="40% - 강조색6 4" xfId="44560" hidden="1"/>
    <cellStyle name="40% - 강조색6 4" xfId="44600" hidden="1"/>
    <cellStyle name="40% - 강조색6 4" xfId="44640" hidden="1"/>
    <cellStyle name="40% - 강조색6 4" xfId="44680" hidden="1"/>
    <cellStyle name="40% - 강조색6 4" xfId="44720" hidden="1"/>
    <cellStyle name="40% - 강조색6 4" xfId="44760" hidden="1"/>
    <cellStyle name="40% - 강조색6 4" xfId="44856" hidden="1"/>
    <cellStyle name="40% - 강조색6 4" xfId="44896" hidden="1"/>
    <cellStyle name="40% - 강조색6 4" xfId="44938" hidden="1"/>
    <cellStyle name="40% - 강조색6 4" xfId="44979" hidden="1"/>
    <cellStyle name="40% - 강조색6 4" xfId="45019" hidden="1"/>
    <cellStyle name="40% - 강조색6 4" xfId="45059" hidden="1"/>
    <cellStyle name="40% - 강조색6 4" xfId="45099" hidden="1"/>
    <cellStyle name="40% - 강조색6 4" xfId="45139" hidden="1"/>
    <cellStyle name="40% - 강조색6 4" xfId="45179" hidden="1"/>
    <cellStyle name="40% - 강조색6 4" xfId="45219" hidden="1"/>
    <cellStyle name="40% - 강조색6 4" xfId="45259" hidden="1"/>
    <cellStyle name="40% - 강조색6 4" xfId="45299" hidden="1"/>
    <cellStyle name="40% - 강조색6 4" xfId="45383" hidden="1"/>
    <cellStyle name="40% - 강조색6 4" xfId="45424" hidden="1"/>
    <cellStyle name="40% - 강조색6 4" xfId="45466" hidden="1"/>
    <cellStyle name="40% - 강조색6 4" xfId="45508" hidden="1"/>
    <cellStyle name="40% - 강조색6 4" xfId="45550" hidden="1"/>
    <cellStyle name="40% - 강조색6 4" xfId="45592" hidden="1"/>
    <cellStyle name="40% - 강조색6 4" xfId="45634" hidden="1"/>
    <cellStyle name="40% - 강조색6 4" xfId="45676" hidden="1"/>
    <cellStyle name="40% - 강조색6 4" xfId="45718" hidden="1"/>
    <cellStyle name="40% - 강조색6 4" xfId="45760" hidden="1"/>
    <cellStyle name="40% - 강조색6 4" xfId="45802" hidden="1"/>
    <cellStyle name="40% - 강조색6 4" xfId="45844" hidden="1"/>
    <cellStyle name="40% - 강조색6 4" xfId="45340" hidden="1"/>
    <cellStyle name="40% - 강조색6 4" xfId="46023" hidden="1"/>
    <cellStyle name="40% - 강조색6 4" xfId="46063" hidden="1"/>
    <cellStyle name="40% - 강조색6 4" xfId="46103" hidden="1"/>
    <cellStyle name="40% - 강조색6 4" xfId="46143" hidden="1"/>
    <cellStyle name="40% - 강조색6 4" xfId="46183" hidden="1"/>
    <cellStyle name="40% - 강조색6 4" xfId="46223" hidden="1"/>
    <cellStyle name="40% - 강조색6 4" xfId="46263" hidden="1"/>
    <cellStyle name="40% - 강조색6 4" xfId="46303" hidden="1"/>
    <cellStyle name="40% - 강조색6 4" xfId="46343" hidden="1"/>
    <cellStyle name="40% - 강조색6 4" xfId="46383" hidden="1"/>
    <cellStyle name="40% - 강조색6 4" xfId="46423" hidden="1"/>
    <cellStyle name="40% - 강조색6 4" xfId="46463" hidden="1"/>
    <cellStyle name="40% - 강조색6 4" xfId="45890" hidden="1"/>
    <cellStyle name="40% - 강조색6 4" xfId="45861" hidden="1"/>
    <cellStyle name="40% - 강조색6 4" xfId="46505" hidden="1"/>
    <cellStyle name="40% - 강조색6 4" xfId="46547" hidden="1"/>
    <cellStyle name="40% - 강조색6 4" xfId="46589" hidden="1"/>
    <cellStyle name="40% - 강조색6 4" xfId="46631" hidden="1"/>
    <cellStyle name="40% - 강조색6 4" xfId="46673" hidden="1"/>
    <cellStyle name="40% - 강조색6 4" xfId="46715" hidden="1"/>
    <cellStyle name="40% - 강조색6 4" xfId="46757" hidden="1"/>
    <cellStyle name="40% - 강조색6 4" xfId="46799" hidden="1"/>
    <cellStyle name="40% - 강조색6 4" xfId="46841" hidden="1"/>
    <cellStyle name="40% - 강조색6 4" xfId="46883" hidden="1"/>
    <cellStyle name="40% - 강조색6 4" xfId="45942" hidden="1"/>
    <cellStyle name="40% - 강조색6 4" xfId="46911" hidden="1"/>
    <cellStyle name="40% - 강조색6 4" xfId="46951" hidden="1"/>
    <cellStyle name="40% - 강조색6 4" xfId="46991" hidden="1"/>
    <cellStyle name="40% - 강조색6 4" xfId="47031" hidden="1"/>
    <cellStyle name="40% - 강조색6 4" xfId="47071" hidden="1"/>
    <cellStyle name="40% - 강조색6 4" xfId="47111" hidden="1"/>
    <cellStyle name="40% - 강조색6 4" xfId="47151" hidden="1"/>
    <cellStyle name="40% - 강조색6 4" xfId="47191" hidden="1"/>
    <cellStyle name="40% - 강조색6 4" xfId="47231" hidden="1"/>
    <cellStyle name="40% - 강조색6 4" xfId="47271" hidden="1"/>
    <cellStyle name="40% - 강조색6 4" xfId="47311" hidden="1"/>
    <cellStyle name="40% - 강조색6 4" xfId="47351" hidden="1"/>
    <cellStyle name="40% - 강조색6 4" xfId="47362" hidden="1"/>
    <cellStyle name="40% - 강조색6 4" xfId="47402" hidden="1"/>
    <cellStyle name="40% - 강조색6 4" xfId="47442" hidden="1"/>
    <cellStyle name="40% - 강조색6 4" xfId="47482" hidden="1"/>
    <cellStyle name="40% - 강조색6 4" xfId="47522" hidden="1"/>
    <cellStyle name="40% - 강조색6 4" xfId="47562" hidden="1"/>
    <cellStyle name="40% - 강조색6 4" xfId="47602" hidden="1"/>
    <cellStyle name="40% - 강조색6 4" xfId="47642" hidden="1"/>
    <cellStyle name="40% - 강조색6 4" xfId="47682" hidden="1"/>
    <cellStyle name="40% - 강조색6 4" xfId="47722" hidden="1"/>
    <cellStyle name="40% - 강조색6 4" xfId="47762" hidden="1"/>
    <cellStyle name="40% - 강조색6 4" xfId="47802" hidden="1"/>
    <cellStyle name="40% - 강조색6 4" xfId="47886" hidden="1"/>
    <cellStyle name="40% - 강조색6 4" xfId="47927" hidden="1"/>
    <cellStyle name="40% - 강조색6 4" xfId="47969" hidden="1"/>
    <cellStyle name="40% - 강조색6 4" xfId="48011" hidden="1"/>
    <cellStyle name="40% - 강조색6 4" xfId="48053" hidden="1"/>
    <cellStyle name="40% - 강조색6 4" xfId="48095" hidden="1"/>
    <cellStyle name="40% - 강조색6 4" xfId="48137" hidden="1"/>
    <cellStyle name="40% - 강조색6 4" xfId="48179" hidden="1"/>
    <cellStyle name="40% - 강조색6 4" xfId="48221" hidden="1"/>
    <cellStyle name="40% - 강조색6 4" xfId="48263" hidden="1"/>
    <cellStyle name="40% - 강조색6 4" xfId="48305" hidden="1"/>
    <cellStyle name="40% - 강조색6 4" xfId="48347" hidden="1"/>
    <cellStyle name="40% - 강조색6 4" xfId="47843" hidden="1"/>
    <cellStyle name="40% - 강조색6 4" xfId="48526" hidden="1"/>
    <cellStyle name="40% - 강조색6 4" xfId="48566" hidden="1"/>
    <cellStyle name="40% - 강조색6 4" xfId="48606" hidden="1"/>
    <cellStyle name="40% - 강조색6 4" xfId="48646" hidden="1"/>
    <cellStyle name="40% - 강조색6 4" xfId="48686" hidden="1"/>
    <cellStyle name="40% - 강조색6 4" xfId="48726" hidden="1"/>
    <cellStyle name="40% - 강조색6 4" xfId="48766" hidden="1"/>
    <cellStyle name="40% - 강조색6 4" xfId="48806" hidden="1"/>
    <cellStyle name="40% - 강조색6 4" xfId="48846" hidden="1"/>
    <cellStyle name="40% - 강조색6 4" xfId="48886" hidden="1"/>
    <cellStyle name="40% - 강조색6 4" xfId="48926" hidden="1"/>
    <cellStyle name="40% - 강조색6 4" xfId="48966" hidden="1"/>
    <cellStyle name="40% - 강조색6 4" xfId="48393" hidden="1"/>
    <cellStyle name="40% - 강조색6 4" xfId="48364" hidden="1"/>
    <cellStyle name="40% - 강조색6 4" xfId="49008" hidden="1"/>
    <cellStyle name="40% - 강조색6 4" xfId="49050" hidden="1"/>
    <cellStyle name="40% - 강조색6 4" xfId="49092" hidden="1"/>
    <cellStyle name="40% - 강조색6 4" xfId="49134" hidden="1"/>
    <cellStyle name="40% - 강조색6 4" xfId="49176" hidden="1"/>
    <cellStyle name="40% - 강조색6 4" xfId="49218" hidden="1"/>
    <cellStyle name="40% - 강조색6 4" xfId="49260" hidden="1"/>
    <cellStyle name="40% - 강조색6 4" xfId="49302" hidden="1"/>
    <cellStyle name="40% - 강조색6 4" xfId="49344" hidden="1"/>
    <cellStyle name="40% - 강조색6 4" xfId="49386" hidden="1"/>
    <cellStyle name="40% - 강조색6 4" xfId="48445" hidden="1"/>
    <cellStyle name="40% - 강조색6 4" xfId="49414" hidden="1"/>
    <cellStyle name="40% - 강조색6 4" xfId="49454" hidden="1"/>
    <cellStyle name="40% - 강조색6 4" xfId="49494" hidden="1"/>
    <cellStyle name="40% - 강조색6 4" xfId="49534" hidden="1"/>
    <cellStyle name="40% - 강조색6 4" xfId="49574" hidden="1"/>
    <cellStyle name="40% - 강조색6 4" xfId="49614" hidden="1"/>
    <cellStyle name="40% - 강조색6 4" xfId="49654" hidden="1"/>
    <cellStyle name="40% - 강조색6 4" xfId="49694" hidden="1"/>
    <cellStyle name="40% - 강조색6 4" xfId="49734" hidden="1"/>
    <cellStyle name="40% - 강조색6 4" xfId="49774" hidden="1"/>
    <cellStyle name="40% - 강조색6 4" xfId="49814" hidden="1"/>
    <cellStyle name="40% - 강조색6 4" xfId="49854" hidden="1"/>
    <cellStyle name="40% - 강조색6 4" xfId="49864" hidden="1"/>
    <cellStyle name="40% - 강조색6 4" xfId="49904" hidden="1"/>
    <cellStyle name="40% - 강조색6 4" xfId="49944" hidden="1"/>
    <cellStyle name="40% - 강조색6 4" xfId="49984" hidden="1"/>
    <cellStyle name="40% - 강조색6 4" xfId="50024" hidden="1"/>
    <cellStyle name="40% - 강조색6 4" xfId="50064" hidden="1"/>
    <cellStyle name="40% - 강조색6 4" xfId="50104" hidden="1"/>
    <cellStyle name="40% - 강조색6 4" xfId="50144" hidden="1"/>
    <cellStyle name="40% - 강조색6 4" xfId="50184" hidden="1"/>
    <cellStyle name="40% - 강조색6 4" xfId="50224" hidden="1"/>
    <cellStyle name="40% - 강조색6 4" xfId="50264" hidden="1"/>
    <cellStyle name="40% - 강조색6 4" xfId="50304" hidden="1"/>
    <cellStyle name="40% - 강조색6 4" xfId="50388" hidden="1"/>
    <cellStyle name="40% - 강조색6 4" xfId="50429" hidden="1"/>
    <cellStyle name="40% - 강조색6 4" xfId="50471" hidden="1"/>
    <cellStyle name="40% - 강조색6 4" xfId="50513" hidden="1"/>
    <cellStyle name="40% - 강조색6 4" xfId="50555" hidden="1"/>
    <cellStyle name="40% - 강조색6 4" xfId="50597" hidden="1"/>
    <cellStyle name="40% - 강조색6 4" xfId="50639" hidden="1"/>
    <cellStyle name="40% - 강조색6 4" xfId="50681" hidden="1"/>
    <cellStyle name="40% - 강조색6 4" xfId="50723" hidden="1"/>
    <cellStyle name="40% - 강조색6 4" xfId="50765" hidden="1"/>
    <cellStyle name="40% - 강조색6 4" xfId="50807" hidden="1"/>
    <cellStyle name="40% - 강조색6 4" xfId="50849" hidden="1"/>
    <cellStyle name="40% - 강조색6 4" xfId="50345" hidden="1"/>
    <cellStyle name="40% - 강조색6 4" xfId="51028" hidden="1"/>
    <cellStyle name="40% - 강조색6 4" xfId="51068" hidden="1"/>
    <cellStyle name="40% - 강조색6 4" xfId="51108" hidden="1"/>
    <cellStyle name="40% - 강조색6 4" xfId="51148" hidden="1"/>
    <cellStyle name="40% - 강조색6 4" xfId="51188" hidden="1"/>
    <cellStyle name="40% - 강조색6 4" xfId="51228" hidden="1"/>
    <cellStyle name="40% - 강조색6 4" xfId="51268" hidden="1"/>
    <cellStyle name="40% - 강조색6 4" xfId="51308" hidden="1"/>
    <cellStyle name="40% - 강조색6 4" xfId="51348" hidden="1"/>
    <cellStyle name="40% - 강조색6 4" xfId="51388" hidden="1"/>
    <cellStyle name="40% - 강조색6 4" xfId="51428" hidden="1"/>
    <cellStyle name="40% - 강조색6 4" xfId="51468" hidden="1"/>
    <cellStyle name="40% - 강조색6 4" xfId="50895" hidden="1"/>
    <cellStyle name="40% - 강조색6 4" xfId="50866" hidden="1"/>
    <cellStyle name="40% - 강조색6 4" xfId="51510" hidden="1"/>
    <cellStyle name="40% - 강조색6 4" xfId="51552" hidden="1"/>
    <cellStyle name="40% - 강조색6 4" xfId="51594" hidden="1"/>
    <cellStyle name="40% - 강조색6 4" xfId="51636" hidden="1"/>
    <cellStyle name="40% - 강조색6 4" xfId="51678" hidden="1"/>
    <cellStyle name="40% - 강조색6 4" xfId="51720" hidden="1"/>
    <cellStyle name="40% - 강조색6 4" xfId="51762" hidden="1"/>
    <cellStyle name="40% - 강조색6 4" xfId="51804" hidden="1"/>
    <cellStyle name="40% - 강조색6 4" xfId="51846" hidden="1"/>
    <cellStyle name="40% - 강조색6 4" xfId="51888" hidden="1"/>
    <cellStyle name="40% - 강조색6 4" xfId="50947" hidden="1"/>
    <cellStyle name="40% - 강조색6 4" xfId="51916" hidden="1"/>
    <cellStyle name="40% - 강조색6 4" xfId="51956" hidden="1"/>
    <cellStyle name="40% - 강조색6 4" xfId="51996" hidden="1"/>
    <cellStyle name="40% - 강조색6 4" xfId="52036" hidden="1"/>
    <cellStyle name="40% - 강조색6 4" xfId="52076" hidden="1"/>
    <cellStyle name="40% - 강조색6 4" xfId="52116" hidden="1"/>
    <cellStyle name="40% - 강조색6 4" xfId="52156" hidden="1"/>
    <cellStyle name="40% - 강조색6 4" xfId="52196" hidden="1"/>
    <cellStyle name="40% - 강조색6 4" xfId="52236" hidden="1"/>
    <cellStyle name="40% - 강조색6 4" xfId="52276" hidden="1"/>
    <cellStyle name="40% - 강조색6 4" xfId="52316" hidden="1"/>
    <cellStyle name="40% - 강조색6 4" xfId="52356" hidden="1"/>
    <cellStyle name="40% - 강조색6 4 2" xfId="2617"/>
    <cellStyle name="40% - 강조색6 4 3" xfId="2618"/>
    <cellStyle name="40% - 강조색6 4 4" xfId="2619"/>
    <cellStyle name="40% - 강조색6 4 5" xfId="2620"/>
    <cellStyle name="40% - 강조색6 40" xfId="2621"/>
    <cellStyle name="40% - 강조색6 41" xfId="2622"/>
    <cellStyle name="40% - 강조색6 42" xfId="2623"/>
    <cellStyle name="40% - 강조색6 43" xfId="2624"/>
    <cellStyle name="40% - 강조색6 44" xfId="2625"/>
    <cellStyle name="40% - 강조색6 45" xfId="2626"/>
    <cellStyle name="40% - 강조색6 46" xfId="2627"/>
    <cellStyle name="40% - 강조색6 47" xfId="2628"/>
    <cellStyle name="40% - 강조색6 48" xfId="2629"/>
    <cellStyle name="40% - 강조색6 49" xfId="2630"/>
    <cellStyle name="40% - 강조색6 5" xfId="2631"/>
    <cellStyle name="40% - 강조색6 50" xfId="2632"/>
    <cellStyle name="40% - 강조색6 51" xfId="2633"/>
    <cellStyle name="40% - 강조색6 52" xfId="2634"/>
    <cellStyle name="40% - 강조색6 6" xfId="2635"/>
    <cellStyle name="40% - 강조색6 7" xfId="2636"/>
    <cellStyle name="40% - 강조색6 8" xfId="2637"/>
    <cellStyle name="40% - 강조색6 9" xfId="2638"/>
    <cellStyle name="60% - 강조색1 10" xfId="2639"/>
    <cellStyle name="60% - 강조색1 11" xfId="2640"/>
    <cellStyle name="60% - 강조색1 12" xfId="2641"/>
    <cellStyle name="60% - 강조색1 13" xfId="2642"/>
    <cellStyle name="60% - 강조색1 14" xfId="2643"/>
    <cellStyle name="60% - 강조색1 15" xfId="2644"/>
    <cellStyle name="60% - 강조색1 16" xfId="2645"/>
    <cellStyle name="60% - 강조색1 17" xfId="2646"/>
    <cellStyle name="60% - 강조색1 18" xfId="2647"/>
    <cellStyle name="60% - 강조색1 19" xfId="2648"/>
    <cellStyle name="60% - 강조색1 2" xfId="134"/>
    <cellStyle name="60% - 강조색1 2 10" xfId="2649"/>
    <cellStyle name="60% - 강조색1 2 100" xfId="2650"/>
    <cellStyle name="60% - 강조색1 2 101" xfId="2651"/>
    <cellStyle name="60% - 강조색1 2 102" xfId="2652"/>
    <cellStyle name="60% - 강조색1 2 103" xfId="2653"/>
    <cellStyle name="60% - 강조색1 2 104" xfId="2654"/>
    <cellStyle name="60% - 강조색1 2 105" xfId="2655"/>
    <cellStyle name="60% - 강조색1 2 106" xfId="2656"/>
    <cellStyle name="60% - 강조색1 2 107" xfId="2657"/>
    <cellStyle name="60% - 강조색1 2 108" xfId="2658"/>
    <cellStyle name="60% - 강조색1 2 109" xfId="2659"/>
    <cellStyle name="60% - 강조색1 2 11" xfId="2660"/>
    <cellStyle name="60% - 강조색1 2 110" xfId="2661"/>
    <cellStyle name="60% - 강조색1 2 111" xfId="2662"/>
    <cellStyle name="60% - 강조색1 2 112" xfId="2663"/>
    <cellStyle name="60% - 강조색1 2 12" xfId="2664"/>
    <cellStyle name="60% - 강조색1 2 13" xfId="2665"/>
    <cellStyle name="60% - 강조색1 2 14" xfId="2666"/>
    <cellStyle name="60% - 강조색1 2 15" xfId="2667"/>
    <cellStyle name="60% - 강조색1 2 16" xfId="2668"/>
    <cellStyle name="60% - 강조색1 2 17" xfId="2669"/>
    <cellStyle name="60% - 강조색1 2 18" xfId="2670"/>
    <cellStyle name="60% - 강조색1 2 19" xfId="2671"/>
    <cellStyle name="60% - 강조색1 2 2" xfId="2672"/>
    <cellStyle name="60% - 강조색1 2 2 2" xfId="2673"/>
    <cellStyle name="60% - 강조색1 2 2 3" xfId="2674"/>
    <cellStyle name="60% - 강조색1 2 2 4" xfId="2675"/>
    <cellStyle name="60% - 강조색1 2 2 5" xfId="2676"/>
    <cellStyle name="60% - 강조색1 2 20" xfId="2677"/>
    <cellStyle name="60% - 강조색1 2 21" xfId="2678"/>
    <cellStyle name="60% - 강조색1 2 22" xfId="2679"/>
    <cellStyle name="60% - 강조색1 2 23" xfId="2680"/>
    <cellStyle name="60% - 강조색1 2 24" xfId="2681"/>
    <cellStyle name="60% - 강조색1 2 25" xfId="2682"/>
    <cellStyle name="60% - 강조색1 2 26" xfId="2683"/>
    <cellStyle name="60% - 강조색1 2 27" xfId="2684"/>
    <cellStyle name="60% - 강조색1 2 28" xfId="2685"/>
    <cellStyle name="60% - 강조색1 2 29" xfId="2686"/>
    <cellStyle name="60% - 강조색1 2 3" xfId="2687"/>
    <cellStyle name="60% - 강조색1 2 30" xfId="2688"/>
    <cellStyle name="60% - 강조색1 2 31" xfId="2689"/>
    <cellStyle name="60% - 강조색1 2 32" xfId="2690"/>
    <cellStyle name="60% - 강조색1 2 33" xfId="2691"/>
    <cellStyle name="60% - 강조색1 2 34" xfId="2692"/>
    <cellStyle name="60% - 강조색1 2 35" xfId="2693"/>
    <cellStyle name="60% - 강조색1 2 36" xfId="2694"/>
    <cellStyle name="60% - 강조색1 2 37" xfId="2695"/>
    <cellStyle name="60% - 강조색1 2 38" xfId="2696"/>
    <cellStyle name="60% - 강조색1 2 39" xfId="2697"/>
    <cellStyle name="60% - 강조색1 2 4" xfId="2698"/>
    <cellStyle name="60% - 강조색1 2 40" xfId="2699"/>
    <cellStyle name="60% - 강조색1 2 41" xfId="2700"/>
    <cellStyle name="60% - 강조색1 2 42" xfId="2701"/>
    <cellStyle name="60% - 강조색1 2 43" xfId="2702"/>
    <cellStyle name="60% - 강조색1 2 44" xfId="2703"/>
    <cellStyle name="60% - 강조색1 2 45" xfId="2704"/>
    <cellStyle name="60% - 강조색1 2 46" xfId="2705"/>
    <cellStyle name="60% - 강조색1 2 47" xfId="2706"/>
    <cellStyle name="60% - 강조색1 2 48" xfId="2707"/>
    <cellStyle name="60% - 강조색1 2 49" xfId="2708"/>
    <cellStyle name="60% - 강조색1 2 5" xfId="2709"/>
    <cellStyle name="60% - 강조색1 2 50" xfId="2710"/>
    <cellStyle name="60% - 강조색1 2 51" xfId="2711"/>
    <cellStyle name="60% - 강조색1 2 52" xfId="2712"/>
    <cellStyle name="60% - 강조색1 2 53" xfId="2713"/>
    <cellStyle name="60% - 강조색1 2 54" xfId="2714"/>
    <cellStyle name="60% - 강조색1 2 55" xfId="2715"/>
    <cellStyle name="60% - 강조색1 2 56" xfId="2716"/>
    <cellStyle name="60% - 강조색1 2 57" xfId="2717"/>
    <cellStyle name="60% - 강조색1 2 58" xfId="2718"/>
    <cellStyle name="60% - 강조색1 2 59" xfId="2719"/>
    <cellStyle name="60% - 강조색1 2 6" xfId="2720"/>
    <cellStyle name="60% - 강조색1 2 60" xfId="2721"/>
    <cellStyle name="60% - 강조색1 2 61" xfId="2722"/>
    <cellStyle name="60% - 강조색1 2 62" xfId="2723"/>
    <cellStyle name="60% - 강조색1 2 63" xfId="2724"/>
    <cellStyle name="60% - 강조색1 2 64" xfId="2725"/>
    <cellStyle name="60% - 강조색1 2 65" xfId="2726"/>
    <cellStyle name="60% - 강조색1 2 66" xfId="2727"/>
    <cellStyle name="60% - 강조색1 2 67" xfId="2728"/>
    <cellStyle name="60% - 강조색1 2 68" xfId="2729"/>
    <cellStyle name="60% - 강조색1 2 69" xfId="2730"/>
    <cellStyle name="60% - 강조색1 2 7" xfId="2731"/>
    <cellStyle name="60% - 강조색1 2 70" xfId="2732"/>
    <cellStyle name="60% - 강조색1 2 71" xfId="2733"/>
    <cellStyle name="60% - 강조색1 2 72" xfId="2734"/>
    <cellStyle name="60% - 강조색1 2 73" xfId="2735"/>
    <cellStyle name="60% - 강조색1 2 74" xfId="2736"/>
    <cellStyle name="60% - 강조색1 2 75" xfId="2737"/>
    <cellStyle name="60% - 강조색1 2 76" xfId="2738"/>
    <cellStyle name="60% - 강조색1 2 77" xfId="2739"/>
    <cellStyle name="60% - 강조색1 2 78" xfId="2740"/>
    <cellStyle name="60% - 강조색1 2 79" xfId="2741"/>
    <cellStyle name="60% - 강조색1 2 8" xfId="2742"/>
    <cellStyle name="60% - 강조색1 2 80" xfId="2743"/>
    <cellStyle name="60% - 강조색1 2 81" xfId="2744"/>
    <cellStyle name="60% - 강조색1 2 82" xfId="2745"/>
    <cellStyle name="60% - 강조색1 2 83" xfId="2746"/>
    <cellStyle name="60% - 강조색1 2 84" xfId="2747"/>
    <cellStyle name="60% - 강조색1 2 85" xfId="2748"/>
    <cellStyle name="60% - 강조색1 2 86" xfId="2749"/>
    <cellStyle name="60% - 강조색1 2 87" xfId="2750"/>
    <cellStyle name="60% - 강조색1 2 88" xfId="2751"/>
    <cellStyle name="60% - 강조색1 2 89" xfId="2752"/>
    <cellStyle name="60% - 강조색1 2 9" xfId="2753"/>
    <cellStyle name="60% - 강조색1 2 90" xfId="2754"/>
    <cellStyle name="60% - 강조색1 2 91" xfId="2755"/>
    <cellStyle name="60% - 강조색1 2 92" xfId="2756"/>
    <cellStyle name="60% - 강조색1 2 93" xfId="2757"/>
    <cellStyle name="60% - 강조색1 2 94" xfId="2758"/>
    <cellStyle name="60% - 강조색1 2 95" xfId="2759"/>
    <cellStyle name="60% - 강조색1 2 96" xfId="2760"/>
    <cellStyle name="60% - 강조색1 2 97" xfId="2761"/>
    <cellStyle name="60% - 강조색1 2 98" xfId="2762"/>
    <cellStyle name="60% - 강조색1 2 99" xfId="2763"/>
    <cellStyle name="60% - 강조색1 20" xfId="2764"/>
    <cellStyle name="60% - 강조색1 21" xfId="2765"/>
    <cellStyle name="60% - 강조색1 22" xfId="2766"/>
    <cellStyle name="60% - 강조색1 23" xfId="2767"/>
    <cellStyle name="60% - 강조색1 24" xfId="2768"/>
    <cellStyle name="60% - 강조색1 25" xfId="2769"/>
    <cellStyle name="60% - 강조색1 26" xfId="2770"/>
    <cellStyle name="60% - 강조색1 27" xfId="2771"/>
    <cellStyle name="60% - 강조색1 28" xfId="2772"/>
    <cellStyle name="60% - 강조색1 29" xfId="2773"/>
    <cellStyle name="60% - 강조색1 3" xfId="135"/>
    <cellStyle name="60% - 강조색1 30" xfId="2774"/>
    <cellStyle name="60% - 강조색1 31" xfId="2775"/>
    <cellStyle name="60% - 강조색1 32" xfId="2776"/>
    <cellStyle name="60% - 강조색1 33" xfId="2777"/>
    <cellStyle name="60% - 강조색1 34" xfId="2778"/>
    <cellStyle name="60% - 강조색1 35" xfId="2779"/>
    <cellStyle name="60% - 강조색1 36" xfId="2780"/>
    <cellStyle name="60% - 강조색1 37" xfId="2781"/>
    <cellStyle name="60% - 강조색1 38" xfId="2782"/>
    <cellStyle name="60% - 강조색1 39" xfId="2783"/>
    <cellStyle name="60% - 강조색1 4" xfId="11727" hidden="1"/>
    <cellStyle name="60% - 강조색1 4" xfId="11773" hidden="1"/>
    <cellStyle name="60% - 강조색1 4" xfId="11819" hidden="1"/>
    <cellStyle name="60% - 강조색1 4" xfId="11865" hidden="1"/>
    <cellStyle name="60% - 강조색1 4" xfId="11911" hidden="1"/>
    <cellStyle name="60% - 강조색1 4" xfId="11957" hidden="1"/>
    <cellStyle name="60% - 강조색1 4" xfId="12003" hidden="1"/>
    <cellStyle name="60% - 강조색1 4" xfId="12049" hidden="1"/>
    <cellStyle name="60% - 강조색1 4" xfId="12095" hidden="1"/>
    <cellStyle name="60% - 강조색1 4" xfId="12141" hidden="1"/>
    <cellStyle name="60% - 강조색1 4" xfId="12187" hidden="1"/>
    <cellStyle name="60% - 강조색1 4" xfId="12233" hidden="1"/>
    <cellStyle name="60% - 강조색1 4" xfId="12323" hidden="1"/>
    <cellStyle name="60% - 강조색1 4" xfId="12364" hidden="1"/>
    <cellStyle name="60% - 강조색1 4" xfId="12406" hidden="1"/>
    <cellStyle name="60% - 강조색1 4" xfId="12448" hidden="1"/>
    <cellStyle name="60% - 강조색1 4" xfId="12490" hidden="1"/>
    <cellStyle name="60% - 강조색1 4" xfId="12532" hidden="1"/>
    <cellStyle name="60% - 강조색1 4" xfId="12574" hidden="1"/>
    <cellStyle name="60% - 강조색1 4" xfId="12616" hidden="1"/>
    <cellStyle name="60% - 강조색1 4" xfId="12658" hidden="1"/>
    <cellStyle name="60% - 강조색1 4" xfId="12700" hidden="1"/>
    <cellStyle name="60% - 강조색1 4" xfId="12742" hidden="1"/>
    <cellStyle name="60% - 강조색1 4" xfId="12784" hidden="1"/>
    <cellStyle name="60% - 강조색1 4" xfId="12278" hidden="1"/>
    <cellStyle name="60% - 강조색1 4" xfId="12966" hidden="1"/>
    <cellStyle name="60% - 강조색1 4" xfId="13006" hidden="1"/>
    <cellStyle name="60% - 강조색1 4" xfId="13046" hidden="1"/>
    <cellStyle name="60% - 강조색1 4" xfId="13086" hidden="1"/>
    <cellStyle name="60% - 강조색1 4" xfId="13126" hidden="1"/>
    <cellStyle name="60% - 강조색1 4" xfId="13166" hidden="1"/>
    <cellStyle name="60% - 강조색1 4" xfId="13206" hidden="1"/>
    <cellStyle name="60% - 강조색1 4" xfId="13246" hidden="1"/>
    <cellStyle name="60% - 강조색1 4" xfId="13286" hidden="1"/>
    <cellStyle name="60% - 강조색1 4" xfId="13326" hidden="1"/>
    <cellStyle name="60% - 강조색1 4" xfId="13366" hidden="1"/>
    <cellStyle name="60% - 강조색1 4" xfId="13406" hidden="1"/>
    <cellStyle name="60% - 강조색1 4" xfId="12868" hidden="1"/>
    <cellStyle name="60% - 강조색1 4" xfId="12829" hidden="1"/>
    <cellStyle name="60% - 강조색1 4" xfId="13448" hidden="1"/>
    <cellStyle name="60% - 강조색1 4" xfId="13490" hidden="1"/>
    <cellStyle name="60% - 강조색1 4" xfId="13532" hidden="1"/>
    <cellStyle name="60% - 강조색1 4" xfId="13574" hidden="1"/>
    <cellStyle name="60% - 강조색1 4" xfId="13616" hidden="1"/>
    <cellStyle name="60% - 강조색1 4" xfId="13658" hidden="1"/>
    <cellStyle name="60% - 강조색1 4" xfId="13700" hidden="1"/>
    <cellStyle name="60% - 강조색1 4" xfId="13742" hidden="1"/>
    <cellStyle name="60% - 강조색1 4" xfId="13784" hidden="1"/>
    <cellStyle name="60% - 강조색1 4" xfId="13826" hidden="1"/>
    <cellStyle name="60% - 강조색1 4" xfId="12922" hidden="1"/>
    <cellStyle name="60% - 강조색1 4" xfId="13854" hidden="1"/>
    <cellStyle name="60% - 강조색1 4" xfId="13894" hidden="1"/>
    <cellStyle name="60% - 강조색1 4" xfId="13934" hidden="1"/>
    <cellStyle name="60% - 강조색1 4" xfId="13974" hidden="1"/>
    <cellStyle name="60% - 강조색1 4" xfId="14014" hidden="1"/>
    <cellStyle name="60% - 강조색1 4" xfId="14054" hidden="1"/>
    <cellStyle name="60% - 강조색1 4" xfId="14094" hidden="1"/>
    <cellStyle name="60% - 강조색1 4" xfId="14134" hidden="1"/>
    <cellStyle name="60% - 강조색1 4" xfId="14174" hidden="1"/>
    <cellStyle name="60% - 강조색1 4" xfId="14214" hidden="1"/>
    <cellStyle name="60% - 강조색1 4" xfId="14254" hidden="1"/>
    <cellStyle name="60% - 강조색1 4" xfId="14294" hidden="1"/>
    <cellStyle name="60% - 강조색1 4" xfId="14400" hidden="1"/>
    <cellStyle name="60% - 강조색1 4" xfId="14440" hidden="1"/>
    <cellStyle name="60% - 강조색1 4" xfId="14480" hidden="1"/>
    <cellStyle name="60% - 강조색1 4" xfId="14520" hidden="1"/>
    <cellStyle name="60% - 강조색1 4" xfId="14560" hidden="1"/>
    <cellStyle name="60% - 강조색1 4" xfId="14600" hidden="1"/>
    <cellStyle name="60% - 강조색1 4" xfId="14640" hidden="1"/>
    <cellStyle name="60% - 강조색1 4" xfId="14680" hidden="1"/>
    <cellStyle name="60% - 강조색1 4" xfId="14720" hidden="1"/>
    <cellStyle name="60% - 강조색1 4" xfId="14760" hidden="1"/>
    <cellStyle name="60% - 강조색1 4" xfId="14800" hidden="1"/>
    <cellStyle name="60% - 강조색1 4" xfId="14840" hidden="1"/>
    <cellStyle name="60% - 강조색1 4" xfId="14924" hidden="1"/>
    <cellStyle name="60% - 강조색1 4" xfId="14965" hidden="1"/>
    <cellStyle name="60% - 강조색1 4" xfId="15007" hidden="1"/>
    <cellStyle name="60% - 강조색1 4" xfId="15049" hidden="1"/>
    <cellStyle name="60% - 강조색1 4" xfId="15091" hidden="1"/>
    <cellStyle name="60% - 강조색1 4" xfId="15133" hidden="1"/>
    <cellStyle name="60% - 강조색1 4" xfId="15175" hidden="1"/>
    <cellStyle name="60% - 강조색1 4" xfId="15217" hidden="1"/>
    <cellStyle name="60% - 강조색1 4" xfId="15259" hidden="1"/>
    <cellStyle name="60% - 강조색1 4" xfId="15301" hidden="1"/>
    <cellStyle name="60% - 강조색1 4" xfId="15343" hidden="1"/>
    <cellStyle name="60% - 강조색1 4" xfId="15385" hidden="1"/>
    <cellStyle name="60% - 강조색1 4" xfId="14881" hidden="1"/>
    <cellStyle name="60% - 강조색1 4" xfId="15564" hidden="1"/>
    <cellStyle name="60% - 강조색1 4" xfId="15604" hidden="1"/>
    <cellStyle name="60% - 강조색1 4" xfId="15644" hidden="1"/>
    <cellStyle name="60% - 강조색1 4" xfId="15684" hidden="1"/>
    <cellStyle name="60% - 강조색1 4" xfId="15724" hidden="1"/>
    <cellStyle name="60% - 강조색1 4" xfId="15764" hidden="1"/>
    <cellStyle name="60% - 강조색1 4" xfId="15804" hidden="1"/>
    <cellStyle name="60% - 강조색1 4" xfId="15844" hidden="1"/>
    <cellStyle name="60% - 강조색1 4" xfId="15884" hidden="1"/>
    <cellStyle name="60% - 강조색1 4" xfId="15924" hidden="1"/>
    <cellStyle name="60% - 강조색1 4" xfId="15964" hidden="1"/>
    <cellStyle name="60% - 강조색1 4" xfId="16004" hidden="1"/>
    <cellStyle name="60% - 강조색1 4" xfId="15468" hidden="1"/>
    <cellStyle name="60% - 강조색1 4" xfId="15429" hidden="1"/>
    <cellStyle name="60% - 강조색1 4" xfId="16046" hidden="1"/>
    <cellStyle name="60% - 강조색1 4" xfId="16088" hidden="1"/>
    <cellStyle name="60% - 강조색1 4" xfId="16130" hidden="1"/>
    <cellStyle name="60% - 강조색1 4" xfId="16172" hidden="1"/>
    <cellStyle name="60% - 강조색1 4" xfId="16214" hidden="1"/>
    <cellStyle name="60% - 강조색1 4" xfId="16256" hidden="1"/>
    <cellStyle name="60% - 강조색1 4" xfId="16298" hidden="1"/>
    <cellStyle name="60% - 강조색1 4" xfId="16340" hidden="1"/>
    <cellStyle name="60% - 강조색1 4" xfId="16382" hidden="1"/>
    <cellStyle name="60% - 강조색1 4" xfId="16424" hidden="1"/>
    <cellStyle name="60% - 강조색1 4" xfId="15521" hidden="1"/>
    <cellStyle name="60% - 강조색1 4" xfId="16452" hidden="1"/>
    <cellStyle name="60% - 강조색1 4" xfId="16492" hidden="1"/>
    <cellStyle name="60% - 강조색1 4" xfId="16532" hidden="1"/>
    <cellStyle name="60% - 강조색1 4" xfId="16572" hidden="1"/>
    <cellStyle name="60% - 강조색1 4" xfId="16612" hidden="1"/>
    <cellStyle name="60% - 강조색1 4" xfId="16652" hidden="1"/>
    <cellStyle name="60% - 강조색1 4" xfId="16692" hidden="1"/>
    <cellStyle name="60% - 강조색1 4" xfId="16732" hidden="1"/>
    <cellStyle name="60% - 강조색1 4" xfId="16772" hidden="1"/>
    <cellStyle name="60% - 강조색1 4" xfId="16812" hidden="1"/>
    <cellStyle name="60% - 강조색1 4" xfId="16852" hidden="1"/>
    <cellStyle name="60% - 강조색1 4" xfId="16892" hidden="1"/>
    <cellStyle name="60% - 강조색1 4" xfId="14324" hidden="1"/>
    <cellStyle name="60% - 강조색1 4" xfId="16943" hidden="1"/>
    <cellStyle name="60% - 강조색1 4" xfId="16984" hidden="1"/>
    <cellStyle name="60% - 강조색1 4" xfId="17024" hidden="1"/>
    <cellStyle name="60% - 강조색1 4" xfId="17064" hidden="1"/>
    <cellStyle name="60% - 강조색1 4" xfId="17104" hidden="1"/>
    <cellStyle name="60% - 강조색1 4" xfId="17144" hidden="1"/>
    <cellStyle name="60% - 강조색1 4" xfId="17184" hidden="1"/>
    <cellStyle name="60% - 강조색1 4" xfId="17224" hidden="1"/>
    <cellStyle name="60% - 강조색1 4" xfId="17264" hidden="1"/>
    <cellStyle name="60% - 강조색1 4" xfId="17304" hidden="1"/>
    <cellStyle name="60% - 강조색1 4" xfId="17344" hidden="1"/>
    <cellStyle name="60% - 강조색1 4" xfId="17428" hidden="1"/>
    <cellStyle name="60% - 강조색1 4" xfId="17469" hidden="1"/>
    <cellStyle name="60% - 강조색1 4" xfId="17511" hidden="1"/>
    <cellStyle name="60% - 강조색1 4" xfId="17553" hidden="1"/>
    <cellStyle name="60% - 강조색1 4" xfId="17595" hidden="1"/>
    <cellStyle name="60% - 강조색1 4" xfId="17637" hidden="1"/>
    <cellStyle name="60% - 강조색1 4" xfId="17679" hidden="1"/>
    <cellStyle name="60% - 강조색1 4" xfId="17721" hidden="1"/>
    <cellStyle name="60% - 강조색1 4" xfId="17763" hidden="1"/>
    <cellStyle name="60% - 강조색1 4" xfId="17805" hidden="1"/>
    <cellStyle name="60% - 강조색1 4" xfId="17847" hidden="1"/>
    <cellStyle name="60% - 강조색1 4" xfId="17889" hidden="1"/>
    <cellStyle name="60% - 강조색1 4" xfId="17385" hidden="1"/>
    <cellStyle name="60% - 강조색1 4" xfId="18068" hidden="1"/>
    <cellStyle name="60% - 강조색1 4" xfId="18108" hidden="1"/>
    <cellStyle name="60% - 강조색1 4" xfId="18148" hidden="1"/>
    <cellStyle name="60% - 강조색1 4" xfId="18188" hidden="1"/>
    <cellStyle name="60% - 강조색1 4" xfId="18228" hidden="1"/>
    <cellStyle name="60% - 강조색1 4" xfId="18268" hidden="1"/>
    <cellStyle name="60% - 강조색1 4" xfId="18308" hidden="1"/>
    <cellStyle name="60% - 강조색1 4" xfId="18348" hidden="1"/>
    <cellStyle name="60% - 강조색1 4" xfId="18388" hidden="1"/>
    <cellStyle name="60% - 강조색1 4" xfId="18428" hidden="1"/>
    <cellStyle name="60% - 강조색1 4" xfId="18468" hidden="1"/>
    <cellStyle name="60% - 강조색1 4" xfId="18508" hidden="1"/>
    <cellStyle name="60% - 강조색1 4" xfId="17972" hidden="1"/>
    <cellStyle name="60% - 강조색1 4" xfId="17933" hidden="1"/>
    <cellStyle name="60% - 강조색1 4" xfId="18550" hidden="1"/>
    <cellStyle name="60% - 강조색1 4" xfId="18592" hidden="1"/>
    <cellStyle name="60% - 강조색1 4" xfId="18634" hidden="1"/>
    <cellStyle name="60% - 강조색1 4" xfId="18676" hidden="1"/>
    <cellStyle name="60% - 강조색1 4" xfId="18718" hidden="1"/>
    <cellStyle name="60% - 강조색1 4" xfId="18760" hidden="1"/>
    <cellStyle name="60% - 강조색1 4" xfId="18802" hidden="1"/>
    <cellStyle name="60% - 강조색1 4" xfId="18844" hidden="1"/>
    <cellStyle name="60% - 강조색1 4" xfId="18886" hidden="1"/>
    <cellStyle name="60% - 강조색1 4" xfId="18928" hidden="1"/>
    <cellStyle name="60% - 강조색1 4" xfId="18025" hidden="1"/>
    <cellStyle name="60% - 강조색1 4" xfId="18956" hidden="1"/>
    <cellStyle name="60% - 강조색1 4" xfId="18996" hidden="1"/>
    <cellStyle name="60% - 강조색1 4" xfId="19036" hidden="1"/>
    <cellStyle name="60% - 강조색1 4" xfId="19076" hidden="1"/>
    <cellStyle name="60% - 강조색1 4" xfId="19116" hidden="1"/>
    <cellStyle name="60% - 강조색1 4" xfId="19156" hidden="1"/>
    <cellStyle name="60% - 강조색1 4" xfId="19196" hidden="1"/>
    <cellStyle name="60% - 강조색1 4" xfId="19236" hidden="1"/>
    <cellStyle name="60% - 강조색1 4" xfId="19276" hidden="1"/>
    <cellStyle name="60% - 강조색1 4" xfId="19316" hidden="1"/>
    <cellStyle name="60% - 강조색1 4" xfId="19356" hidden="1"/>
    <cellStyle name="60% - 강조색1 4" xfId="19396" hidden="1"/>
    <cellStyle name="60% - 강조색1 4" xfId="14378" hidden="1"/>
    <cellStyle name="60% - 강조색1 4" xfId="19446" hidden="1"/>
    <cellStyle name="60% - 강조색1 4" xfId="19486" hidden="1"/>
    <cellStyle name="60% - 강조색1 4" xfId="19526" hidden="1"/>
    <cellStyle name="60% - 강조색1 4" xfId="19566" hidden="1"/>
    <cellStyle name="60% - 강조색1 4" xfId="19606" hidden="1"/>
    <cellStyle name="60% - 강조색1 4" xfId="19646" hidden="1"/>
    <cellStyle name="60% - 강조색1 4" xfId="19686" hidden="1"/>
    <cellStyle name="60% - 강조색1 4" xfId="19726" hidden="1"/>
    <cellStyle name="60% - 강조색1 4" xfId="19766" hidden="1"/>
    <cellStyle name="60% - 강조색1 4" xfId="19806" hidden="1"/>
    <cellStyle name="60% - 강조색1 4" xfId="19846" hidden="1"/>
    <cellStyle name="60% - 강조색1 4" xfId="19930" hidden="1"/>
    <cellStyle name="60% - 강조색1 4" xfId="19971" hidden="1"/>
    <cellStyle name="60% - 강조색1 4" xfId="20013" hidden="1"/>
    <cellStyle name="60% - 강조색1 4" xfId="20055" hidden="1"/>
    <cellStyle name="60% - 강조색1 4" xfId="20097" hidden="1"/>
    <cellStyle name="60% - 강조색1 4" xfId="20139" hidden="1"/>
    <cellStyle name="60% - 강조색1 4" xfId="20181" hidden="1"/>
    <cellStyle name="60% - 강조색1 4" xfId="20223" hidden="1"/>
    <cellStyle name="60% - 강조색1 4" xfId="20265" hidden="1"/>
    <cellStyle name="60% - 강조색1 4" xfId="20307" hidden="1"/>
    <cellStyle name="60% - 강조색1 4" xfId="20349" hidden="1"/>
    <cellStyle name="60% - 강조색1 4" xfId="20391" hidden="1"/>
    <cellStyle name="60% - 강조색1 4" xfId="19887" hidden="1"/>
    <cellStyle name="60% - 강조색1 4" xfId="20570" hidden="1"/>
    <cellStyle name="60% - 강조색1 4" xfId="20610" hidden="1"/>
    <cellStyle name="60% - 강조색1 4" xfId="20650" hidden="1"/>
    <cellStyle name="60% - 강조색1 4" xfId="20690" hidden="1"/>
    <cellStyle name="60% - 강조색1 4" xfId="20730" hidden="1"/>
    <cellStyle name="60% - 강조색1 4" xfId="20770" hidden="1"/>
    <cellStyle name="60% - 강조색1 4" xfId="20810" hidden="1"/>
    <cellStyle name="60% - 강조색1 4" xfId="20850" hidden="1"/>
    <cellStyle name="60% - 강조색1 4" xfId="20890" hidden="1"/>
    <cellStyle name="60% - 강조색1 4" xfId="20930" hidden="1"/>
    <cellStyle name="60% - 강조색1 4" xfId="20970" hidden="1"/>
    <cellStyle name="60% - 강조색1 4" xfId="21010" hidden="1"/>
    <cellStyle name="60% - 강조색1 4" xfId="20474" hidden="1"/>
    <cellStyle name="60% - 강조색1 4" xfId="20435" hidden="1"/>
    <cellStyle name="60% - 강조색1 4" xfId="21052" hidden="1"/>
    <cellStyle name="60% - 강조색1 4" xfId="21094" hidden="1"/>
    <cellStyle name="60% - 강조색1 4" xfId="21136" hidden="1"/>
    <cellStyle name="60% - 강조색1 4" xfId="21178" hidden="1"/>
    <cellStyle name="60% - 강조색1 4" xfId="21220" hidden="1"/>
    <cellStyle name="60% - 강조색1 4" xfId="21262" hidden="1"/>
    <cellStyle name="60% - 강조색1 4" xfId="21304" hidden="1"/>
    <cellStyle name="60% - 강조색1 4" xfId="21346" hidden="1"/>
    <cellStyle name="60% - 강조색1 4" xfId="21388" hidden="1"/>
    <cellStyle name="60% - 강조색1 4" xfId="21430" hidden="1"/>
    <cellStyle name="60% - 강조색1 4" xfId="20527" hidden="1"/>
    <cellStyle name="60% - 강조색1 4" xfId="21458" hidden="1"/>
    <cellStyle name="60% - 강조색1 4" xfId="21498" hidden="1"/>
    <cellStyle name="60% - 강조색1 4" xfId="21538" hidden="1"/>
    <cellStyle name="60% - 강조색1 4" xfId="21578" hidden="1"/>
    <cellStyle name="60% - 강조색1 4" xfId="21618" hidden="1"/>
    <cellStyle name="60% - 강조색1 4" xfId="21658" hidden="1"/>
    <cellStyle name="60% - 강조색1 4" xfId="21698" hidden="1"/>
    <cellStyle name="60% - 강조색1 4" xfId="21738" hidden="1"/>
    <cellStyle name="60% - 강조색1 4" xfId="21778" hidden="1"/>
    <cellStyle name="60% - 강조색1 4" xfId="21818" hidden="1"/>
    <cellStyle name="60% - 강조색1 4" xfId="21858" hidden="1"/>
    <cellStyle name="60% - 강조색1 4" xfId="21898" hidden="1"/>
    <cellStyle name="60% - 강조색1 4" xfId="21966" hidden="1"/>
    <cellStyle name="60% - 강조색1 4" xfId="22006" hidden="1"/>
    <cellStyle name="60% - 강조색1 4" xfId="22046" hidden="1"/>
    <cellStyle name="60% - 강조색1 4" xfId="22086" hidden="1"/>
    <cellStyle name="60% - 강조색1 4" xfId="22126" hidden="1"/>
    <cellStyle name="60% - 강조색1 4" xfId="22166" hidden="1"/>
    <cellStyle name="60% - 강조색1 4" xfId="22206" hidden="1"/>
    <cellStyle name="60% - 강조색1 4" xfId="22246" hidden="1"/>
    <cellStyle name="60% - 강조색1 4" xfId="22286" hidden="1"/>
    <cellStyle name="60% - 강조색1 4" xfId="22326" hidden="1"/>
    <cellStyle name="60% - 강조색1 4" xfId="22366" hidden="1"/>
    <cellStyle name="60% - 강조색1 4" xfId="22406" hidden="1"/>
    <cellStyle name="60% - 강조색1 4" xfId="22490" hidden="1"/>
    <cellStyle name="60% - 강조색1 4" xfId="22531" hidden="1"/>
    <cellStyle name="60% - 강조색1 4" xfId="22573" hidden="1"/>
    <cellStyle name="60% - 강조색1 4" xfId="22615" hidden="1"/>
    <cellStyle name="60% - 강조색1 4" xfId="22657" hidden="1"/>
    <cellStyle name="60% - 강조색1 4" xfId="22699" hidden="1"/>
    <cellStyle name="60% - 강조색1 4" xfId="22741" hidden="1"/>
    <cellStyle name="60% - 강조색1 4" xfId="22783" hidden="1"/>
    <cellStyle name="60% - 강조색1 4" xfId="22825" hidden="1"/>
    <cellStyle name="60% - 강조색1 4" xfId="22867" hidden="1"/>
    <cellStyle name="60% - 강조색1 4" xfId="22909" hidden="1"/>
    <cellStyle name="60% - 강조색1 4" xfId="22951" hidden="1"/>
    <cellStyle name="60% - 강조색1 4" xfId="22447" hidden="1"/>
    <cellStyle name="60% - 강조색1 4" xfId="23130" hidden="1"/>
    <cellStyle name="60% - 강조색1 4" xfId="23170" hidden="1"/>
    <cellStyle name="60% - 강조색1 4" xfId="23210" hidden="1"/>
    <cellStyle name="60% - 강조색1 4" xfId="23250" hidden="1"/>
    <cellStyle name="60% - 강조색1 4" xfId="23290" hidden="1"/>
    <cellStyle name="60% - 강조색1 4" xfId="23330" hidden="1"/>
    <cellStyle name="60% - 강조색1 4" xfId="23370" hidden="1"/>
    <cellStyle name="60% - 강조색1 4" xfId="23410" hidden="1"/>
    <cellStyle name="60% - 강조색1 4" xfId="23450" hidden="1"/>
    <cellStyle name="60% - 강조색1 4" xfId="23490" hidden="1"/>
    <cellStyle name="60% - 강조색1 4" xfId="23530" hidden="1"/>
    <cellStyle name="60% - 강조색1 4" xfId="23570" hidden="1"/>
    <cellStyle name="60% - 강조색1 4" xfId="23034" hidden="1"/>
    <cellStyle name="60% - 강조색1 4" xfId="22995" hidden="1"/>
    <cellStyle name="60% - 강조색1 4" xfId="23612" hidden="1"/>
    <cellStyle name="60% - 강조색1 4" xfId="23654" hidden="1"/>
    <cellStyle name="60% - 강조색1 4" xfId="23696" hidden="1"/>
    <cellStyle name="60% - 강조색1 4" xfId="23738" hidden="1"/>
    <cellStyle name="60% - 강조색1 4" xfId="23780" hidden="1"/>
    <cellStyle name="60% - 강조색1 4" xfId="23822" hidden="1"/>
    <cellStyle name="60% - 강조색1 4" xfId="23864" hidden="1"/>
    <cellStyle name="60% - 강조색1 4" xfId="23906" hidden="1"/>
    <cellStyle name="60% - 강조색1 4" xfId="23948" hidden="1"/>
    <cellStyle name="60% - 강조색1 4" xfId="23990" hidden="1"/>
    <cellStyle name="60% - 강조색1 4" xfId="23087" hidden="1"/>
    <cellStyle name="60% - 강조색1 4" xfId="24018" hidden="1"/>
    <cellStyle name="60% - 강조색1 4" xfId="24058" hidden="1"/>
    <cellStyle name="60% - 강조색1 4" xfId="24098" hidden="1"/>
    <cellStyle name="60% - 강조색1 4" xfId="24138" hidden="1"/>
    <cellStyle name="60% - 강조색1 4" xfId="24178" hidden="1"/>
    <cellStyle name="60% - 강조색1 4" xfId="24218" hidden="1"/>
    <cellStyle name="60% - 강조색1 4" xfId="24258" hidden="1"/>
    <cellStyle name="60% - 강조색1 4" xfId="24298" hidden="1"/>
    <cellStyle name="60% - 강조색1 4" xfId="24338" hidden="1"/>
    <cellStyle name="60% - 강조색1 4" xfId="24378" hidden="1"/>
    <cellStyle name="60% - 강조색1 4" xfId="24418" hidden="1"/>
    <cellStyle name="60% - 강조색1 4" xfId="24458" hidden="1"/>
    <cellStyle name="60% - 강조색1 4" xfId="24556" hidden="1"/>
    <cellStyle name="60% - 강조색1 4" xfId="24596" hidden="1"/>
    <cellStyle name="60% - 강조색1 4" xfId="24638" hidden="1"/>
    <cellStyle name="60% - 강조색1 4" xfId="24679" hidden="1"/>
    <cellStyle name="60% - 강조색1 4" xfId="24719" hidden="1"/>
    <cellStyle name="60% - 강조색1 4" xfId="24759" hidden="1"/>
    <cellStyle name="60% - 강조색1 4" xfId="24799" hidden="1"/>
    <cellStyle name="60% - 강조색1 4" xfId="24839" hidden="1"/>
    <cellStyle name="60% - 강조색1 4" xfId="24879" hidden="1"/>
    <cellStyle name="60% - 강조색1 4" xfId="24919" hidden="1"/>
    <cellStyle name="60% - 강조색1 4" xfId="24959" hidden="1"/>
    <cellStyle name="60% - 강조색1 4" xfId="24999" hidden="1"/>
    <cellStyle name="60% - 강조색1 4" xfId="25083" hidden="1"/>
    <cellStyle name="60% - 강조색1 4" xfId="25124" hidden="1"/>
    <cellStyle name="60% - 강조색1 4" xfId="25166" hidden="1"/>
    <cellStyle name="60% - 강조색1 4" xfId="25208" hidden="1"/>
    <cellStyle name="60% - 강조색1 4" xfId="25250" hidden="1"/>
    <cellStyle name="60% - 강조색1 4" xfId="25292" hidden="1"/>
    <cellStyle name="60% - 강조색1 4" xfId="25334" hidden="1"/>
    <cellStyle name="60% - 강조색1 4" xfId="25376" hidden="1"/>
    <cellStyle name="60% - 강조색1 4" xfId="25418" hidden="1"/>
    <cellStyle name="60% - 강조색1 4" xfId="25460" hidden="1"/>
    <cellStyle name="60% - 강조색1 4" xfId="25502" hidden="1"/>
    <cellStyle name="60% - 강조색1 4" xfId="25544" hidden="1"/>
    <cellStyle name="60% - 강조색1 4" xfId="25040" hidden="1"/>
    <cellStyle name="60% - 강조색1 4" xfId="25723" hidden="1"/>
    <cellStyle name="60% - 강조색1 4" xfId="25763" hidden="1"/>
    <cellStyle name="60% - 강조색1 4" xfId="25803" hidden="1"/>
    <cellStyle name="60% - 강조색1 4" xfId="25843" hidden="1"/>
    <cellStyle name="60% - 강조색1 4" xfId="25883" hidden="1"/>
    <cellStyle name="60% - 강조색1 4" xfId="25923" hidden="1"/>
    <cellStyle name="60% - 강조색1 4" xfId="25963" hidden="1"/>
    <cellStyle name="60% - 강조색1 4" xfId="26003" hidden="1"/>
    <cellStyle name="60% - 강조색1 4" xfId="26043" hidden="1"/>
    <cellStyle name="60% - 강조색1 4" xfId="26083" hidden="1"/>
    <cellStyle name="60% - 강조색1 4" xfId="26123" hidden="1"/>
    <cellStyle name="60% - 강조색1 4" xfId="26163" hidden="1"/>
    <cellStyle name="60% - 강조색1 4" xfId="25627" hidden="1"/>
    <cellStyle name="60% - 강조색1 4" xfId="25588" hidden="1"/>
    <cellStyle name="60% - 강조색1 4" xfId="26205" hidden="1"/>
    <cellStyle name="60% - 강조색1 4" xfId="26247" hidden="1"/>
    <cellStyle name="60% - 강조색1 4" xfId="26289" hidden="1"/>
    <cellStyle name="60% - 강조색1 4" xfId="26331" hidden="1"/>
    <cellStyle name="60% - 강조색1 4" xfId="26373" hidden="1"/>
    <cellStyle name="60% - 강조색1 4" xfId="26415" hidden="1"/>
    <cellStyle name="60% - 강조색1 4" xfId="26457" hidden="1"/>
    <cellStyle name="60% - 강조색1 4" xfId="26499" hidden="1"/>
    <cellStyle name="60% - 강조색1 4" xfId="26541" hidden="1"/>
    <cellStyle name="60% - 강조색1 4" xfId="26583" hidden="1"/>
    <cellStyle name="60% - 강조색1 4" xfId="25680" hidden="1"/>
    <cellStyle name="60% - 강조색1 4" xfId="26611" hidden="1"/>
    <cellStyle name="60% - 강조색1 4" xfId="26651" hidden="1"/>
    <cellStyle name="60% - 강조색1 4" xfId="26691" hidden="1"/>
    <cellStyle name="60% - 강조색1 4" xfId="26731" hidden="1"/>
    <cellStyle name="60% - 강조색1 4" xfId="26771" hidden="1"/>
    <cellStyle name="60% - 강조색1 4" xfId="26811" hidden="1"/>
    <cellStyle name="60% - 강조색1 4" xfId="26851" hidden="1"/>
    <cellStyle name="60% - 강조색1 4" xfId="26891" hidden="1"/>
    <cellStyle name="60% - 강조색1 4" xfId="26931" hidden="1"/>
    <cellStyle name="60% - 강조색1 4" xfId="26971" hidden="1"/>
    <cellStyle name="60% - 강조색1 4" xfId="27011" hidden="1"/>
    <cellStyle name="60% - 강조색1 4" xfId="27051" hidden="1"/>
    <cellStyle name="60% - 강조색1 4" xfId="24486" hidden="1"/>
    <cellStyle name="60% - 강조색1 4" xfId="27102" hidden="1"/>
    <cellStyle name="60% - 강조색1 4" xfId="27142" hidden="1"/>
    <cellStyle name="60% - 강조색1 4" xfId="27182" hidden="1"/>
    <cellStyle name="60% - 강조색1 4" xfId="27222" hidden="1"/>
    <cellStyle name="60% - 강조색1 4" xfId="27262" hidden="1"/>
    <cellStyle name="60% - 강조색1 4" xfId="27302" hidden="1"/>
    <cellStyle name="60% - 강조색1 4" xfId="27342" hidden="1"/>
    <cellStyle name="60% - 강조색1 4" xfId="27382" hidden="1"/>
    <cellStyle name="60% - 강조색1 4" xfId="27422" hidden="1"/>
    <cellStyle name="60% - 강조색1 4" xfId="27462" hidden="1"/>
    <cellStyle name="60% - 강조색1 4" xfId="27502" hidden="1"/>
    <cellStyle name="60% - 강조색1 4" xfId="27586" hidden="1"/>
    <cellStyle name="60% - 강조색1 4" xfId="27627" hidden="1"/>
    <cellStyle name="60% - 강조색1 4" xfId="27669" hidden="1"/>
    <cellStyle name="60% - 강조색1 4" xfId="27711" hidden="1"/>
    <cellStyle name="60% - 강조색1 4" xfId="27753" hidden="1"/>
    <cellStyle name="60% - 강조색1 4" xfId="27795" hidden="1"/>
    <cellStyle name="60% - 강조색1 4" xfId="27837" hidden="1"/>
    <cellStyle name="60% - 강조색1 4" xfId="27879" hidden="1"/>
    <cellStyle name="60% - 강조색1 4" xfId="27921" hidden="1"/>
    <cellStyle name="60% - 강조색1 4" xfId="27963" hidden="1"/>
    <cellStyle name="60% - 강조색1 4" xfId="28005" hidden="1"/>
    <cellStyle name="60% - 강조색1 4" xfId="28047" hidden="1"/>
    <cellStyle name="60% - 강조색1 4" xfId="27543" hidden="1"/>
    <cellStyle name="60% - 강조색1 4" xfId="28226" hidden="1"/>
    <cellStyle name="60% - 강조색1 4" xfId="28266" hidden="1"/>
    <cellStyle name="60% - 강조색1 4" xfId="28306" hidden="1"/>
    <cellStyle name="60% - 강조색1 4" xfId="28346" hidden="1"/>
    <cellStyle name="60% - 강조색1 4" xfId="28386" hidden="1"/>
    <cellStyle name="60% - 강조색1 4" xfId="28426" hidden="1"/>
    <cellStyle name="60% - 강조색1 4" xfId="28466" hidden="1"/>
    <cellStyle name="60% - 강조색1 4" xfId="28506" hidden="1"/>
    <cellStyle name="60% - 강조색1 4" xfId="28546" hidden="1"/>
    <cellStyle name="60% - 강조색1 4" xfId="28586" hidden="1"/>
    <cellStyle name="60% - 강조색1 4" xfId="28626" hidden="1"/>
    <cellStyle name="60% - 강조색1 4" xfId="28666" hidden="1"/>
    <cellStyle name="60% - 강조색1 4" xfId="28130" hidden="1"/>
    <cellStyle name="60% - 강조색1 4" xfId="28091" hidden="1"/>
    <cellStyle name="60% - 강조색1 4" xfId="28708" hidden="1"/>
    <cellStyle name="60% - 강조색1 4" xfId="28750" hidden="1"/>
    <cellStyle name="60% - 강조색1 4" xfId="28792" hidden="1"/>
    <cellStyle name="60% - 강조색1 4" xfId="28834" hidden="1"/>
    <cellStyle name="60% - 강조색1 4" xfId="28876" hidden="1"/>
    <cellStyle name="60% - 강조색1 4" xfId="28918" hidden="1"/>
    <cellStyle name="60% - 강조색1 4" xfId="28960" hidden="1"/>
    <cellStyle name="60% - 강조색1 4" xfId="29002" hidden="1"/>
    <cellStyle name="60% - 강조색1 4" xfId="29044" hidden="1"/>
    <cellStyle name="60% - 강조색1 4" xfId="29086" hidden="1"/>
    <cellStyle name="60% - 강조색1 4" xfId="28183" hidden="1"/>
    <cellStyle name="60% - 강조색1 4" xfId="29114" hidden="1"/>
    <cellStyle name="60% - 강조색1 4" xfId="29154" hidden="1"/>
    <cellStyle name="60% - 강조색1 4" xfId="29194" hidden="1"/>
    <cellStyle name="60% - 강조색1 4" xfId="29234" hidden="1"/>
    <cellStyle name="60% - 강조색1 4" xfId="29274" hidden="1"/>
    <cellStyle name="60% - 강조색1 4" xfId="29314" hidden="1"/>
    <cellStyle name="60% - 강조색1 4" xfId="29354" hidden="1"/>
    <cellStyle name="60% - 강조색1 4" xfId="29394" hidden="1"/>
    <cellStyle name="60% - 강조색1 4" xfId="29434" hidden="1"/>
    <cellStyle name="60% - 강조색1 4" xfId="29474" hidden="1"/>
    <cellStyle name="60% - 강조색1 4" xfId="29514" hidden="1"/>
    <cellStyle name="60% - 강조색1 4" xfId="29554" hidden="1"/>
    <cellStyle name="60% - 강조색1 4" xfId="24534" hidden="1"/>
    <cellStyle name="60% - 강조색1 4" xfId="29604" hidden="1"/>
    <cellStyle name="60% - 강조색1 4" xfId="29644" hidden="1"/>
    <cellStyle name="60% - 강조색1 4" xfId="29684" hidden="1"/>
    <cellStyle name="60% - 강조색1 4" xfId="29724" hidden="1"/>
    <cellStyle name="60% - 강조색1 4" xfId="29764" hidden="1"/>
    <cellStyle name="60% - 강조색1 4" xfId="29804" hidden="1"/>
    <cellStyle name="60% - 강조색1 4" xfId="29844" hidden="1"/>
    <cellStyle name="60% - 강조색1 4" xfId="29884" hidden="1"/>
    <cellStyle name="60% - 강조색1 4" xfId="29924" hidden="1"/>
    <cellStyle name="60% - 강조색1 4" xfId="29964" hidden="1"/>
    <cellStyle name="60% - 강조색1 4" xfId="30004" hidden="1"/>
    <cellStyle name="60% - 강조색1 4" xfId="30088" hidden="1"/>
    <cellStyle name="60% - 강조색1 4" xfId="30129" hidden="1"/>
    <cellStyle name="60% - 강조색1 4" xfId="30171" hidden="1"/>
    <cellStyle name="60% - 강조색1 4" xfId="30213" hidden="1"/>
    <cellStyle name="60% - 강조색1 4" xfId="30255" hidden="1"/>
    <cellStyle name="60% - 강조색1 4" xfId="30297" hidden="1"/>
    <cellStyle name="60% - 강조색1 4" xfId="30339" hidden="1"/>
    <cellStyle name="60% - 강조색1 4" xfId="30381" hidden="1"/>
    <cellStyle name="60% - 강조색1 4" xfId="30423" hidden="1"/>
    <cellStyle name="60% - 강조색1 4" xfId="30465" hidden="1"/>
    <cellStyle name="60% - 강조색1 4" xfId="30507" hidden="1"/>
    <cellStyle name="60% - 강조색1 4" xfId="30549" hidden="1"/>
    <cellStyle name="60% - 강조색1 4" xfId="30045" hidden="1"/>
    <cellStyle name="60% - 강조색1 4" xfId="30728" hidden="1"/>
    <cellStyle name="60% - 강조색1 4" xfId="30768" hidden="1"/>
    <cellStyle name="60% - 강조색1 4" xfId="30808" hidden="1"/>
    <cellStyle name="60% - 강조색1 4" xfId="30848" hidden="1"/>
    <cellStyle name="60% - 강조색1 4" xfId="30888" hidden="1"/>
    <cellStyle name="60% - 강조색1 4" xfId="30928" hidden="1"/>
    <cellStyle name="60% - 강조색1 4" xfId="30968" hidden="1"/>
    <cellStyle name="60% - 강조색1 4" xfId="31008" hidden="1"/>
    <cellStyle name="60% - 강조색1 4" xfId="31048" hidden="1"/>
    <cellStyle name="60% - 강조색1 4" xfId="31088" hidden="1"/>
    <cellStyle name="60% - 강조색1 4" xfId="31128" hidden="1"/>
    <cellStyle name="60% - 강조색1 4" xfId="31168" hidden="1"/>
    <cellStyle name="60% - 강조색1 4" xfId="30632" hidden="1"/>
    <cellStyle name="60% - 강조색1 4" xfId="30593" hidden="1"/>
    <cellStyle name="60% - 강조색1 4" xfId="31210" hidden="1"/>
    <cellStyle name="60% - 강조색1 4" xfId="31252" hidden="1"/>
    <cellStyle name="60% - 강조색1 4" xfId="31294" hidden="1"/>
    <cellStyle name="60% - 강조색1 4" xfId="31336" hidden="1"/>
    <cellStyle name="60% - 강조색1 4" xfId="31378" hidden="1"/>
    <cellStyle name="60% - 강조색1 4" xfId="31420" hidden="1"/>
    <cellStyle name="60% - 강조색1 4" xfId="31462" hidden="1"/>
    <cellStyle name="60% - 강조색1 4" xfId="31504" hidden="1"/>
    <cellStyle name="60% - 강조색1 4" xfId="31546" hidden="1"/>
    <cellStyle name="60% - 강조색1 4" xfId="31588" hidden="1"/>
    <cellStyle name="60% - 강조색1 4" xfId="30685" hidden="1"/>
    <cellStyle name="60% - 강조색1 4" xfId="31616" hidden="1"/>
    <cellStyle name="60% - 강조색1 4" xfId="31656" hidden="1"/>
    <cellStyle name="60% - 강조색1 4" xfId="31696" hidden="1"/>
    <cellStyle name="60% - 강조색1 4" xfId="31736" hidden="1"/>
    <cellStyle name="60% - 강조색1 4" xfId="31776" hidden="1"/>
    <cellStyle name="60% - 강조색1 4" xfId="31816" hidden="1"/>
    <cellStyle name="60% - 강조색1 4" xfId="31856" hidden="1"/>
    <cellStyle name="60% - 강조색1 4" xfId="31896" hidden="1"/>
    <cellStyle name="60% - 강조색1 4" xfId="31936" hidden="1"/>
    <cellStyle name="60% - 강조색1 4" xfId="31976" hidden="1"/>
    <cellStyle name="60% - 강조색1 4" xfId="32016" hidden="1"/>
    <cellStyle name="60% - 강조색1 4" xfId="32056" hidden="1"/>
    <cellStyle name="60% - 강조색1 4" xfId="32118" hidden="1"/>
    <cellStyle name="60% - 강조색1 4" xfId="32158" hidden="1"/>
    <cellStyle name="60% - 강조색1 4" xfId="32198" hidden="1"/>
    <cellStyle name="60% - 강조색1 4" xfId="32238" hidden="1"/>
    <cellStyle name="60% - 강조색1 4" xfId="32278" hidden="1"/>
    <cellStyle name="60% - 강조색1 4" xfId="32318" hidden="1"/>
    <cellStyle name="60% - 강조색1 4" xfId="32358" hidden="1"/>
    <cellStyle name="60% - 강조색1 4" xfId="32398" hidden="1"/>
    <cellStyle name="60% - 강조색1 4" xfId="32438" hidden="1"/>
    <cellStyle name="60% - 강조색1 4" xfId="32478" hidden="1"/>
    <cellStyle name="60% - 강조색1 4" xfId="32518" hidden="1"/>
    <cellStyle name="60% - 강조색1 4" xfId="32558" hidden="1"/>
    <cellStyle name="60% - 강조색1 4" xfId="32643" hidden="1"/>
    <cellStyle name="60% - 강조색1 4" xfId="32684" hidden="1"/>
    <cellStyle name="60% - 강조색1 4" xfId="32726" hidden="1"/>
    <cellStyle name="60% - 강조색1 4" xfId="32768" hidden="1"/>
    <cellStyle name="60% - 강조색1 4" xfId="32810" hidden="1"/>
    <cellStyle name="60% - 강조색1 4" xfId="32852" hidden="1"/>
    <cellStyle name="60% - 강조색1 4" xfId="32894" hidden="1"/>
    <cellStyle name="60% - 강조색1 4" xfId="32936" hidden="1"/>
    <cellStyle name="60% - 강조색1 4" xfId="32978" hidden="1"/>
    <cellStyle name="60% - 강조색1 4" xfId="33020" hidden="1"/>
    <cellStyle name="60% - 강조색1 4" xfId="33062" hidden="1"/>
    <cellStyle name="60% - 강조색1 4" xfId="33104" hidden="1"/>
    <cellStyle name="60% - 강조색1 4" xfId="32600" hidden="1"/>
    <cellStyle name="60% - 강조색1 4" xfId="33283" hidden="1"/>
    <cellStyle name="60% - 강조색1 4" xfId="33323" hidden="1"/>
    <cellStyle name="60% - 강조색1 4" xfId="33363" hidden="1"/>
    <cellStyle name="60% - 강조색1 4" xfId="33403" hidden="1"/>
    <cellStyle name="60% - 강조색1 4" xfId="33443" hidden="1"/>
    <cellStyle name="60% - 강조색1 4" xfId="33483" hidden="1"/>
    <cellStyle name="60% - 강조색1 4" xfId="33523" hidden="1"/>
    <cellStyle name="60% - 강조색1 4" xfId="33563" hidden="1"/>
    <cellStyle name="60% - 강조색1 4" xfId="33603" hidden="1"/>
    <cellStyle name="60% - 강조색1 4" xfId="33643" hidden="1"/>
    <cellStyle name="60% - 강조색1 4" xfId="33683" hidden="1"/>
    <cellStyle name="60% - 강조색1 4" xfId="33723" hidden="1"/>
    <cellStyle name="60% - 강조색1 4" xfId="33187" hidden="1"/>
    <cellStyle name="60% - 강조색1 4" xfId="33148" hidden="1"/>
    <cellStyle name="60% - 강조색1 4" xfId="33765" hidden="1"/>
    <cellStyle name="60% - 강조색1 4" xfId="33807" hidden="1"/>
    <cellStyle name="60% - 강조색1 4" xfId="33849" hidden="1"/>
    <cellStyle name="60% - 강조색1 4" xfId="33891" hidden="1"/>
    <cellStyle name="60% - 강조색1 4" xfId="33933" hidden="1"/>
    <cellStyle name="60% - 강조색1 4" xfId="33975" hidden="1"/>
    <cellStyle name="60% - 강조색1 4" xfId="34017" hidden="1"/>
    <cellStyle name="60% - 강조색1 4" xfId="34059" hidden="1"/>
    <cellStyle name="60% - 강조색1 4" xfId="34101" hidden="1"/>
    <cellStyle name="60% - 강조색1 4" xfId="34143" hidden="1"/>
    <cellStyle name="60% - 강조색1 4" xfId="33240" hidden="1"/>
    <cellStyle name="60% - 강조색1 4" xfId="34171" hidden="1"/>
    <cellStyle name="60% - 강조색1 4" xfId="34211" hidden="1"/>
    <cellStyle name="60% - 강조색1 4" xfId="34251" hidden="1"/>
    <cellStyle name="60% - 강조색1 4" xfId="34291" hidden="1"/>
    <cellStyle name="60% - 강조색1 4" xfId="34331" hidden="1"/>
    <cellStyle name="60% - 강조색1 4" xfId="34371" hidden="1"/>
    <cellStyle name="60% - 강조색1 4" xfId="34411" hidden="1"/>
    <cellStyle name="60% - 강조색1 4" xfId="34451" hidden="1"/>
    <cellStyle name="60% - 강조색1 4" xfId="34491" hidden="1"/>
    <cellStyle name="60% - 강조색1 4" xfId="34531" hidden="1"/>
    <cellStyle name="60% - 강조색1 4" xfId="34571" hidden="1"/>
    <cellStyle name="60% - 강조색1 4" xfId="34611" hidden="1"/>
    <cellStyle name="60% - 강조색1 4" xfId="34708" hidden="1"/>
    <cellStyle name="60% - 강조색1 4" xfId="34748" hidden="1"/>
    <cellStyle name="60% - 강조색1 4" xfId="34788" hidden="1"/>
    <cellStyle name="60% - 강조색1 4" xfId="34828" hidden="1"/>
    <cellStyle name="60% - 강조색1 4" xfId="34868" hidden="1"/>
    <cellStyle name="60% - 강조색1 4" xfId="34908" hidden="1"/>
    <cellStyle name="60% - 강조색1 4" xfId="34948" hidden="1"/>
    <cellStyle name="60% - 강조색1 4" xfId="34988" hidden="1"/>
    <cellStyle name="60% - 강조색1 4" xfId="35028" hidden="1"/>
    <cellStyle name="60% - 강조색1 4" xfId="35068" hidden="1"/>
    <cellStyle name="60% - 강조색1 4" xfId="35108" hidden="1"/>
    <cellStyle name="60% - 강조색1 4" xfId="35148" hidden="1"/>
    <cellStyle name="60% - 강조색1 4" xfId="35232" hidden="1"/>
    <cellStyle name="60% - 강조색1 4" xfId="35273" hidden="1"/>
    <cellStyle name="60% - 강조색1 4" xfId="35315" hidden="1"/>
    <cellStyle name="60% - 강조색1 4" xfId="35357" hidden="1"/>
    <cellStyle name="60% - 강조색1 4" xfId="35399" hidden="1"/>
    <cellStyle name="60% - 강조색1 4" xfId="35441" hidden="1"/>
    <cellStyle name="60% - 강조색1 4" xfId="35483" hidden="1"/>
    <cellStyle name="60% - 강조색1 4" xfId="35525" hidden="1"/>
    <cellStyle name="60% - 강조색1 4" xfId="35567" hidden="1"/>
    <cellStyle name="60% - 강조색1 4" xfId="35609" hidden="1"/>
    <cellStyle name="60% - 강조색1 4" xfId="35651" hidden="1"/>
    <cellStyle name="60% - 강조색1 4" xfId="35693" hidden="1"/>
    <cellStyle name="60% - 강조색1 4" xfId="35189" hidden="1"/>
    <cellStyle name="60% - 강조색1 4" xfId="35872" hidden="1"/>
    <cellStyle name="60% - 강조색1 4" xfId="35912" hidden="1"/>
    <cellStyle name="60% - 강조색1 4" xfId="35952" hidden="1"/>
    <cellStyle name="60% - 강조색1 4" xfId="35992" hidden="1"/>
    <cellStyle name="60% - 강조색1 4" xfId="36032" hidden="1"/>
    <cellStyle name="60% - 강조색1 4" xfId="36072" hidden="1"/>
    <cellStyle name="60% - 강조색1 4" xfId="36112" hidden="1"/>
    <cellStyle name="60% - 강조색1 4" xfId="36152" hidden="1"/>
    <cellStyle name="60% - 강조색1 4" xfId="36192" hidden="1"/>
    <cellStyle name="60% - 강조색1 4" xfId="36232" hidden="1"/>
    <cellStyle name="60% - 강조색1 4" xfId="36272" hidden="1"/>
    <cellStyle name="60% - 강조색1 4" xfId="36312" hidden="1"/>
    <cellStyle name="60% - 강조색1 4" xfId="35776" hidden="1"/>
    <cellStyle name="60% - 강조색1 4" xfId="35737" hidden="1"/>
    <cellStyle name="60% - 강조색1 4" xfId="36354" hidden="1"/>
    <cellStyle name="60% - 강조색1 4" xfId="36396" hidden="1"/>
    <cellStyle name="60% - 강조색1 4" xfId="36438" hidden="1"/>
    <cellStyle name="60% - 강조색1 4" xfId="36480" hidden="1"/>
    <cellStyle name="60% - 강조색1 4" xfId="36522" hidden="1"/>
    <cellStyle name="60% - 강조색1 4" xfId="36564" hidden="1"/>
    <cellStyle name="60% - 강조색1 4" xfId="36606" hidden="1"/>
    <cellStyle name="60% - 강조색1 4" xfId="36648" hidden="1"/>
    <cellStyle name="60% - 강조색1 4" xfId="36690" hidden="1"/>
    <cellStyle name="60% - 강조색1 4" xfId="36732" hidden="1"/>
    <cellStyle name="60% - 강조색1 4" xfId="35829" hidden="1"/>
    <cellStyle name="60% - 강조색1 4" xfId="36760" hidden="1"/>
    <cellStyle name="60% - 강조색1 4" xfId="36800" hidden="1"/>
    <cellStyle name="60% - 강조색1 4" xfId="36840" hidden="1"/>
    <cellStyle name="60% - 강조색1 4" xfId="36880" hidden="1"/>
    <cellStyle name="60% - 강조색1 4" xfId="36920" hidden="1"/>
    <cellStyle name="60% - 강조색1 4" xfId="36960" hidden="1"/>
    <cellStyle name="60% - 강조색1 4" xfId="37000" hidden="1"/>
    <cellStyle name="60% - 강조색1 4" xfId="37040" hidden="1"/>
    <cellStyle name="60% - 강조색1 4" xfId="37080" hidden="1"/>
    <cellStyle name="60% - 강조색1 4" xfId="37120" hidden="1"/>
    <cellStyle name="60% - 강조색1 4" xfId="37160" hidden="1"/>
    <cellStyle name="60% - 강조색1 4" xfId="37200" hidden="1"/>
    <cellStyle name="60% - 강조색1 4" xfId="34638" hidden="1"/>
    <cellStyle name="60% - 강조색1 4" xfId="37251" hidden="1"/>
    <cellStyle name="60% - 강조색1 4" xfId="37292" hidden="1"/>
    <cellStyle name="60% - 강조색1 4" xfId="37332" hidden="1"/>
    <cellStyle name="60% - 강조색1 4" xfId="37372" hidden="1"/>
    <cellStyle name="60% - 강조색1 4" xfId="37412" hidden="1"/>
    <cellStyle name="60% - 강조색1 4" xfId="37452" hidden="1"/>
    <cellStyle name="60% - 강조색1 4" xfId="37492" hidden="1"/>
    <cellStyle name="60% - 강조색1 4" xfId="37532" hidden="1"/>
    <cellStyle name="60% - 강조색1 4" xfId="37572" hidden="1"/>
    <cellStyle name="60% - 강조색1 4" xfId="37612" hidden="1"/>
    <cellStyle name="60% - 강조색1 4" xfId="37652" hidden="1"/>
    <cellStyle name="60% - 강조색1 4" xfId="37736" hidden="1"/>
    <cellStyle name="60% - 강조색1 4" xfId="37777" hidden="1"/>
    <cellStyle name="60% - 강조색1 4" xfId="37819" hidden="1"/>
    <cellStyle name="60% - 강조색1 4" xfId="37861" hidden="1"/>
    <cellStyle name="60% - 강조색1 4" xfId="37903" hidden="1"/>
    <cellStyle name="60% - 강조색1 4" xfId="37945" hidden="1"/>
    <cellStyle name="60% - 강조색1 4" xfId="37987" hidden="1"/>
    <cellStyle name="60% - 강조색1 4" xfId="38029" hidden="1"/>
    <cellStyle name="60% - 강조색1 4" xfId="38071" hidden="1"/>
    <cellStyle name="60% - 강조색1 4" xfId="38113" hidden="1"/>
    <cellStyle name="60% - 강조색1 4" xfId="38155" hidden="1"/>
    <cellStyle name="60% - 강조색1 4" xfId="38197" hidden="1"/>
    <cellStyle name="60% - 강조색1 4" xfId="37693" hidden="1"/>
    <cellStyle name="60% - 강조색1 4" xfId="38376" hidden="1"/>
    <cellStyle name="60% - 강조색1 4" xfId="38416" hidden="1"/>
    <cellStyle name="60% - 강조색1 4" xfId="38456" hidden="1"/>
    <cellStyle name="60% - 강조색1 4" xfId="38496" hidden="1"/>
    <cellStyle name="60% - 강조색1 4" xfId="38536" hidden="1"/>
    <cellStyle name="60% - 강조색1 4" xfId="38576" hidden="1"/>
    <cellStyle name="60% - 강조색1 4" xfId="38616" hidden="1"/>
    <cellStyle name="60% - 강조색1 4" xfId="38656" hidden="1"/>
    <cellStyle name="60% - 강조색1 4" xfId="38696" hidden="1"/>
    <cellStyle name="60% - 강조색1 4" xfId="38736" hidden="1"/>
    <cellStyle name="60% - 강조색1 4" xfId="38776" hidden="1"/>
    <cellStyle name="60% - 강조색1 4" xfId="38816" hidden="1"/>
    <cellStyle name="60% - 강조색1 4" xfId="38280" hidden="1"/>
    <cellStyle name="60% - 강조색1 4" xfId="38241" hidden="1"/>
    <cellStyle name="60% - 강조색1 4" xfId="38858" hidden="1"/>
    <cellStyle name="60% - 강조색1 4" xfId="38900" hidden="1"/>
    <cellStyle name="60% - 강조색1 4" xfId="38942" hidden="1"/>
    <cellStyle name="60% - 강조색1 4" xfId="38984" hidden="1"/>
    <cellStyle name="60% - 강조색1 4" xfId="39026" hidden="1"/>
    <cellStyle name="60% - 강조색1 4" xfId="39068" hidden="1"/>
    <cellStyle name="60% - 강조색1 4" xfId="39110" hidden="1"/>
    <cellStyle name="60% - 강조색1 4" xfId="39152" hidden="1"/>
    <cellStyle name="60% - 강조색1 4" xfId="39194" hidden="1"/>
    <cellStyle name="60% - 강조색1 4" xfId="39236" hidden="1"/>
    <cellStyle name="60% - 강조색1 4" xfId="38333" hidden="1"/>
    <cellStyle name="60% - 강조색1 4" xfId="39264" hidden="1"/>
    <cellStyle name="60% - 강조색1 4" xfId="39304" hidden="1"/>
    <cellStyle name="60% - 강조색1 4" xfId="39344" hidden="1"/>
    <cellStyle name="60% - 강조색1 4" xfId="39384" hidden="1"/>
    <cellStyle name="60% - 강조색1 4" xfId="39424" hidden="1"/>
    <cellStyle name="60% - 강조색1 4" xfId="39464" hidden="1"/>
    <cellStyle name="60% - 강조색1 4" xfId="39504" hidden="1"/>
    <cellStyle name="60% - 강조색1 4" xfId="39544" hidden="1"/>
    <cellStyle name="60% - 강조색1 4" xfId="39584" hidden="1"/>
    <cellStyle name="60% - 강조색1 4" xfId="39624" hidden="1"/>
    <cellStyle name="60% - 강조색1 4" xfId="39664" hidden="1"/>
    <cellStyle name="60% - 강조색1 4" xfId="39704" hidden="1"/>
    <cellStyle name="60% - 강조색1 4" xfId="34686" hidden="1"/>
    <cellStyle name="60% - 강조색1 4" xfId="39754" hidden="1"/>
    <cellStyle name="60% - 강조색1 4" xfId="39794" hidden="1"/>
    <cellStyle name="60% - 강조색1 4" xfId="39834" hidden="1"/>
    <cellStyle name="60% - 강조색1 4" xfId="39874" hidden="1"/>
    <cellStyle name="60% - 강조색1 4" xfId="39914" hidden="1"/>
    <cellStyle name="60% - 강조색1 4" xfId="39954" hidden="1"/>
    <cellStyle name="60% - 강조색1 4" xfId="39994" hidden="1"/>
    <cellStyle name="60% - 강조색1 4" xfId="40034" hidden="1"/>
    <cellStyle name="60% - 강조색1 4" xfId="40074" hidden="1"/>
    <cellStyle name="60% - 강조색1 4" xfId="40114" hidden="1"/>
    <cellStyle name="60% - 강조색1 4" xfId="40154" hidden="1"/>
    <cellStyle name="60% - 강조색1 4" xfId="40238" hidden="1"/>
    <cellStyle name="60% - 강조색1 4" xfId="40279" hidden="1"/>
    <cellStyle name="60% - 강조색1 4" xfId="40321" hidden="1"/>
    <cellStyle name="60% - 강조색1 4" xfId="40363" hidden="1"/>
    <cellStyle name="60% - 강조색1 4" xfId="40405" hidden="1"/>
    <cellStyle name="60% - 강조색1 4" xfId="40447" hidden="1"/>
    <cellStyle name="60% - 강조색1 4" xfId="40489" hidden="1"/>
    <cellStyle name="60% - 강조색1 4" xfId="40531" hidden="1"/>
    <cellStyle name="60% - 강조색1 4" xfId="40573" hidden="1"/>
    <cellStyle name="60% - 강조색1 4" xfId="40615" hidden="1"/>
    <cellStyle name="60% - 강조색1 4" xfId="40657" hidden="1"/>
    <cellStyle name="60% - 강조색1 4" xfId="40699" hidden="1"/>
    <cellStyle name="60% - 강조색1 4" xfId="40195" hidden="1"/>
    <cellStyle name="60% - 강조색1 4" xfId="40878" hidden="1"/>
    <cellStyle name="60% - 강조색1 4" xfId="40918" hidden="1"/>
    <cellStyle name="60% - 강조색1 4" xfId="40958" hidden="1"/>
    <cellStyle name="60% - 강조색1 4" xfId="40998" hidden="1"/>
    <cellStyle name="60% - 강조색1 4" xfId="41038" hidden="1"/>
    <cellStyle name="60% - 강조색1 4" xfId="41078" hidden="1"/>
    <cellStyle name="60% - 강조색1 4" xfId="41118" hidden="1"/>
    <cellStyle name="60% - 강조색1 4" xfId="41158" hidden="1"/>
    <cellStyle name="60% - 강조색1 4" xfId="41198" hidden="1"/>
    <cellStyle name="60% - 강조색1 4" xfId="41238" hidden="1"/>
    <cellStyle name="60% - 강조색1 4" xfId="41278" hidden="1"/>
    <cellStyle name="60% - 강조색1 4" xfId="41318" hidden="1"/>
    <cellStyle name="60% - 강조색1 4" xfId="40782" hidden="1"/>
    <cellStyle name="60% - 강조색1 4" xfId="40743" hidden="1"/>
    <cellStyle name="60% - 강조색1 4" xfId="41360" hidden="1"/>
    <cellStyle name="60% - 강조색1 4" xfId="41402" hidden="1"/>
    <cellStyle name="60% - 강조색1 4" xfId="41444" hidden="1"/>
    <cellStyle name="60% - 강조색1 4" xfId="41486" hidden="1"/>
    <cellStyle name="60% - 강조색1 4" xfId="41528" hidden="1"/>
    <cellStyle name="60% - 강조색1 4" xfId="41570" hidden="1"/>
    <cellStyle name="60% - 강조색1 4" xfId="41612" hidden="1"/>
    <cellStyle name="60% - 강조색1 4" xfId="41654" hidden="1"/>
    <cellStyle name="60% - 강조색1 4" xfId="41696" hidden="1"/>
    <cellStyle name="60% - 강조색1 4" xfId="41738" hidden="1"/>
    <cellStyle name="60% - 강조색1 4" xfId="40835" hidden="1"/>
    <cellStyle name="60% - 강조색1 4" xfId="41766" hidden="1"/>
    <cellStyle name="60% - 강조색1 4" xfId="41806" hidden="1"/>
    <cellStyle name="60% - 강조색1 4" xfId="41846" hidden="1"/>
    <cellStyle name="60% - 강조색1 4" xfId="41886" hidden="1"/>
    <cellStyle name="60% - 강조색1 4" xfId="41926" hidden="1"/>
    <cellStyle name="60% - 강조색1 4" xfId="41966" hidden="1"/>
    <cellStyle name="60% - 강조색1 4" xfId="42006" hidden="1"/>
    <cellStyle name="60% - 강조색1 4" xfId="42046" hidden="1"/>
    <cellStyle name="60% - 강조색1 4" xfId="42086" hidden="1"/>
    <cellStyle name="60% - 강조색1 4" xfId="42126" hidden="1"/>
    <cellStyle name="60% - 강조색1 4" xfId="42166" hidden="1"/>
    <cellStyle name="60% - 강조색1 4" xfId="42206" hidden="1"/>
    <cellStyle name="60% - 강조색1 4" xfId="42249" hidden="1"/>
    <cellStyle name="60% - 강조색1 4" xfId="42289" hidden="1"/>
    <cellStyle name="60% - 강조색1 4" xfId="42329" hidden="1"/>
    <cellStyle name="60% - 강조색1 4" xfId="42369" hidden="1"/>
    <cellStyle name="60% - 강조색1 4" xfId="42409" hidden="1"/>
    <cellStyle name="60% - 강조색1 4" xfId="42449" hidden="1"/>
    <cellStyle name="60% - 강조색1 4" xfId="42489" hidden="1"/>
    <cellStyle name="60% - 강조색1 4" xfId="42529" hidden="1"/>
    <cellStyle name="60% - 강조색1 4" xfId="42569" hidden="1"/>
    <cellStyle name="60% - 강조색1 4" xfId="42609" hidden="1"/>
    <cellStyle name="60% - 강조색1 4" xfId="42649" hidden="1"/>
    <cellStyle name="60% - 강조색1 4" xfId="42689" hidden="1"/>
    <cellStyle name="60% - 강조색1 4" xfId="42773" hidden="1"/>
    <cellStyle name="60% - 강조색1 4" xfId="42814" hidden="1"/>
    <cellStyle name="60% - 강조색1 4" xfId="42856" hidden="1"/>
    <cellStyle name="60% - 강조색1 4" xfId="42898" hidden="1"/>
    <cellStyle name="60% - 강조색1 4" xfId="42940" hidden="1"/>
    <cellStyle name="60% - 강조색1 4" xfId="42982" hidden="1"/>
    <cellStyle name="60% - 강조색1 4" xfId="43024" hidden="1"/>
    <cellStyle name="60% - 강조색1 4" xfId="43066" hidden="1"/>
    <cellStyle name="60% - 강조색1 4" xfId="43108" hidden="1"/>
    <cellStyle name="60% - 강조색1 4" xfId="43150" hidden="1"/>
    <cellStyle name="60% - 강조색1 4" xfId="43192" hidden="1"/>
    <cellStyle name="60% - 강조색1 4" xfId="43234" hidden="1"/>
    <cellStyle name="60% - 강조색1 4" xfId="42730" hidden="1"/>
    <cellStyle name="60% - 강조색1 4" xfId="43413" hidden="1"/>
    <cellStyle name="60% - 강조색1 4" xfId="43453" hidden="1"/>
    <cellStyle name="60% - 강조색1 4" xfId="43493" hidden="1"/>
    <cellStyle name="60% - 강조색1 4" xfId="43533" hidden="1"/>
    <cellStyle name="60% - 강조색1 4" xfId="43573" hidden="1"/>
    <cellStyle name="60% - 강조색1 4" xfId="43613" hidden="1"/>
    <cellStyle name="60% - 강조색1 4" xfId="43653" hidden="1"/>
    <cellStyle name="60% - 강조색1 4" xfId="43693" hidden="1"/>
    <cellStyle name="60% - 강조색1 4" xfId="43733" hidden="1"/>
    <cellStyle name="60% - 강조색1 4" xfId="43773" hidden="1"/>
    <cellStyle name="60% - 강조색1 4" xfId="43813" hidden="1"/>
    <cellStyle name="60% - 강조색1 4" xfId="43853" hidden="1"/>
    <cellStyle name="60% - 강조색1 4" xfId="43317" hidden="1"/>
    <cellStyle name="60% - 강조색1 4" xfId="43278" hidden="1"/>
    <cellStyle name="60% - 강조색1 4" xfId="43895" hidden="1"/>
    <cellStyle name="60% - 강조색1 4" xfId="43937" hidden="1"/>
    <cellStyle name="60% - 강조색1 4" xfId="43979" hidden="1"/>
    <cellStyle name="60% - 강조색1 4" xfId="44021" hidden="1"/>
    <cellStyle name="60% - 강조색1 4" xfId="44063" hidden="1"/>
    <cellStyle name="60% - 강조색1 4" xfId="44105" hidden="1"/>
    <cellStyle name="60% - 강조색1 4" xfId="44147" hidden="1"/>
    <cellStyle name="60% - 강조색1 4" xfId="44189" hidden="1"/>
    <cellStyle name="60% - 강조색1 4" xfId="44231" hidden="1"/>
    <cellStyle name="60% - 강조색1 4" xfId="44273" hidden="1"/>
    <cellStyle name="60% - 강조색1 4" xfId="43370" hidden="1"/>
    <cellStyle name="60% - 강조색1 4" xfId="44301" hidden="1"/>
    <cellStyle name="60% - 강조색1 4" xfId="44341" hidden="1"/>
    <cellStyle name="60% - 강조색1 4" xfId="44381" hidden="1"/>
    <cellStyle name="60% - 강조색1 4" xfId="44421" hidden="1"/>
    <cellStyle name="60% - 강조색1 4" xfId="44461" hidden="1"/>
    <cellStyle name="60% - 강조색1 4" xfId="44501" hidden="1"/>
    <cellStyle name="60% - 강조색1 4" xfId="44541" hidden="1"/>
    <cellStyle name="60% - 강조색1 4" xfId="44581" hidden="1"/>
    <cellStyle name="60% - 강조색1 4" xfId="44621" hidden="1"/>
    <cellStyle name="60% - 강조색1 4" xfId="44661" hidden="1"/>
    <cellStyle name="60% - 강조색1 4" xfId="44701" hidden="1"/>
    <cellStyle name="60% - 강조색1 4" xfId="44741" hidden="1"/>
    <cellStyle name="60% - 강조색1 4" xfId="44837" hidden="1"/>
    <cellStyle name="60% - 강조색1 4" xfId="44877" hidden="1"/>
    <cellStyle name="60% - 강조색1 4" xfId="44919" hidden="1"/>
    <cellStyle name="60% - 강조색1 4" xfId="44960" hidden="1"/>
    <cellStyle name="60% - 강조색1 4" xfId="45000" hidden="1"/>
    <cellStyle name="60% - 강조색1 4" xfId="45040" hidden="1"/>
    <cellStyle name="60% - 강조색1 4" xfId="45080" hidden="1"/>
    <cellStyle name="60% - 강조색1 4" xfId="45120" hidden="1"/>
    <cellStyle name="60% - 강조색1 4" xfId="45160" hidden="1"/>
    <cellStyle name="60% - 강조색1 4" xfId="45200" hidden="1"/>
    <cellStyle name="60% - 강조색1 4" xfId="45240" hidden="1"/>
    <cellStyle name="60% - 강조색1 4" xfId="45280" hidden="1"/>
    <cellStyle name="60% - 강조색1 4" xfId="45364" hidden="1"/>
    <cellStyle name="60% - 강조색1 4" xfId="45405" hidden="1"/>
    <cellStyle name="60% - 강조색1 4" xfId="45447" hidden="1"/>
    <cellStyle name="60% - 강조색1 4" xfId="45489" hidden="1"/>
    <cellStyle name="60% - 강조색1 4" xfId="45531" hidden="1"/>
    <cellStyle name="60% - 강조색1 4" xfId="45573" hidden="1"/>
    <cellStyle name="60% - 강조색1 4" xfId="45615" hidden="1"/>
    <cellStyle name="60% - 강조색1 4" xfId="45657" hidden="1"/>
    <cellStyle name="60% - 강조색1 4" xfId="45699" hidden="1"/>
    <cellStyle name="60% - 강조색1 4" xfId="45741" hidden="1"/>
    <cellStyle name="60% - 강조색1 4" xfId="45783" hidden="1"/>
    <cellStyle name="60% - 강조색1 4" xfId="45825" hidden="1"/>
    <cellStyle name="60% - 강조색1 4" xfId="45321" hidden="1"/>
    <cellStyle name="60% - 강조색1 4" xfId="46004" hidden="1"/>
    <cellStyle name="60% - 강조색1 4" xfId="46044" hidden="1"/>
    <cellStyle name="60% - 강조색1 4" xfId="46084" hidden="1"/>
    <cellStyle name="60% - 강조색1 4" xfId="46124" hidden="1"/>
    <cellStyle name="60% - 강조색1 4" xfId="46164" hidden="1"/>
    <cellStyle name="60% - 강조색1 4" xfId="46204" hidden="1"/>
    <cellStyle name="60% - 강조색1 4" xfId="46244" hidden="1"/>
    <cellStyle name="60% - 강조색1 4" xfId="46284" hidden="1"/>
    <cellStyle name="60% - 강조색1 4" xfId="46324" hidden="1"/>
    <cellStyle name="60% - 강조색1 4" xfId="46364" hidden="1"/>
    <cellStyle name="60% - 강조색1 4" xfId="46404" hidden="1"/>
    <cellStyle name="60% - 강조색1 4" xfId="46444" hidden="1"/>
    <cellStyle name="60% - 강조색1 4" xfId="45908" hidden="1"/>
    <cellStyle name="60% - 강조색1 4" xfId="45869" hidden="1"/>
    <cellStyle name="60% - 강조색1 4" xfId="46486" hidden="1"/>
    <cellStyle name="60% - 강조색1 4" xfId="46528" hidden="1"/>
    <cellStyle name="60% - 강조색1 4" xfId="46570" hidden="1"/>
    <cellStyle name="60% - 강조색1 4" xfId="46612" hidden="1"/>
    <cellStyle name="60% - 강조색1 4" xfId="46654" hidden="1"/>
    <cellStyle name="60% - 강조색1 4" xfId="46696" hidden="1"/>
    <cellStyle name="60% - 강조색1 4" xfId="46738" hidden="1"/>
    <cellStyle name="60% - 강조색1 4" xfId="46780" hidden="1"/>
    <cellStyle name="60% - 강조색1 4" xfId="46822" hidden="1"/>
    <cellStyle name="60% - 강조색1 4" xfId="46864" hidden="1"/>
    <cellStyle name="60% - 강조색1 4" xfId="45961" hidden="1"/>
    <cellStyle name="60% - 강조색1 4" xfId="46892" hidden="1"/>
    <cellStyle name="60% - 강조색1 4" xfId="46932" hidden="1"/>
    <cellStyle name="60% - 강조색1 4" xfId="46972" hidden="1"/>
    <cellStyle name="60% - 강조색1 4" xfId="47012" hidden="1"/>
    <cellStyle name="60% - 강조색1 4" xfId="47052" hidden="1"/>
    <cellStyle name="60% - 강조색1 4" xfId="47092" hidden="1"/>
    <cellStyle name="60% - 강조색1 4" xfId="47132" hidden="1"/>
    <cellStyle name="60% - 강조색1 4" xfId="47172" hidden="1"/>
    <cellStyle name="60% - 강조색1 4" xfId="47212" hidden="1"/>
    <cellStyle name="60% - 강조색1 4" xfId="47252" hidden="1"/>
    <cellStyle name="60% - 강조색1 4" xfId="47292" hidden="1"/>
    <cellStyle name="60% - 강조색1 4" xfId="47332" hidden="1"/>
    <cellStyle name="60% - 강조색1 4" xfId="44768" hidden="1"/>
    <cellStyle name="60% - 강조색1 4" xfId="47383" hidden="1"/>
    <cellStyle name="60% - 강조색1 4" xfId="47423" hidden="1"/>
    <cellStyle name="60% - 강조색1 4" xfId="47463" hidden="1"/>
    <cellStyle name="60% - 강조색1 4" xfId="47503" hidden="1"/>
    <cellStyle name="60% - 강조색1 4" xfId="47543" hidden="1"/>
    <cellStyle name="60% - 강조색1 4" xfId="47583" hidden="1"/>
    <cellStyle name="60% - 강조색1 4" xfId="47623" hidden="1"/>
    <cellStyle name="60% - 강조색1 4" xfId="47663" hidden="1"/>
    <cellStyle name="60% - 강조색1 4" xfId="47703" hidden="1"/>
    <cellStyle name="60% - 강조색1 4" xfId="47743" hidden="1"/>
    <cellStyle name="60% - 강조색1 4" xfId="47783" hidden="1"/>
    <cellStyle name="60% - 강조색1 4" xfId="47867" hidden="1"/>
    <cellStyle name="60% - 강조색1 4" xfId="47908" hidden="1"/>
    <cellStyle name="60% - 강조색1 4" xfId="47950" hidden="1"/>
    <cellStyle name="60% - 강조색1 4" xfId="47992" hidden="1"/>
    <cellStyle name="60% - 강조색1 4" xfId="48034" hidden="1"/>
    <cellStyle name="60% - 강조색1 4" xfId="48076" hidden="1"/>
    <cellStyle name="60% - 강조색1 4" xfId="48118" hidden="1"/>
    <cellStyle name="60% - 강조색1 4" xfId="48160" hidden="1"/>
    <cellStyle name="60% - 강조색1 4" xfId="48202" hidden="1"/>
    <cellStyle name="60% - 강조색1 4" xfId="48244" hidden="1"/>
    <cellStyle name="60% - 강조색1 4" xfId="48286" hidden="1"/>
    <cellStyle name="60% - 강조색1 4" xfId="48328" hidden="1"/>
    <cellStyle name="60% - 강조색1 4" xfId="47824" hidden="1"/>
    <cellStyle name="60% - 강조색1 4" xfId="48507" hidden="1"/>
    <cellStyle name="60% - 강조색1 4" xfId="48547" hidden="1"/>
    <cellStyle name="60% - 강조색1 4" xfId="48587" hidden="1"/>
    <cellStyle name="60% - 강조색1 4" xfId="48627" hidden="1"/>
    <cellStyle name="60% - 강조색1 4" xfId="48667" hidden="1"/>
    <cellStyle name="60% - 강조색1 4" xfId="48707" hidden="1"/>
    <cellStyle name="60% - 강조색1 4" xfId="48747" hidden="1"/>
    <cellStyle name="60% - 강조색1 4" xfId="48787" hidden="1"/>
    <cellStyle name="60% - 강조색1 4" xfId="48827" hidden="1"/>
    <cellStyle name="60% - 강조색1 4" xfId="48867" hidden="1"/>
    <cellStyle name="60% - 강조색1 4" xfId="48907" hidden="1"/>
    <cellStyle name="60% - 강조색1 4" xfId="48947" hidden="1"/>
    <cellStyle name="60% - 강조색1 4" xfId="48411" hidden="1"/>
    <cellStyle name="60% - 강조색1 4" xfId="48372" hidden="1"/>
    <cellStyle name="60% - 강조색1 4" xfId="48989" hidden="1"/>
    <cellStyle name="60% - 강조색1 4" xfId="49031" hidden="1"/>
    <cellStyle name="60% - 강조색1 4" xfId="49073" hidden="1"/>
    <cellStyle name="60% - 강조색1 4" xfId="49115" hidden="1"/>
    <cellStyle name="60% - 강조색1 4" xfId="49157" hidden="1"/>
    <cellStyle name="60% - 강조색1 4" xfId="49199" hidden="1"/>
    <cellStyle name="60% - 강조색1 4" xfId="49241" hidden="1"/>
    <cellStyle name="60% - 강조색1 4" xfId="49283" hidden="1"/>
    <cellStyle name="60% - 강조색1 4" xfId="49325" hidden="1"/>
    <cellStyle name="60% - 강조색1 4" xfId="49367" hidden="1"/>
    <cellStyle name="60% - 강조색1 4" xfId="48464" hidden="1"/>
    <cellStyle name="60% - 강조색1 4" xfId="49395" hidden="1"/>
    <cellStyle name="60% - 강조색1 4" xfId="49435" hidden="1"/>
    <cellStyle name="60% - 강조색1 4" xfId="49475" hidden="1"/>
    <cellStyle name="60% - 강조색1 4" xfId="49515" hidden="1"/>
    <cellStyle name="60% - 강조색1 4" xfId="49555" hidden="1"/>
    <cellStyle name="60% - 강조색1 4" xfId="49595" hidden="1"/>
    <cellStyle name="60% - 강조색1 4" xfId="49635" hidden="1"/>
    <cellStyle name="60% - 강조색1 4" xfId="49675" hidden="1"/>
    <cellStyle name="60% - 강조색1 4" xfId="49715" hidden="1"/>
    <cellStyle name="60% - 강조색1 4" xfId="49755" hidden="1"/>
    <cellStyle name="60% - 강조색1 4" xfId="49795" hidden="1"/>
    <cellStyle name="60% - 강조색1 4" xfId="49835" hidden="1"/>
    <cellStyle name="60% - 강조색1 4" xfId="44815" hidden="1"/>
    <cellStyle name="60% - 강조색1 4" xfId="49885" hidden="1"/>
    <cellStyle name="60% - 강조색1 4" xfId="49925" hidden="1"/>
    <cellStyle name="60% - 강조색1 4" xfId="49965" hidden="1"/>
    <cellStyle name="60% - 강조색1 4" xfId="50005" hidden="1"/>
    <cellStyle name="60% - 강조색1 4" xfId="50045" hidden="1"/>
    <cellStyle name="60% - 강조색1 4" xfId="50085" hidden="1"/>
    <cellStyle name="60% - 강조색1 4" xfId="50125" hidden="1"/>
    <cellStyle name="60% - 강조색1 4" xfId="50165" hidden="1"/>
    <cellStyle name="60% - 강조색1 4" xfId="50205" hidden="1"/>
    <cellStyle name="60% - 강조색1 4" xfId="50245" hidden="1"/>
    <cellStyle name="60% - 강조색1 4" xfId="50285" hidden="1"/>
    <cellStyle name="60% - 강조색1 4" xfId="50369" hidden="1"/>
    <cellStyle name="60% - 강조색1 4" xfId="50410" hidden="1"/>
    <cellStyle name="60% - 강조색1 4" xfId="50452" hidden="1"/>
    <cellStyle name="60% - 강조색1 4" xfId="50494" hidden="1"/>
    <cellStyle name="60% - 강조색1 4" xfId="50536" hidden="1"/>
    <cellStyle name="60% - 강조색1 4" xfId="50578" hidden="1"/>
    <cellStyle name="60% - 강조색1 4" xfId="50620" hidden="1"/>
    <cellStyle name="60% - 강조색1 4" xfId="50662" hidden="1"/>
    <cellStyle name="60% - 강조색1 4" xfId="50704" hidden="1"/>
    <cellStyle name="60% - 강조색1 4" xfId="50746" hidden="1"/>
    <cellStyle name="60% - 강조색1 4" xfId="50788" hidden="1"/>
    <cellStyle name="60% - 강조색1 4" xfId="50830" hidden="1"/>
    <cellStyle name="60% - 강조색1 4" xfId="50326" hidden="1"/>
    <cellStyle name="60% - 강조색1 4" xfId="51009" hidden="1"/>
    <cellStyle name="60% - 강조색1 4" xfId="51049" hidden="1"/>
    <cellStyle name="60% - 강조색1 4" xfId="51089" hidden="1"/>
    <cellStyle name="60% - 강조색1 4" xfId="51129" hidden="1"/>
    <cellStyle name="60% - 강조색1 4" xfId="51169" hidden="1"/>
    <cellStyle name="60% - 강조색1 4" xfId="51209" hidden="1"/>
    <cellStyle name="60% - 강조색1 4" xfId="51249" hidden="1"/>
    <cellStyle name="60% - 강조색1 4" xfId="51289" hidden="1"/>
    <cellStyle name="60% - 강조색1 4" xfId="51329" hidden="1"/>
    <cellStyle name="60% - 강조색1 4" xfId="51369" hidden="1"/>
    <cellStyle name="60% - 강조색1 4" xfId="51409" hidden="1"/>
    <cellStyle name="60% - 강조색1 4" xfId="51449" hidden="1"/>
    <cellStyle name="60% - 강조색1 4" xfId="50913" hidden="1"/>
    <cellStyle name="60% - 강조색1 4" xfId="50874" hidden="1"/>
    <cellStyle name="60% - 강조색1 4" xfId="51491" hidden="1"/>
    <cellStyle name="60% - 강조색1 4" xfId="51533" hidden="1"/>
    <cellStyle name="60% - 강조색1 4" xfId="51575" hidden="1"/>
    <cellStyle name="60% - 강조색1 4" xfId="51617" hidden="1"/>
    <cellStyle name="60% - 강조색1 4" xfId="51659" hidden="1"/>
    <cellStyle name="60% - 강조색1 4" xfId="51701" hidden="1"/>
    <cellStyle name="60% - 강조색1 4" xfId="51743" hidden="1"/>
    <cellStyle name="60% - 강조색1 4" xfId="51785" hidden="1"/>
    <cellStyle name="60% - 강조색1 4" xfId="51827" hidden="1"/>
    <cellStyle name="60% - 강조색1 4" xfId="51869" hidden="1"/>
    <cellStyle name="60% - 강조색1 4" xfId="50966" hidden="1"/>
    <cellStyle name="60% - 강조색1 4" xfId="51897" hidden="1"/>
    <cellStyle name="60% - 강조색1 4" xfId="51937" hidden="1"/>
    <cellStyle name="60% - 강조색1 4" xfId="51977" hidden="1"/>
    <cellStyle name="60% - 강조색1 4" xfId="52017" hidden="1"/>
    <cellStyle name="60% - 강조색1 4" xfId="52057" hidden="1"/>
    <cellStyle name="60% - 강조색1 4" xfId="52097" hidden="1"/>
    <cellStyle name="60% - 강조색1 4" xfId="52137" hidden="1"/>
    <cellStyle name="60% - 강조색1 4" xfId="52177" hidden="1"/>
    <cellStyle name="60% - 강조색1 4" xfId="52217" hidden="1"/>
    <cellStyle name="60% - 강조색1 4" xfId="52257" hidden="1"/>
    <cellStyle name="60% - 강조색1 4" xfId="52297" hidden="1"/>
    <cellStyle name="60% - 강조색1 4" xfId="52337" hidden="1"/>
    <cellStyle name="60% - 강조색1 4 2" xfId="2784"/>
    <cellStyle name="60% - 강조색1 4 3" xfId="2785"/>
    <cellStyle name="60% - 강조색1 4 4" xfId="2786"/>
    <cellStyle name="60% - 강조색1 4 5" xfId="2787"/>
    <cellStyle name="60% - 강조색1 40" xfId="2788"/>
    <cellStyle name="60% - 강조색1 41" xfId="2789"/>
    <cellStyle name="60% - 강조색1 42" xfId="2790"/>
    <cellStyle name="60% - 강조색1 43" xfId="2791"/>
    <cellStyle name="60% - 강조색1 44" xfId="2792"/>
    <cellStyle name="60% - 강조색1 45" xfId="2793"/>
    <cellStyle name="60% - 강조색1 46" xfId="2794"/>
    <cellStyle name="60% - 강조색1 47" xfId="2795"/>
    <cellStyle name="60% - 강조색1 48" xfId="2796"/>
    <cellStyle name="60% - 강조색1 49" xfId="2797"/>
    <cellStyle name="60% - 강조색1 5" xfId="2798"/>
    <cellStyle name="60% - 강조색1 50" xfId="2799"/>
    <cellStyle name="60% - 강조색1 51" xfId="2800"/>
    <cellStyle name="60% - 강조색1 52" xfId="2801"/>
    <cellStyle name="60% - 강조색1 6" xfId="2802"/>
    <cellStyle name="60% - 강조색1 7" xfId="2803"/>
    <cellStyle name="60% - 강조색1 8" xfId="2804"/>
    <cellStyle name="60% - 강조색1 9" xfId="2805"/>
    <cellStyle name="60% - 강조색2 10" xfId="2806"/>
    <cellStyle name="60% - 강조색2 11" xfId="2807"/>
    <cellStyle name="60% - 강조색2 12" xfId="2808"/>
    <cellStyle name="60% - 강조색2 13" xfId="2809"/>
    <cellStyle name="60% - 강조색2 14" xfId="2810"/>
    <cellStyle name="60% - 강조색2 15" xfId="2811"/>
    <cellStyle name="60% - 강조색2 16" xfId="2812"/>
    <cellStyle name="60% - 강조색2 17" xfId="2813"/>
    <cellStyle name="60% - 강조색2 18" xfId="2814"/>
    <cellStyle name="60% - 강조색2 19" xfId="2815"/>
    <cellStyle name="60% - 강조색2 2" xfId="136"/>
    <cellStyle name="60% - 강조색2 2 10" xfId="2816"/>
    <cellStyle name="60% - 강조색2 2 100" xfId="2817"/>
    <cellStyle name="60% - 강조색2 2 101" xfId="2818"/>
    <cellStyle name="60% - 강조색2 2 102" xfId="2819"/>
    <cellStyle name="60% - 강조색2 2 103" xfId="2820"/>
    <cellStyle name="60% - 강조색2 2 104" xfId="2821"/>
    <cellStyle name="60% - 강조색2 2 105" xfId="2822"/>
    <cellStyle name="60% - 강조색2 2 106" xfId="2823"/>
    <cellStyle name="60% - 강조색2 2 107" xfId="2824"/>
    <cellStyle name="60% - 강조색2 2 108" xfId="2825"/>
    <cellStyle name="60% - 강조색2 2 109" xfId="2826"/>
    <cellStyle name="60% - 강조색2 2 11" xfId="2827"/>
    <cellStyle name="60% - 강조색2 2 110" xfId="2828"/>
    <cellStyle name="60% - 강조색2 2 111" xfId="2829"/>
    <cellStyle name="60% - 강조색2 2 112" xfId="2830"/>
    <cellStyle name="60% - 강조색2 2 12" xfId="2831"/>
    <cellStyle name="60% - 강조색2 2 13" xfId="2832"/>
    <cellStyle name="60% - 강조색2 2 14" xfId="2833"/>
    <cellStyle name="60% - 강조색2 2 15" xfId="2834"/>
    <cellStyle name="60% - 강조색2 2 16" xfId="2835"/>
    <cellStyle name="60% - 강조색2 2 17" xfId="2836"/>
    <cellStyle name="60% - 강조색2 2 18" xfId="2837"/>
    <cellStyle name="60% - 강조색2 2 19" xfId="2838"/>
    <cellStyle name="60% - 강조색2 2 2" xfId="2839"/>
    <cellStyle name="60% - 강조색2 2 2 2" xfId="2840"/>
    <cellStyle name="60% - 강조색2 2 2 3" xfId="2841"/>
    <cellStyle name="60% - 강조색2 2 2 4" xfId="2842"/>
    <cellStyle name="60% - 강조색2 2 2 5" xfId="2843"/>
    <cellStyle name="60% - 강조색2 2 20" xfId="2844"/>
    <cellStyle name="60% - 강조색2 2 21" xfId="2845"/>
    <cellStyle name="60% - 강조색2 2 22" xfId="2846"/>
    <cellStyle name="60% - 강조색2 2 23" xfId="2847"/>
    <cellStyle name="60% - 강조색2 2 24" xfId="2848"/>
    <cellStyle name="60% - 강조색2 2 25" xfId="2849"/>
    <cellStyle name="60% - 강조색2 2 26" xfId="2850"/>
    <cellStyle name="60% - 강조색2 2 27" xfId="2851"/>
    <cellStyle name="60% - 강조색2 2 28" xfId="2852"/>
    <cellStyle name="60% - 강조색2 2 29" xfId="2853"/>
    <cellStyle name="60% - 강조색2 2 3" xfId="2854"/>
    <cellStyle name="60% - 강조색2 2 30" xfId="2855"/>
    <cellStyle name="60% - 강조색2 2 31" xfId="2856"/>
    <cellStyle name="60% - 강조색2 2 32" xfId="2857"/>
    <cellStyle name="60% - 강조색2 2 33" xfId="2858"/>
    <cellStyle name="60% - 강조색2 2 34" xfId="2859"/>
    <cellStyle name="60% - 강조색2 2 35" xfId="2860"/>
    <cellStyle name="60% - 강조색2 2 36" xfId="2861"/>
    <cellStyle name="60% - 강조색2 2 37" xfId="2862"/>
    <cellStyle name="60% - 강조색2 2 38" xfId="2863"/>
    <cellStyle name="60% - 강조색2 2 39" xfId="2864"/>
    <cellStyle name="60% - 강조색2 2 4" xfId="2865"/>
    <cellStyle name="60% - 강조색2 2 40" xfId="2866"/>
    <cellStyle name="60% - 강조색2 2 41" xfId="2867"/>
    <cellStyle name="60% - 강조색2 2 42" xfId="2868"/>
    <cellStyle name="60% - 강조색2 2 43" xfId="2869"/>
    <cellStyle name="60% - 강조색2 2 44" xfId="2870"/>
    <cellStyle name="60% - 강조색2 2 45" xfId="2871"/>
    <cellStyle name="60% - 강조색2 2 46" xfId="2872"/>
    <cellStyle name="60% - 강조색2 2 47" xfId="2873"/>
    <cellStyle name="60% - 강조색2 2 48" xfId="2874"/>
    <cellStyle name="60% - 강조색2 2 49" xfId="2875"/>
    <cellStyle name="60% - 강조색2 2 5" xfId="2876"/>
    <cellStyle name="60% - 강조색2 2 50" xfId="2877"/>
    <cellStyle name="60% - 강조색2 2 51" xfId="2878"/>
    <cellStyle name="60% - 강조색2 2 52" xfId="2879"/>
    <cellStyle name="60% - 강조색2 2 53" xfId="2880"/>
    <cellStyle name="60% - 강조색2 2 54" xfId="2881"/>
    <cellStyle name="60% - 강조색2 2 55" xfId="2882"/>
    <cellStyle name="60% - 강조색2 2 56" xfId="2883"/>
    <cellStyle name="60% - 강조색2 2 57" xfId="2884"/>
    <cellStyle name="60% - 강조색2 2 58" xfId="2885"/>
    <cellStyle name="60% - 강조색2 2 59" xfId="2886"/>
    <cellStyle name="60% - 강조색2 2 6" xfId="2887"/>
    <cellStyle name="60% - 강조색2 2 60" xfId="2888"/>
    <cellStyle name="60% - 강조색2 2 61" xfId="2889"/>
    <cellStyle name="60% - 강조색2 2 62" xfId="2890"/>
    <cellStyle name="60% - 강조색2 2 63" xfId="2891"/>
    <cellStyle name="60% - 강조색2 2 64" xfId="2892"/>
    <cellStyle name="60% - 강조색2 2 65" xfId="2893"/>
    <cellStyle name="60% - 강조색2 2 66" xfId="2894"/>
    <cellStyle name="60% - 강조색2 2 67" xfId="2895"/>
    <cellStyle name="60% - 강조색2 2 68" xfId="2896"/>
    <cellStyle name="60% - 강조색2 2 69" xfId="2897"/>
    <cellStyle name="60% - 강조색2 2 7" xfId="2898"/>
    <cellStyle name="60% - 강조색2 2 70" xfId="2899"/>
    <cellStyle name="60% - 강조색2 2 71" xfId="2900"/>
    <cellStyle name="60% - 강조색2 2 72" xfId="2901"/>
    <cellStyle name="60% - 강조색2 2 73" xfId="2902"/>
    <cellStyle name="60% - 강조색2 2 74" xfId="2903"/>
    <cellStyle name="60% - 강조색2 2 75" xfId="2904"/>
    <cellStyle name="60% - 강조색2 2 76" xfId="2905"/>
    <cellStyle name="60% - 강조색2 2 77" xfId="2906"/>
    <cellStyle name="60% - 강조색2 2 78" xfId="2907"/>
    <cellStyle name="60% - 강조색2 2 79" xfId="2908"/>
    <cellStyle name="60% - 강조색2 2 8" xfId="2909"/>
    <cellStyle name="60% - 강조색2 2 80" xfId="2910"/>
    <cellStyle name="60% - 강조색2 2 81" xfId="2911"/>
    <cellStyle name="60% - 강조색2 2 82" xfId="2912"/>
    <cellStyle name="60% - 강조색2 2 83" xfId="2913"/>
    <cellStyle name="60% - 강조색2 2 84" xfId="2914"/>
    <cellStyle name="60% - 강조색2 2 85" xfId="2915"/>
    <cellStyle name="60% - 강조색2 2 86" xfId="2916"/>
    <cellStyle name="60% - 강조색2 2 87" xfId="2917"/>
    <cellStyle name="60% - 강조색2 2 88" xfId="2918"/>
    <cellStyle name="60% - 강조색2 2 89" xfId="2919"/>
    <cellStyle name="60% - 강조색2 2 9" xfId="2920"/>
    <cellStyle name="60% - 강조색2 2 90" xfId="2921"/>
    <cellStyle name="60% - 강조색2 2 91" xfId="2922"/>
    <cellStyle name="60% - 강조색2 2 92" xfId="2923"/>
    <cellStyle name="60% - 강조색2 2 93" xfId="2924"/>
    <cellStyle name="60% - 강조색2 2 94" xfId="2925"/>
    <cellStyle name="60% - 강조색2 2 95" xfId="2926"/>
    <cellStyle name="60% - 강조색2 2 96" xfId="2927"/>
    <cellStyle name="60% - 강조색2 2 97" xfId="2928"/>
    <cellStyle name="60% - 강조색2 2 98" xfId="2929"/>
    <cellStyle name="60% - 강조색2 2 99" xfId="2930"/>
    <cellStyle name="60% - 강조색2 20" xfId="2931"/>
    <cellStyle name="60% - 강조색2 21" xfId="2932"/>
    <cellStyle name="60% - 강조색2 22" xfId="2933"/>
    <cellStyle name="60% - 강조색2 23" xfId="2934"/>
    <cellStyle name="60% - 강조색2 24" xfId="2935"/>
    <cellStyle name="60% - 강조색2 25" xfId="2936"/>
    <cellStyle name="60% - 강조색2 26" xfId="2937"/>
    <cellStyle name="60% - 강조색2 27" xfId="2938"/>
    <cellStyle name="60% - 강조색2 28" xfId="2939"/>
    <cellStyle name="60% - 강조색2 29" xfId="2940"/>
    <cellStyle name="60% - 강조색2 3" xfId="137"/>
    <cellStyle name="60% - 강조색2 30" xfId="2941"/>
    <cellStyle name="60% - 강조색2 31" xfId="2942"/>
    <cellStyle name="60% - 강조색2 32" xfId="2943"/>
    <cellStyle name="60% - 강조색2 33" xfId="2944"/>
    <cellStyle name="60% - 강조색2 34" xfId="2945"/>
    <cellStyle name="60% - 강조색2 35" xfId="2946"/>
    <cellStyle name="60% - 강조색2 36" xfId="2947"/>
    <cellStyle name="60% - 강조색2 37" xfId="2948"/>
    <cellStyle name="60% - 강조색2 38" xfId="2949"/>
    <cellStyle name="60% - 강조색2 39" xfId="2950"/>
    <cellStyle name="60% - 강조색2 4" xfId="11731" hidden="1"/>
    <cellStyle name="60% - 강조색2 4" xfId="11777" hidden="1"/>
    <cellStyle name="60% - 강조색2 4" xfId="11823" hidden="1"/>
    <cellStyle name="60% - 강조색2 4" xfId="11869" hidden="1"/>
    <cellStyle name="60% - 강조색2 4" xfId="11915" hidden="1"/>
    <cellStyle name="60% - 강조색2 4" xfId="11961" hidden="1"/>
    <cellStyle name="60% - 강조색2 4" xfId="12007" hidden="1"/>
    <cellStyle name="60% - 강조색2 4" xfId="12053" hidden="1"/>
    <cellStyle name="60% - 강조색2 4" xfId="12099" hidden="1"/>
    <cellStyle name="60% - 강조색2 4" xfId="12145" hidden="1"/>
    <cellStyle name="60% - 강조색2 4" xfId="12191" hidden="1"/>
    <cellStyle name="60% - 강조색2 4" xfId="12237" hidden="1"/>
    <cellStyle name="60% - 강조색2 4" xfId="12327" hidden="1"/>
    <cellStyle name="60% - 강조색2 4" xfId="12368" hidden="1"/>
    <cellStyle name="60% - 강조색2 4" xfId="12410" hidden="1"/>
    <cellStyle name="60% - 강조색2 4" xfId="12452" hidden="1"/>
    <cellStyle name="60% - 강조색2 4" xfId="12494" hidden="1"/>
    <cellStyle name="60% - 강조색2 4" xfId="12536" hidden="1"/>
    <cellStyle name="60% - 강조색2 4" xfId="12578" hidden="1"/>
    <cellStyle name="60% - 강조색2 4" xfId="12620" hidden="1"/>
    <cellStyle name="60% - 강조색2 4" xfId="12662" hidden="1"/>
    <cellStyle name="60% - 강조색2 4" xfId="12704" hidden="1"/>
    <cellStyle name="60% - 강조색2 4" xfId="12746" hidden="1"/>
    <cellStyle name="60% - 강조색2 4" xfId="12788" hidden="1"/>
    <cellStyle name="60% - 강조색2 4" xfId="12282" hidden="1"/>
    <cellStyle name="60% - 강조색2 4" xfId="12970" hidden="1"/>
    <cellStyle name="60% - 강조색2 4" xfId="13010" hidden="1"/>
    <cellStyle name="60% - 강조색2 4" xfId="13050" hidden="1"/>
    <cellStyle name="60% - 강조색2 4" xfId="13090" hidden="1"/>
    <cellStyle name="60% - 강조색2 4" xfId="13130" hidden="1"/>
    <cellStyle name="60% - 강조색2 4" xfId="13170" hidden="1"/>
    <cellStyle name="60% - 강조색2 4" xfId="13210" hidden="1"/>
    <cellStyle name="60% - 강조색2 4" xfId="13250" hidden="1"/>
    <cellStyle name="60% - 강조색2 4" xfId="13290" hidden="1"/>
    <cellStyle name="60% - 강조색2 4" xfId="13330" hidden="1"/>
    <cellStyle name="60% - 강조색2 4" xfId="13370" hidden="1"/>
    <cellStyle name="60% - 강조색2 4" xfId="13410" hidden="1"/>
    <cellStyle name="60% - 강조색2 4" xfId="12864" hidden="1"/>
    <cellStyle name="60% - 강조색2 4" xfId="12825" hidden="1"/>
    <cellStyle name="60% - 강조색2 4" xfId="13452" hidden="1"/>
    <cellStyle name="60% - 강조색2 4" xfId="13494" hidden="1"/>
    <cellStyle name="60% - 강조색2 4" xfId="13536" hidden="1"/>
    <cellStyle name="60% - 강조색2 4" xfId="13578" hidden="1"/>
    <cellStyle name="60% - 강조색2 4" xfId="13620" hidden="1"/>
    <cellStyle name="60% - 강조색2 4" xfId="13662" hidden="1"/>
    <cellStyle name="60% - 강조색2 4" xfId="13704" hidden="1"/>
    <cellStyle name="60% - 강조색2 4" xfId="13746" hidden="1"/>
    <cellStyle name="60% - 강조색2 4" xfId="13788" hidden="1"/>
    <cellStyle name="60% - 강조색2 4" xfId="13830" hidden="1"/>
    <cellStyle name="60% - 강조색2 4" xfId="12918" hidden="1"/>
    <cellStyle name="60% - 강조색2 4" xfId="13858" hidden="1"/>
    <cellStyle name="60% - 강조색2 4" xfId="13898" hidden="1"/>
    <cellStyle name="60% - 강조색2 4" xfId="13938" hidden="1"/>
    <cellStyle name="60% - 강조색2 4" xfId="13978" hidden="1"/>
    <cellStyle name="60% - 강조색2 4" xfId="14018" hidden="1"/>
    <cellStyle name="60% - 강조색2 4" xfId="14058" hidden="1"/>
    <cellStyle name="60% - 강조색2 4" xfId="14098" hidden="1"/>
    <cellStyle name="60% - 강조색2 4" xfId="14138" hidden="1"/>
    <cellStyle name="60% - 강조색2 4" xfId="14178" hidden="1"/>
    <cellStyle name="60% - 강조색2 4" xfId="14218" hidden="1"/>
    <cellStyle name="60% - 강조색2 4" xfId="14258" hidden="1"/>
    <cellStyle name="60% - 강조색2 4" xfId="14298" hidden="1"/>
    <cellStyle name="60% - 강조색2 4" xfId="14404" hidden="1"/>
    <cellStyle name="60% - 강조색2 4" xfId="14444" hidden="1"/>
    <cellStyle name="60% - 강조색2 4" xfId="14484" hidden="1"/>
    <cellStyle name="60% - 강조색2 4" xfId="14524" hidden="1"/>
    <cellStyle name="60% - 강조색2 4" xfId="14564" hidden="1"/>
    <cellStyle name="60% - 강조색2 4" xfId="14604" hidden="1"/>
    <cellStyle name="60% - 강조색2 4" xfId="14644" hidden="1"/>
    <cellStyle name="60% - 강조색2 4" xfId="14684" hidden="1"/>
    <cellStyle name="60% - 강조색2 4" xfId="14724" hidden="1"/>
    <cellStyle name="60% - 강조색2 4" xfId="14764" hidden="1"/>
    <cellStyle name="60% - 강조색2 4" xfId="14804" hidden="1"/>
    <cellStyle name="60% - 강조색2 4" xfId="14844" hidden="1"/>
    <cellStyle name="60% - 강조색2 4" xfId="14928" hidden="1"/>
    <cellStyle name="60% - 강조색2 4" xfId="14969" hidden="1"/>
    <cellStyle name="60% - 강조색2 4" xfId="15011" hidden="1"/>
    <cellStyle name="60% - 강조색2 4" xfId="15053" hidden="1"/>
    <cellStyle name="60% - 강조색2 4" xfId="15095" hidden="1"/>
    <cellStyle name="60% - 강조색2 4" xfId="15137" hidden="1"/>
    <cellStyle name="60% - 강조색2 4" xfId="15179" hidden="1"/>
    <cellStyle name="60% - 강조색2 4" xfId="15221" hidden="1"/>
    <cellStyle name="60% - 강조색2 4" xfId="15263" hidden="1"/>
    <cellStyle name="60% - 강조색2 4" xfId="15305" hidden="1"/>
    <cellStyle name="60% - 강조색2 4" xfId="15347" hidden="1"/>
    <cellStyle name="60% - 강조색2 4" xfId="15389" hidden="1"/>
    <cellStyle name="60% - 강조색2 4" xfId="14885" hidden="1"/>
    <cellStyle name="60% - 강조색2 4" xfId="15568" hidden="1"/>
    <cellStyle name="60% - 강조색2 4" xfId="15608" hidden="1"/>
    <cellStyle name="60% - 강조색2 4" xfId="15648" hidden="1"/>
    <cellStyle name="60% - 강조색2 4" xfId="15688" hidden="1"/>
    <cellStyle name="60% - 강조색2 4" xfId="15728" hidden="1"/>
    <cellStyle name="60% - 강조색2 4" xfId="15768" hidden="1"/>
    <cellStyle name="60% - 강조색2 4" xfId="15808" hidden="1"/>
    <cellStyle name="60% - 강조색2 4" xfId="15848" hidden="1"/>
    <cellStyle name="60% - 강조색2 4" xfId="15888" hidden="1"/>
    <cellStyle name="60% - 강조색2 4" xfId="15928" hidden="1"/>
    <cellStyle name="60% - 강조색2 4" xfId="15968" hidden="1"/>
    <cellStyle name="60% - 강조색2 4" xfId="16008" hidden="1"/>
    <cellStyle name="60% - 강조색2 4" xfId="15464" hidden="1"/>
    <cellStyle name="60% - 강조색2 4" xfId="15425" hidden="1"/>
    <cellStyle name="60% - 강조색2 4" xfId="16050" hidden="1"/>
    <cellStyle name="60% - 강조색2 4" xfId="16092" hidden="1"/>
    <cellStyle name="60% - 강조색2 4" xfId="16134" hidden="1"/>
    <cellStyle name="60% - 강조색2 4" xfId="16176" hidden="1"/>
    <cellStyle name="60% - 강조색2 4" xfId="16218" hidden="1"/>
    <cellStyle name="60% - 강조색2 4" xfId="16260" hidden="1"/>
    <cellStyle name="60% - 강조색2 4" xfId="16302" hidden="1"/>
    <cellStyle name="60% - 강조색2 4" xfId="16344" hidden="1"/>
    <cellStyle name="60% - 강조색2 4" xfId="16386" hidden="1"/>
    <cellStyle name="60% - 강조색2 4" xfId="16428" hidden="1"/>
    <cellStyle name="60% - 강조색2 4" xfId="15517" hidden="1"/>
    <cellStyle name="60% - 강조색2 4" xfId="16456" hidden="1"/>
    <cellStyle name="60% - 강조색2 4" xfId="16496" hidden="1"/>
    <cellStyle name="60% - 강조색2 4" xfId="16536" hidden="1"/>
    <cellStyle name="60% - 강조색2 4" xfId="16576" hidden="1"/>
    <cellStyle name="60% - 강조색2 4" xfId="16616" hidden="1"/>
    <cellStyle name="60% - 강조색2 4" xfId="16656" hidden="1"/>
    <cellStyle name="60% - 강조색2 4" xfId="16696" hidden="1"/>
    <cellStyle name="60% - 강조색2 4" xfId="16736" hidden="1"/>
    <cellStyle name="60% - 강조색2 4" xfId="16776" hidden="1"/>
    <cellStyle name="60% - 강조색2 4" xfId="16816" hidden="1"/>
    <cellStyle name="60% - 강조색2 4" xfId="16856" hidden="1"/>
    <cellStyle name="60% - 강조색2 4" xfId="16896" hidden="1"/>
    <cellStyle name="60% - 강조색2 4" xfId="14321" hidden="1"/>
    <cellStyle name="60% - 강조색2 4" xfId="16947" hidden="1"/>
    <cellStyle name="60% - 강조색2 4" xfId="16988" hidden="1"/>
    <cellStyle name="60% - 강조색2 4" xfId="17028" hidden="1"/>
    <cellStyle name="60% - 강조색2 4" xfId="17068" hidden="1"/>
    <cellStyle name="60% - 강조색2 4" xfId="17108" hidden="1"/>
    <cellStyle name="60% - 강조색2 4" xfId="17148" hidden="1"/>
    <cellStyle name="60% - 강조색2 4" xfId="17188" hidden="1"/>
    <cellStyle name="60% - 강조색2 4" xfId="17228" hidden="1"/>
    <cellStyle name="60% - 강조색2 4" xfId="17268" hidden="1"/>
    <cellStyle name="60% - 강조색2 4" xfId="17308" hidden="1"/>
    <cellStyle name="60% - 강조색2 4" xfId="17348" hidden="1"/>
    <cellStyle name="60% - 강조색2 4" xfId="17432" hidden="1"/>
    <cellStyle name="60% - 강조색2 4" xfId="17473" hidden="1"/>
    <cellStyle name="60% - 강조색2 4" xfId="17515" hidden="1"/>
    <cellStyle name="60% - 강조색2 4" xfId="17557" hidden="1"/>
    <cellStyle name="60% - 강조색2 4" xfId="17599" hidden="1"/>
    <cellStyle name="60% - 강조색2 4" xfId="17641" hidden="1"/>
    <cellStyle name="60% - 강조색2 4" xfId="17683" hidden="1"/>
    <cellStyle name="60% - 강조색2 4" xfId="17725" hidden="1"/>
    <cellStyle name="60% - 강조색2 4" xfId="17767" hidden="1"/>
    <cellStyle name="60% - 강조색2 4" xfId="17809" hidden="1"/>
    <cellStyle name="60% - 강조색2 4" xfId="17851" hidden="1"/>
    <cellStyle name="60% - 강조색2 4" xfId="17893" hidden="1"/>
    <cellStyle name="60% - 강조색2 4" xfId="17389" hidden="1"/>
    <cellStyle name="60% - 강조색2 4" xfId="18072" hidden="1"/>
    <cellStyle name="60% - 강조색2 4" xfId="18112" hidden="1"/>
    <cellStyle name="60% - 강조색2 4" xfId="18152" hidden="1"/>
    <cellStyle name="60% - 강조색2 4" xfId="18192" hidden="1"/>
    <cellStyle name="60% - 강조색2 4" xfId="18232" hidden="1"/>
    <cellStyle name="60% - 강조색2 4" xfId="18272" hidden="1"/>
    <cellStyle name="60% - 강조색2 4" xfId="18312" hidden="1"/>
    <cellStyle name="60% - 강조색2 4" xfId="18352" hidden="1"/>
    <cellStyle name="60% - 강조색2 4" xfId="18392" hidden="1"/>
    <cellStyle name="60% - 강조색2 4" xfId="18432" hidden="1"/>
    <cellStyle name="60% - 강조색2 4" xfId="18472" hidden="1"/>
    <cellStyle name="60% - 강조색2 4" xfId="18512" hidden="1"/>
    <cellStyle name="60% - 강조색2 4" xfId="17968" hidden="1"/>
    <cellStyle name="60% - 강조색2 4" xfId="17929" hidden="1"/>
    <cellStyle name="60% - 강조색2 4" xfId="18554" hidden="1"/>
    <cellStyle name="60% - 강조색2 4" xfId="18596" hidden="1"/>
    <cellStyle name="60% - 강조색2 4" xfId="18638" hidden="1"/>
    <cellStyle name="60% - 강조색2 4" xfId="18680" hidden="1"/>
    <cellStyle name="60% - 강조색2 4" xfId="18722" hidden="1"/>
    <cellStyle name="60% - 강조색2 4" xfId="18764" hidden="1"/>
    <cellStyle name="60% - 강조색2 4" xfId="18806" hidden="1"/>
    <cellStyle name="60% - 강조색2 4" xfId="18848" hidden="1"/>
    <cellStyle name="60% - 강조색2 4" xfId="18890" hidden="1"/>
    <cellStyle name="60% - 강조색2 4" xfId="18932" hidden="1"/>
    <cellStyle name="60% - 강조색2 4" xfId="18021" hidden="1"/>
    <cellStyle name="60% - 강조색2 4" xfId="18960" hidden="1"/>
    <cellStyle name="60% - 강조색2 4" xfId="19000" hidden="1"/>
    <cellStyle name="60% - 강조색2 4" xfId="19040" hidden="1"/>
    <cellStyle name="60% - 강조색2 4" xfId="19080" hidden="1"/>
    <cellStyle name="60% - 강조색2 4" xfId="19120" hidden="1"/>
    <cellStyle name="60% - 강조색2 4" xfId="19160" hidden="1"/>
    <cellStyle name="60% - 강조색2 4" xfId="19200" hidden="1"/>
    <cellStyle name="60% - 강조색2 4" xfId="19240" hidden="1"/>
    <cellStyle name="60% - 강조색2 4" xfId="19280" hidden="1"/>
    <cellStyle name="60% - 강조색2 4" xfId="19320" hidden="1"/>
    <cellStyle name="60% - 강조색2 4" xfId="19360" hidden="1"/>
    <cellStyle name="60% - 강조색2 4" xfId="19400" hidden="1"/>
    <cellStyle name="60% - 강조색2 4" xfId="14371" hidden="1"/>
    <cellStyle name="60% - 강조색2 4" xfId="19450" hidden="1"/>
    <cellStyle name="60% - 강조색2 4" xfId="19490" hidden="1"/>
    <cellStyle name="60% - 강조색2 4" xfId="19530" hidden="1"/>
    <cellStyle name="60% - 강조색2 4" xfId="19570" hidden="1"/>
    <cellStyle name="60% - 강조색2 4" xfId="19610" hidden="1"/>
    <cellStyle name="60% - 강조색2 4" xfId="19650" hidden="1"/>
    <cellStyle name="60% - 강조색2 4" xfId="19690" hidden="1"/>
    <cellStyle name="60% - 강조색2 4" xfId="19730" hidden="1"/>
    <cellStyle name="60% - 강조색2 4" xfId="19770" hidden="1"/>
    <cellStyle name="60% - 강조색2 4" xfId="19810" hidden="1"/>
    <cellStyle name="60% - 강조색2 4" xfId="19850" hidden="1"/>
    <cellStyle name="60% - 강조색2 4" xfId="19934" hidden="1"/>
    <cellStyle name="60% - 강조색2 4" xfId="19975" hidden="1"/>
    <cellStyle name="60% - 강조색2 4" xfId="20017" hidden="1"/>
    <cellStyle name="60% - 강조색2 4" xfId="20059" hidden="1"/>
    <cellStyle name="60% - 강조색2 4" xfId="20101" hidden="1"/>
    <cellStyle name="60% - 강조색2 4" xfId="20143" hidden="1"/>
    <cellStyle name="60% - 강조색2 4" xfId="20185" hidden="1"/>
    <cellStyle name="60% - 강조색2 4" xfId="20227" hidden="1"/>
    <cellStyle name="60% - 강조색2 4" xfId="20269" hidden="1"/>
    <cellStyle name="60% - 강조색2 4" xfId="20311" hidden="1"/>
    <cellStyle name="60% - 강조색2 4" xfId="20353" hidden="1"/>
    <cellStyle name="60% - 강조색2 4" xfId="20395" hidden="1"/>
    <cellStyle name="60% - 강조색2 4" xfId="19891" hidden="1"/>
    <cellStyle name="60% - 강조색2 4" xfId="20574" hidden="1"/>
    <cellStyle name="60% - 강조색2 4" xfId="20614" hidden="1"/>
    <cellStyle name="60% - 강조색2 4" xfId="20654" hidden="1"/>
    <cellStyle name="60% - 강조색2 4" xfId="20694" hidden="1"/>
    <cellStyle name="60% - 강조색2 4" xfId="20734" hidden="1"/>
    <cellStyle name="60% - 강조색2 4" xfId="20774" hidden="1"/>
    <cellStyle name="60% - 강조색2 4" xfId="20814" hidden="1"/>
    <cellStyle name="60% - 강조색2 4" xfId="20854" hidden="1"/>
    <cellStyle name="60% - 강조색2 4" xfId="20894" hidden="1"/>
    <cellStyle name="60% - 강조색2 4" xfId="20934" hidden="1"/>
    <cellStyle name="60% - 강조색2 4" xfId="20974" hidden="1"/>
    <cellStyle name="60% - 강조색2 4" xfId="21014" hidden="1"/>
    <cellStyle name="60% - 강조색2 4" xfId="20470" hidden="1"/>
    <cellStyle name="60% - 강조색2 4" xfId="20431" hidden="1"/>
    <cellStyle name="60% - 강조색2 4" xfId="21056" hidden="1"/>
    <cellStyle name="60% - 강조색2 4" xfId="21098" hidden="1"/>
    <cellStyle name="60% - 강조색2 4" xfId="21140" hidden="1"/>
    <cellStyle name="60% - 강조색2 4" xfId="21182" hidden="1"/>
    <cellStyle name="60% - 강조색2 4" xfId="21224" hidden="1"/>
    <cellStyle name="60% - 강조색2 4" xfId="21266" hidden="1"/>
    <cellStyle name="60% - 강조색2 4" xfId="21308" hidden="1"/>
    <cellStyle name="60% - 강조색2 4" xfId="21350" hidden="1"/>
    <cellStyle name="60% - 강조색2 4" xfId="21392" hidden="1"/>
    <cellStyle name="60% - 강조색2 4" xfId="21434" hidden="1"/>
    <cellStyle name="60% - 강조색2 4" xfId="20523" hidden="1"/>
    <cellStyle name="60% - 강조색2 4" xfId="21462" hidden="1"/>
    <cellStyle name="60% - 강조색2 4" xfId="21502" hidden="1"/>
    <cellStyle name="60% - 강조색2 4" xfId="21542" hidden="1"/>
    <cellStyle name="60% - 강조색2 4" xfId="21582" hidden="1"/>
    <cellStyle name="60% - 강조색2 4" xfId="21622" hidden="1"/>
    <cellStyle name="60% - 강조색2 4" xfId="21662" hidden="1"/>
    <cellStyle name="60% - 강조색2 4" xfId="21702" hidden="1"/>
    <cellStyle name="60% - 강조색2 4" xfId="21742" hidden="1"/>
    <cellStyle name="60% - 강조색2 4" xfId="21782" hidden="1"/>
    <cellStyle name="60% - 강조색2 4" xfId="21822" hidden="1"/>
    <cellStyle name="60% - 강조색2 4" xfId="21862" hidden="1"/>
    <cellStyle name="60% - 강조색2 4" xfId="21902" hidden="1"/>
    <cellStyle name="60% - 강조색2 4" xfId="21970" hidden="1"/>
    <cellStyle name="60% - 강조색2 4" xfId="22010" hidden="1"/>
    <cellStyle name="60% - 강조색2 4" xfId="22050" hidden="1"/>
    <cellStyle name="60% - 강조색2 4" xfId="22090" hidden="1"/>
    <cellStyle name="60% - 강조색2 4" xfId="22130" hidden="1"/>
    <cellStyle name="60% - 강조색2 4" xfId="22170" hidden="1"/>
    <cellStyle name="60% - 강조색2 4" xfId="22210" hidden="1"/>
    <cellStyle name="60% - 강조색2 4" xfId="22250" hidden="1"/>
    <cellStyle name="60% - 강조색2 4" xfId="22290" hidden="1"/>
    <cellStyle name="60% - 강조색2 4" xfId="22330" hidden="1"/>
    <cellStyle name="60% - 강조색2 4" xfId="22370" hidden="1"/>
    <cellStyle name="60% - 강조색2 4" xfId="22410" hidden="1"/>
    <cellStyle name="60% - 강조색2 4" xfId="22494" hidden="1"/>
    <cellStyle name="60% - 강조색2 4" xfId="22535" hidden="1"/>
    <cellStyle name="60% - 강조색2 4" xfId="22577" hidden="1"/>
    <cellStyle name="60% - 강조색2 4" xfId="22619" hidden="1"/>
    <cellStyle name="60% - 강조색2 4" xfId="22661" hidden="1"/>
    <cellStyle name="60% - 강조색2 4" xfId="22703" hidden="1"/>
    <cellStyle name="60% - 강조색2 4" xfId="22745" hidden="1"/>
    <cellStyle name="60% - 강조색2 4" xfId="22787" hidden="1"/>
    <cellStyle name="60% - 강조색2 4" xfId="22829" hidden="1"/>
    <cellStyle name="60% - 강조색2 4" xfId="22871" hidden="1"/>
    <cellStyle name="60% - 강조색2 4" xfId="22913" hidden="1"/>
    <cellStyle name="60% - 강조색2 4" xfId="22955" hidden="1"/>
    <cellStyle name="60% - 강조색2 4" xfId="22451" hidden="1"/>
    <cellStyle name="60% - 강조색2 4" xfId="23134" hidden="1"/>
    <cellStyle name="60% - 강조색2 4" xfId="23174" hidden="1"/>
    <cellStyle name="60% - 강조색2 4" xfId="23214" hidden="1"/>
    <cellStyle name="60% - 강조색2 4" xfId="23254" hidden="1"/>
    <cellStyle name="60% - 강조색2 4" xfId="23294" hidden="1"/>
    <cellStyle name="60% - 강조색2 4" xfId="23334" hidden="1"/>
    <cellStyle name="60% - 강조색2 4" xfId="23374" hidden="1"/>
    <cellStyle name="60% - 강조색2 4" xfId="23414" hidden="1"/>
    <cellStyle name="60% - 강조색2 4" xfId="23454" hidden="1"/>
    <cellStyle name="60% - 강조색2 4" xfId="23494" hidden="1"/>
    <cellStyle name="60% - 강조색2 4" xfId="23534" hidden="1"/>
    <cellStyle name="60% - 강조색2 4" xfId="23574" hidden="1"/>
    <cellStyle name="60% - 강조색2 4" xfId="23030" hidden="1"/>
    <cellStyle name="60% - 강조색2 4" xfId="22991" hidden="1"/>
    <cellStyle name="60% - 강조색2 4" xfId="23616" hidden="1"/>
    <cellStyle name="60% - 강조색2 4" xfId="23658" hidden="1"/>
    <cellStyle name="60% - 강조색2 4" xfId="23700" hidden="1"/>
    <cellStyle name="60% - 강조색2 4" xfId="23742" hidden="1"/>
    <cellStyle name="60% - 강조색2 4" xfId="23784" hidden="1"/>
    <cellStyle name="60% - 강조색2 4" xfId="23826" hidden="1"/>
    <cellStyle name="60% - 강조색2 4" xfId="23868" hidden="1"/>
    <cellStyle name="60% - 강조색2 4" xfId="23910" hidden="1"/>
    <cellStyle name="60% - 강조색2 4" xfId="23952" hidden="1"/>
    <cellStyle name="60% - 강조색2 4" xfId="23994" hidden="1"/>
    <cellStyle name="60% - 강조색2 4" xfId="23083" hidden="1"/>
    <cellStyle name="60% - 강조색2 4" xfId="24022" hidden="1"/>
    <cellStyle name="60% - 강조색2 4" xfId="24062" hidden="1"/>
    <cellStyle name="60% - 강조색2 4" xfId="24102" hidden="1"/>
    <cellStyle name="60% - 강조색2 4" xfId="24142" hidden="1"/>
    <cellStyle name="60% - 강조색2 4" xfId="24182" hidden="1"/>
    <cellStyle name="60% - 강조색2 4" xfId="24222" hidden="1"/>
    <cellStyle name="60% - 강조색2 4" xfId="24262" hidden="1"/>
    <cellStyle name="60% - 강조색2 4" xfId="24302" hidden="1"/>
    <cellStyle name="60% - 강조색2 4" xfId="24342" hidden="1"/>
    <cellStyle name="60% - 강조색2 4" xfId="24382" hidden="1"/>
    <cellStyle name="60% - 강조색2 4" xfId="24422" hidden="1"/>
    <cellStyle name="60% - 강조색2 4" xfId="24462" hidden="1"/>
    <cellStyle name="60% - 강조색2 4" xfId="24560" hidden="1"/>
    <cellStyle name="60% - 강조색2 4" xfId="24600" hidden="1"/>
    <cellStyle name="60% - 강조색2 4" xfId="24642" hidden="1"/>
    <cellStyle name="60% - 강조색2 4" xfId="24683" hidden="1"/>
    <cellStyle name="60% - 강조색2 4" xfId="24723" hidden="1"/>
    <cellStyle name="60% - 강조색2 4" xfId="24763" hidden="1"/>
    <cellStyle name="60% - 강조색2 4" xfId="24803" hidden="1"/>
    <cellStyle name="60% - 강조색2 4" xfId="24843" hidden="1"/>
    <cellStyle name="60% - 강조색2 4" xfId="24883" hidden="1"/>
    <cellStyle name="60% - 강조색2 4" xfId="24923" hidden="1"/>
    <cellStyle name="60% - 강조색2 4" xfId="24963" hidden="1"/>
    <cellStyle name="60% - 강조색2 4" xfId="25003" hidden="1"/>
    <cellStyle name="60% - 강조색2 4" xfId="25087" hidden="1"/>
    <cellStyle name="60% - 강조색2 4" xfId="25128" hidden="1"/>
    <cellStyle name="60% - 강조색2 4" xfId="25170" hidden="1"/>
    <cellStyle name="60% - 강조색2 4" xfId="25212" hidden="1"/>
    <cellStyle name="60% - 강조색2 4" xfId="25254" hidden="1"/>
    <cellStyle name="60% - 강조색2 4" xfId="25296" hidden="1"/>
    <cellStyle name="60% - 강조색2 4" xfId="25338" hidden="1"/>
    <cellStyle name="60% - 강조색2 4" xfId="25380" hidden="1"/>
    <cellStyle name="60% - 강조색2 4" xfId="25422" hidden="1"/>
    <cellStyle name="60% - 강조색2 4" xfId="25464" hidden="1"/>
    <cellStyle name="60% - 강조색2 4" xfId="25506" hidden="1"/>
    <cellStyle name="60% - 강조색2 4" xfId="25548" hidden="1"/>
    <cellStyle name="60% - 강조색2 4" xfId="25044" hidden="1"/>
    <cellStyle name="60% - 강조색2 4" xfId="25727" hidden="1"/>
    <cellStyle name="60% - 강조색2 4" xfId="25767" hidden="1"/>
    <cellStyle name="60% - 강조색2 4" xfId="25807" hidden="1"/>
    <cellStyle name="60% - 강조색2 4" xfId="25847" hidden="1"/>
    <cellStyle name="60% - 강조색2 4" xfId="25887" hidden="1"/>
    <cellStyle name="60% - 강조색2 4" xfId="25927" hidden="1"/>
    <cellStyle name="60% - 강조색2 4" xfId="25967" hidden="1"/>
    <cellStyle name="60% - 강조색2 4" xfId="26007" hidden="1"/>
    <cellStyle name="60% - 강조색2 4" xfId="26047" hidden="1"/>
    <cellStyle name="60% - 강조색2 4" xfId="26087" hidden="1"/>
    <cellStyle name="60% - 강조색2 4" xfId="26127" hidden="1"/>
    <cellStyle name="60% - 강조색2 4" xfId="26167" hidden="1"/>
    <cellStyle name="60% - 강조색2 4" xfId="25623" hidden="1"/>
    <cellStyle name="60% - 강조색2 4" xfId="25584" hidden="1"/>
    <cellStyle name="60% - 강조색2 4" xfId="26209" hidden="1"/>
    <cellStyle name="60% - 강조색2 4" xfId="26251" hidden="1"/>
    <cellStyle name="60% - 강조색2 4" xfId="26293" hidden="1"/>
    <cellStyle name="60% - 강조색2 4" xfId="26335" hidden="1"/>
    <cellStyle name="60% - 강조색2 4" xfId="26377" hidden="1"/>
    <cellStyle name="60% - 강조색2 4" xfId="26419" hidden="1"/>
    <cellStyle name="60% - 강조색2 4" xfId="26461" hidden="1"/>
    <cellStyle name="60% - 강조색2 4" xfId="26503" hidden="1"/>
    <cellStyle name="60% - 강조색2 4" xfId="26545" hidden="1"/>
    <cellStyle name="60% - 강조색2 4" xfId="26587" hidden="1"/>
    <cellStyle name="60% - 강조색2 4" xfId="25676" hidden="1"/>
    <cellStyle name="60% - 강조색2 4" xfId="26615" hidden="1"/>
    <cellStyle name="60% - 강조색2 4" xfId="26655" hidden="1"/>
    <cellStyle name="60% - 강조색2 4" xfId="26695" hidden="1"/>
    <cellStyle name="60% - 강조색2 4" xfId="26735" hidden="1"/>
    <cellStyle name="60% - 강조색2 4" xfId="26775" hidden="1"/>
    <cellStyle name="60% - 강조색2 4" xfId="26815" hidden="1"/>
    <cellStyle name="60% - 강조색2 4" xfId="26855" hidden="1"/>
    <cellStyle name="60% - 강조색2 4" xfId="26895" hidden="1"/>
    <cellStyle name="60% - 강조색2 4" xfId="26935" hidden="1"/>
    <cellStyle name="60% - 강조색2 4" xfId="26975" hidden="1"/>
    <cellStyle name="60% - 강조색2 4" xfId="27015" hidden="1"/>
    <cellStyle name="60% - 강조색2 4" xfId="27055" hidden="1"/>
    <cellStyle name="60% - 강조색2 4" xfId="24483" hidden="1"/>
    <cellStyle name="60% - 강조색2 4" xfId="27106" hidden="1"/>
    <cellStyle name="60% - 강조색2 4" xfId="27146" hidden="1"/>
    <cellStyle name="60% - 강조색2 4" xfId="27186" hidden="1"/>
    <cellStyle name="60% - 강조색2 4" xfId="27226" hidden="1"/>
    <cellStyle name="60% - 강조색2 4" xfId="27266" hidden="1"/>
    <cellStyle name="60% - 강조색2 4" xfId="27306" hidden="1"/>
    <cellStyle name="60% - 강조색2 4" xfId="27346" hidden="1"/>
    <cellStyle name="60% - 강조색2 4" xfId="27386" hidden="1"/>
    <cellStyle name="60% - 강조색2 4" xfId="27426" hidden="1"/>
    <cellStyle name="60% - 강조색2 4" xfId="27466" hidden="1"/>
    <cellStyle name="60% - 강조색2 4" xfId="27506" hidden="1"/>
    <cellStyle name="60% - 강조색2 4" xfId="27590" hidden="1"/>
    <cellStyle name="60% - 강조색2 4" xfId="27631" hidden="1"/>
    <cellStyle name="60% - 강조색2 4" xfId="27673" hidden="1"/>
    <cellStyle name="60% - 강조색2 4" xfId="27715" hidden="1"/>
    <cellStyle name="60% - 강조색2 4" xfId="27757" hidden="1"/>
    <cellStyle name="60% - 강조색2 4" xfId="27799" hidden="1"/>
    <cellStyle name="60% - 강조색2 4" xfId="27841" hidden="1"/>
    <cellStyle name="60% - 강조색2 4" xfId="27883" hidden="1"/>
    <cellStyle name="60% - 강조색2 4" xfId="27925" hidden="1"/>
    <cellStyle name="60% - 강조색2 4" xfId="27967" hidden="1"/>
    <cellStyle name="60% - 강조색2 4" xfId="28009" hidden="1"/>
    <cellStyle name="60% - 강조색2 4" xfId="28051" hidden="1"/>
    <cellStyle name="60% - 강조색2 4" xfId="27547" hidden="1"/>
    <cellStyle name="60% - 강조색2 4" xfId="28230" hidden="1"/>
    <cellStyle name="60% - 강조색2 4" xfId="28270" hidden="1"/>
    <cellStyle name="60% - 강조색2 4" xfId="28310" hidden="1"/>
    <cellStyle name="60% - 강조색2 4" xfId="28350" hidden="1"/>
    <cellStyle name="60% - 강조색2 4" xfId="28390" hidden="1"/>
    <cellStyle name="60% - 강조색2 4" xfId="28430" hidden="1"/>
    <cellStyle name="60% - 강조색2 4" xfId="28470" hidden="1"/>
    <cellStyle name="60% - 강조색2 4" xfId="28510" hidden="1"/>
    <cellStyle name="60% - 강조색2 4" xfId="28550" hidden="1"/>
    <cellStyle name="60% - 강조색2 4" xfId="28590" hidden="1"/>
    <cellStyle name="60% - 강조색2 4" xfId="28630" hidden="1"/>
    <cellStyle name="60% - 강조색2 4" xfId="28670" hidden="1"/>
    <cellStyle name="60% - 강조색2 4" xfId="28126" hidden="1"/>
    <cellStyle name="60% - 강조색2 4" xfId="28087" hidden="1"/>
    <cellStyle name="60% - 강조색2 4" xfId="28712" hidden="1"/>
    <cellStyle name="60% - 강조색2 4" xfId="28754" hidden="1"/>
    <cellStyle name="60% - 강조색2 4" xfId="28796" hidden="1"/>
    <cellStyle name="60% - 강조색2 4" xfId="28838" hidden="1"/>
    <cellStyle name="60% - 강조색2 4" xfId="28880" hidden="1"/>
    <cellStyle name="60% - 강조색2 4" xfId="28922" hidden="1"/>
    <cellStyle name="60% - 강조색2 4" xfId="28964" hidden="1"/>
    <cellStyle name="60% - 강조색2 4" xfId="29006" hidden="1"/>
    <cellStyle name="60% - 강조색2 4" xfId="29048" hidden="1"/>
    <cellStyle name="60% - 강조색2 4" xfId="29090" hidden="1"/>
    <cellStyle name="60% - 강조색2 4" xfId="28179" hidden="1"/>
    <cellStyle name="60% - 강조색2 4" xfId="29118" hidden="1"/>
    <cellStyle name="60% - 강조색2 4" xfId="29158" hidden="1"/>
    <cellStyle name="60% - 강조색2 4" xfId="29198" hidden="1"/>
    <cellStyle name="60% - 강조색2 4" xfId="29238" hidden="1"/>
    <cellStyle name="60% - 강조색2 4" xfId="29278" hidden="1"/>
    <cellStyle name="60% - 강조색2 4" xfId="29318" hidden="1"/>
    <cellStyle name="60% - 강조색2 4" xfId="29358" hidden="1"/>
    <cellStyle name="60% - 강조색2 4" xfId="29398" hidden="1"/>
    <cellStyle name="60% - 강조색2 4" xfId="29438" hidden="1"/>
    <cellStyle name="60% - 강조색2 4" xfId="29478" hidden="1"/>
    <cellStyle name="60% - 강조색2 4" xfId="29518" hidden="1"/>
    <cellStyle name="60% - 강조색2 4" xfId="29558" hidden="1"/>
    <cellStyle name="60% - 강조색2 4" xfId="24529" hidden="1"/>
    <cellStyle name="60% - 강조색2 4" xfId="29608" hidden="1"/>
    <cellStyle name="60% - 강조색2 4" xfId="29648" hidden="1"/>
    <cellStyle name="60% - 강조색2 4" xfId="29688" hidden="1"/>
    <cellStyle name="60% - 강조색2 4" xfId="29728" hidden="1"/>
    <cellStyle name="60% - 강조색2 4" xfId="29768" hidden="1"/>
    <cellStyle name="60% - 강조색2 4" xfId="29808" hidden="1"/>
    <cellStyle name="60% - 강조색2 4" xfId="29848" hidden="1"/>
    <cellStyle name="60% - 강조색2 4" xfId="29888" hidden="1"/>
    <cellStyle name="60% - 강조색2 4" xfId="29928" hidden="1"/>
    <cellStyle name="60% - 강조색2 4" xfId="29968" hidden="1"/>
    <cellStyle name="60% - 강조색2 4" xfId="30008" hidden="1"/>
    <cellStyle name="60% - 강조색2 4" xfId="30092" hidden="1"/>
    <cellStyle name="60% - 강조색2 4" xfId="30133" hidden="1"/>
    <cellStyle name="60% - 강조색2 4" xfId="30175" hidden="1"/>
    <cellStyle name="60% - 강조색2 4" xfId="30217" hidden="1"/>
    <cellStyle name="60% - 강조색2 4" xfId="30259" hidden="1"/>
    <cellStyle name="60% - 강조색2 4" xfId="30301" hidden="1"/>
    <cellStyle name="60% - 강조색2 4" xfId="30343" hidden="1"/>
    <cellStyle name="60% - 강조색2 4" xfId="30385" hidden="1"/>
    <cellStyle name="60% - 강조색2 4" xfId="30427" hidden="1"/>
    <cellStyle name="60% - 강조색2 4" xfId="30469" hidden="1"/>
    <cellStyle name="60% - 강조색2 4" xfId="30511" hidden="1"/>
    <cellStyle name="60% - 강조색2 4" xfId="30553" hidden="1"/>
    <cellStyle name="60% - 강조색2 4" xfId="30049" hidden="1"/>
    <cellStyle name="60% - 강조색2 4" xfId="30732" hidden="1"/>
    <cellStyle name="60% - 강조색2 4" xfId="30772" hidden="1"/>
    <cellStyle name="60% - 강조색2 4" xfId="30812" hidden="1"/>
    <cellStyle name="60% - 강조색2 4" xfId="30852" hidden="1"/>
    <cellStyle name="60% - 강조색2 4" xfId="30892" hidden="1"/>
    <cellStyle name="60% - 강조색2 4" xfId="30932" hidden="1"/>
    <cellStyle name="60% - 강조색2 4" xfId="30972" hidden="1"/>
    <cellStyle name="60% - 강조색2 4" xfId="31012" hidden="1"/>
    <cellStyle name="60% - 강조색2 4" xfId="31052" hidden="1"/>
    <cellStyle name="60% - 강조색2 4" xfId="31092" hidden="1"/>
    <cellStyle name="60% - 강조색2 4" xfId="31132" hidden="1"/>
    <cellStyle name="60% - 강조색2 4" xfId="31172" hidden="1"/>
    <cellStyle name="60% - 강조색2 4" xfId="30628" hidden="1"/>
    <cellStyle name="60% - 강조색2 4" xfId="30589" hidden="1"/>
    <cellStyle name="60% - 강조색2 4" xfId="31214" hidden="1"/>
    <cellStyle name="60% - 강조색2 4" xfId="31256" hidden="1"/>
    <cellStyle name="60% - 강조색2 4" xfId="31298" hidden="1"/>
    <cellStyle name="60% - 강조색2 4" xfId="31340" hidden="1"/>
    <cellStyle name="60% - 강조색2 4" xfId="31382" hidden="1"/>
    <cellStyle name="60% - 강조색2 4" xfId="31424" hidden="1"/>
    <cellStyle name="60% - 강조색2 4" xfId="31466" hidden="1"/>
    <cellStyle name="60% - 강조색2 4" xfId="31508" hidden="1"/>
    <cellStyle name="60% - 강조색2 4" xfId="31550" hidden="1"/>
    <cellStyle name="60% - 강조색2 4" xfId="31592" hidden="1"/>
    <cellStyle name="60% - 강조색2 4" xfId="30681" hidden="1"/>
    <cellStyle name="60% - 강조색2 4" xfId="31620" hidden="1"/>
    <cellStyle name="60% - 강조색2 4" xfId="31660" hidden="1"/>
    <cellStyle name="60% - 강조색2 4" xfId="31700" hidden="1"/>
    <cellStyle name="60% - 강조색2 4" xfId="31740" hidden="1"/>
    <cellStyle name="60% - 강조색2 4" xfId="31780" hidden="1"/>
    <cellStyle name="60% - 강조색2 4" xfId="31820" hidden="1"/>
    <cellStyle name="60% - 강조색2 4" xfId="31860" hidden="1"/>
    <cellStyle name="60% - 강조색2 4" xfId="31900" hidden="1"/>
    <cellStyle name="60% - 강조색2 4" xfId="31940" hidden="1"/>
    <cellStyle name="60% - 강조색2 4" xfId="31980" hidden="1"/>
    <cellStyle name="60% - 강조색2 4" xfId="32020" hidden="1"/>
    <cellStyle name="60% - 강조색2 4" xfId="32060" hidden="1"/>
    <cellStyle name="60% - 강조색2 4" xfId="32122" hidden="1"/>
    <cellStyle name="60% - 강조색2 4" xfId="32162" hidden="1"/>
    <cellStyle name="60% - 강조색2 4" xfId="32202" hidden="1"/>
    <cellStyle name="60% - 강조색2 4" xfId="32242" hidden="1"/>
    <cellStyle name="60% - 강조색2 4" xfId="32282" hidden="1"/>
    <cellStyle name="60% - 강조색2 4" xfId="32322" hidden="1"/>
    <cellStyle name="60% - 강조색2 4" xfId="32362" hidden="1"/>
    <cellStyle name="60% - 강조색2 4" xfId="32402" hidden="1"/>
    <cellStyle name="60% - 강조색2 4" xfId="32442" hidden="1"/>
    <cellStyle name="60% - 강조색2 4" xfId="32482" hidden="1"/>
    <cellStyle name="60% - 강조색2 4" xfId="32522" hidden="1"/>
    <cellStyle name="60% - 강조색2 4" xfId="32562" hidden="1"/>
    <cellStyle name="60% - 강조색2 4" xfId="32647" hidden="1"/>
    <cellStyle name="60% - 강조색2 4" xfId="32688" hidden="1"/>
    <cellStyle name="60% - 강조색2 4" xfId="32730" hidden="1"/>
    <cellStyle name="60% - 강조색2 4" xfId="32772" hidden="1"/>
    <cellStyle name="60% - 강조색2 4" xfId="32814" hidden="1"/>
    <cellStyle name="60% - 강조색2 4" xfId="32856" hidden="1"/>
    <cellStyle name="60% - 강조색2 4" xfId="32898" hidden="1"/>
    <cellStyle name="60% - 강조색2 4" xfId="32940" hidden="1"/>
    <cellStyle name="60% - 강조색2 4" xfId="32982" hidden="1"/>
    <cellStyle name="60% - 강조색2 4" xfId="33024" hidden="1"/>
    <cellStyle name="60% - 강조색2 4" xfId="33066" hidden="1"/>
    <cellStyle name="60% - 강조색2 4" xfId="33108" hidden="1"/>
    <cellStyle name="60% - 강조색2 4" xfId="32604" hidden="1"/>
    <cellStyle name="60% - 강조색2 4" xfId="33287" hidden="1"/>
    <cellStyle name="60% - 강조색2 4" xfId="33327" hidden="1"/>
    <cellStyle name="60% - 강조색2 4" xfId="33367" hidden="1"/>
    <cellStyle name="60% - 강조색2 4" xfId="33407" hidden="1"/>
    <cellStyle name="60% - 강조색2 4" xfId="33447" hidden="1"/>
    <cellStyle name="60% - 강조색2 4" xfId="33487" hidden="1"/>
    <cellStyle name="60% - 강조색2 4" xfId="33527" hidden="1"/>
    <cellStyle name="60% - 강조색2 4" xfId="33567" hidden="1"/>
    <cellStyle name="60% - 강조색2 4" xfId="33607" hidden="1"/>
    <cellStyle name="60% - 강조색2 4" xfId="33647" hidden="1"/>
    <cellStyle name="60% - 강조색2 4" xfId="33687" hidden="1"/>
    <cellStyle name="60% - 강조색2 4" xfId="33727" hidden="1"/>
    <cellStyle name="60% - 강조색2 4" xfId="33183" hidden="1"/>
    <cellStyle name="60% - 강조색2 4" xfId="33144" hidden="1"/>
    <cellStyle name="60% - 강조색2 4" xfId="33769" hidden="1"/>
    <cellStyle name="60% - 강조색2 4" xfId="33811" hidden="1"/>
    <cellStyle name="60% - 강조색2 4" xfId="33853" hidden="1"/>
    <cellStyle name="60% - 강조색2 4" xfId="33895" hidden="1"/>
    <cellStyle name="60% - 강조색2 4" xfId="33937" hidden="1"/>
    <cellStyle name="60% - 강조색2 4" xfId="33979" hidden="1"/>
    <cellStyle name="60% - 강조색2 4" xfId="34021" hidden="1"/>
    <cellStyle name="60% - 강조색2 4" xfId="34063" hidden="1"/>
    <cellStyle name="60% - 강조색2 4" xfId="34105" hidden="1"/>
    <cellStyle name="60% - 강조색2 4" xfId="34147" hidden="1"/>
    <cellStyle name="60% - 강조색2 4" xfId="33236" hidden="1"/>
    <cellStyle name="60% - 강조색2 4" xfId="34175" hidden="1"/>
    <cellStyle name="60% - 강조색2 4" xfId="34215" hidden="1"/>
    <cellStyle name="60% - 강조색2 4" xfId="34255" hidden="1"/>
    <cellStyle name="60% - 강조색2 4" xfId="34295" hidden="1"/>
    <cellStyle name="60% - 강조색2 4" xfId="34335" hidden="1"/>
    <cellStyle name="60% - 강조색2 4" xfId="34375" hidden="1"/>
    <cellStyle name="60% - 강조색2 4" xfId="34415" hidden="1"/>
    <cellStyle name="60% - 강조색2 4" xfId="34455" hidden="1"/>
    <cellStyle name="60% - 강조색2 4" xfId="34495" hidden="1"/>
    <cellStyle name="60% - 강조색2 4" xfId="34535" hidden="1"/>
    <cellStyle name="60% - 강조색2 4" xfId="34575" hidden="1"/>
    <cellStyle name="60% - 강조색2 4" xfId="34615" hidden="1"/>
    <cellStyle name="60% - 강조색2 4" xfId="34712" hidden="1"/>
    <cellStyle name="60% - 강조색2 4" xfId="34752" hidden="1"/>
    <cellStyle name="60% - 강조색2 4" xfId="34792" hidden="1"/>
    <cellStyle name="60% - 강조색2 4" xfId="34832" hidden="1"/>
    <cellStyle name="60% - 강조색2 4" xfId="34872" hidden="1"/>
    <cellStyle name="60% - 강조색2 4" xfId="34912" hidden="1"/>
    <cellStyle name="60% - 강조색2 4" xfId="34952" hidden="1"/>
    <cellStyle name="60% - 강조색2 4" xfId="34992" hidden="1"/>
    <cellStyle name="60% - 강조색2 4" xfId="35032" hidden="1"/>
    <cellStyle name="60% - 강조색2 4" xfId="35072" hidden="1"/>
    <cellStyle name="60% - 강조색2 4" xfId="35112" hidden="1"/>
    <cellStyle name="60% - 강조색2 4" xfId="35152" hidden="1"/>
    <cellStyle name="60% - 강조색2 4" xfId="35236" hidden="1"/>
    <cellStyle name="60% - 강조색2 4" xfId="35277" hidden="1"/>
    <cellStyle name="60% - 강조색2 4" xfId="35319" hidden="1"/>
    <cellStyle name="60% - 강조색2 4" xfId="35361" hidden="1"/>
    <cellStyle name="60% - 강조색2 4" xfId="35403" hidden="1"/>
    <cellStyle name="60% - 강조색2 4" xfId="35445" hidden="1"/>
    <cellStyle name="60% - 강조색2 4" xfId="35487" hidden="1"/>
    <cellStyle name="60% - 강조색2 4" xfId="35529" hidden="1"/>
    <cellStyle name="60% - 강조색2 4" xfId="35571" hidden="1"/>
    <cellStyle name="60% - 강조색2 4" xfId="35613" hidden="1"/>
    <cellStyle name="60% - 강조색2 4" xfId="35655" hidden="1"/>
    <cellStyle name="60% - 강조색2 4" xfId="35697" hidden="1"/>
    <cellStyle name="60% - 강조색2 4" xfId="35193" hidden="1"/>
    <cellStyle name="60% - 강조색2 4" xfId="35876" hidden="1"/>
    <cellStyle name="60% - 강조색2 4" xfId="35916" hidden="1"/>
    <cellStyle name="60% - 강조색2 4" xfId="35956" hidden="1"/>
    <cellStyle name="60% - 강조색2 4" xfId="35996" hidden="1"/>
    <cellStyle name="60% - 강조색2 4" xfId="36036" hidden="1"/>
    <cellStyle name="60% - 강조색2 4" xfId="36076" hidden="1"/>
    <cellStyle name="60% - 강조색2 4" xfId="36116" hidden="1"/>
    <cellStyle name="60% - 강조색2 4" xfId="36156" hidden="1"/>
    <cellStyle name="60% - 강조색2 4" xfId="36196" hidden="1"/>
    <cellStyle name="60% - 강조색2 4" xfId="36236" hidden="1"/>
    <cellStyle name="60% - 강조색2 4" xfId="36276" hidden="1"/>
    <cellStyle name="60% - 강조색2 4" xfId="36316" hidden="1"/>
    <cellStyle name="60% - 강조색2 4" xfId="35772" hidden="1"/>
    <cellStyle name="60% - 강조색2 4" xfId="35733" hidden="1"/>
    <cellStyle name="60% - 강조색2 4" xfId="36358" hidden="1"/>
    <cellStyle name="60% - 강조색2 4" xfId="36400" hidden="1"/>
    <cellStyle name="60% - 강조색2 4" xfId="36442" hidden="1"/>
    <cellStyle name="60% - 강조색2 4" xfId="36484" hidden="1"/>
    <cellStyle name="60% - 강조색2 4" xfId="36526" hidden="1"/>
    <cellStyle name="60% - 강조색2 4" xfId="36568" hidden="1"/>
    <cellStyle name="60% - 강조색2 4" xfId="36610" hidden="1"/>
    <cellStyle name="60% - 강조색2 4" xfId="36652" hidden="1"/>
    <cellStyle name="60% - 강조색2 4" xfId="36694" hidden="1"/>
    <cellStyle name="60% - 강조색2 4" xfId="36736" hidden="1"/>
    <cellStyle name="60% - 강조색2 4" xfId="35825" hidden="1"/>
    <cellStyle name="60% - 강조색2 4" xfId="36764" hidden="1"/>
    <cellStyle name="60% - 강조색2 4" xfId="36804" hidden="1"/>
    <cellStyle name="60% - 강조색2 4" xfId="36844" hidden="1"/>
    <cellStyle name="60% - 강조색2 4" xfId="36884" hidden="1"/>
    <cellStyle name="60% - 강조색2 4" xfId="36924" hidden="1"/>
    <cellStyle name="60% - 강조색2 4" xfId="36964" hidden="1"/>
    <cellStyle name="60% - 강조색2 4" xfId="37004" hidden="1"/>
    <cellStyle name="60% - 강조색2 4" xfId="37044" hidden="1"/>
    <cellStyle name="60% - 강조색2 4" xfId="37084" hidden="1"/>
    <cellStyle name="60% - 강조색2 4" xfId="37124" hidden="1"/>
    <cellStyle name="60% - 강조색2 4" xfId="37164" hidden="1"/>
    <cellStyle name="60% - 강조색2 4" xfId="37204" hidden="1"/>
    <cellStyle name="60% - 강조색2 4" xfId="34635" hidden="1"/>
    <cellStyle name="60% - 강조색2 4" xfId="37255" hidden="1"/>
    <cellStyle name="60% - 강조색2 4" xfId="37296" hidden="1"/>
    <cellStyle name="60% - 강조색2 4" xfId="37336" hidden="1"/>
    <cellStyle name="60% - 강조색2 4" xfId="37376" hidden="1"/>
    <cellStyle name="60% - 강조색2 4" xfId="37416" hidden="1"/>
    <cellStyle name="60% - 강조색2 4" xfId="37456" hidden="1"/>
    <cellStyle name="60% - 강조색2 4" xfId="37496" hidden="1"/>
    <cellStyle name="60% - 강조색2 4" xfId="37536" hidden="1"/>
    <cellStyle name="60% - 강조색2 4" xfId="37576" hidden="1"/>
    <cellStyle name="60% - 강조색2 4" xfId="37616" hidden="1"/>
    <cellStyle name="60% - 강조색2 4" xfId="37656" hidden="1"/>
    <cellStyle name="60% - 강조색2 4" xfId="37740" hidden="1"/>
    <cellStyle name="60% - 강조색2 4" xfId="37781" hidden="1"/>
    <cellStyle name="60% - 강조색2 4" xfId="37823" hidden="1"/>
    <cellStyle name="60% - 강조색2 4" xfId="37865" hidden="1"/>
    <cellStyle name="60% - 강조색2 4" xfId="37907" hidden="1"/>
    <cellStyle name="60% - 강조색2 4" xfId="37949" hidden="1"/>
    <cellStyle name="60% - 강조색2 4" xfId="37991" hidden="1"/>
    <cellStyle name="60% - 강조색2 4" xfId="38033" hidden="1"/>
    <cellStyle name="60% - 강조색2 4" xfId="38075" hidden="1"/>
    <cellStyle name="60% - 강조색2 4" xfId="38117" hidden="1"/>
    <cellStyle name="60% - 강조색2 4" xfId="38159" hidden="1"/>
    <cellStyle name="60% - 강조색2 4" xfId="38201" hidden="1"/>
    <cellStyle name="60% - 강조색2 4" xfId="37697" hidden="1"/>
    <cellStyle name="60% - 강조색2 4" xfId="38380" hidden="1"/>
    <cellStyle name="60% - 강조색2 4" xfId="38420" hidden="1"/>
    <cellStyle name="60% - 강조색2 4" xfId="38460" hidden="1"/>
    <cellStyle name="60% - 강조색2 4" xfId="38500" hidden="1"/>
    <cellStyle name="60% - 강조색2 4" xfId="38540" hidden="1"/>
    <cellStyle name="60% - 강조색2 4" xfId="38580" hidden="1"/>
    <cellStyle name="60% - 강조색2 4" xfId="38620" hidden="1"/>
    <cellStyle name="60% - 강조색2 4" xfId="38660" hidden="1"/>
    <cellStyle name="60% - 강조색2 4" xfId="38700" hidden="1"/>
    <cellStyle name="60% - 강조색2 4" xfId="38740" hidden="1"/>
    <cellStyle name="60% - 강조색2 4" xfId="38780" hidden="1"/>
    <cellStyle name="60% - 강조색2 4" xfId="38820" hidden="1"/>
    <cellStyle name="60% - 강조색2 4" xfId="38276" hidden="1"/>
    <cellStyle name="60% - 강조색2 4" xfId="38237" hidden="1"/>
    <cellStyle name="60% - 강조색2 4" xfId="38862" hidden="1"/>
    <cellStyle name="60% - 강조색2 4" xfId="38904" hidden="1"/>
    <cellStyle name="60% - 강조색2 4" xfId="38946" hidden="1"/>
    <cellStyle name="60% - 강조색2 4" xfId="38988" hidden="1"/>
    <cellStyle name="60% - 강조색2 4" xfId="39030" hidden="1"/>
    <cellStyle name="60% - 강조색2 4" xfId="39072" hidden="1"/>
    <cellStyle name="60% - 강조색2 4" xfId="39114" hidden="1"/>
    <cellStyle name="60% - 강조색2 4" xfId="39156" hidden="1"/>
    <cellStyle name="60% - 강조색2 4" xfId="39198" hidden="1"/>
    <cellStyle name="60% - 강조색2 4" xfId="39240" hidden="1"/>
    <cellStyle name="60% - 강조색2 4" xfId="38329" hidden="1"/>
    <cellStyle name="60% - 강조색2 4" xfId="39268" hidden="1"/>
    <cellStyle name="60% - 강조색2 4" xfId="39308" hidden="1"/>
    <cellStyle name="60% - 강조색2 4" xfId="39348" hidden="1"/>
    <cellStyle name="60% - 강조색2 4" xfId="39388" hidden="1"/>
    <cellStyle name="60% - 강조색2 4" xfId="39428" hidden="1"/>
    <cellStyle name="60% - 강조색2 4" xfId="39468" hidden="1"/>
    <cellStyle name="60% - 강조색2 4" xfId="39508" hidden="1"/>
    <cellStyle name="60% - 강조색2 4" xfId="39548" hidden="1"/>
    <cellStyle name="60% - 강조색2 4" xfId="39588" hidden="1"/>
    <cellStyle name="60% - 강조색2 4" xfId="39628" hidden="1"/>
    <cellStyle name="60% - 강조색2 4" xfId="39668" hidden="1"/>
    <cellStyle name="60% - 강조색2 4" xfId="39708" hidden="1"/>
    <cellStyle name="60% - 강조색2 4" xfId="34681" hidden="1"/>
    <cellStyle name="60% - 강조색2 4" xfId="39758" hidden="1"/>
    <cellStyle name="60% - 강조색2 4" xfId="39798" hidden="1"/>
    <cellStyle name="60% - 강조색2 4" xfId="39838" hidden="1"/>
    <cellStyle name="60% - 강조색2 4" xfId="39878" hidden="1"/>
    <cellStyle name="60% - 강조색2 4" xfId="39918" hidden="1"/>
    <cellStyle name="60% - 강조색2 4" xfId="39958" hidden="1"/>
    <cellStyle name="60% - 강조색2 4" xfId="39998" hidden="1"/>
    <cellStyle name="60% - 강조색2 4" xfId="40038" hidden="1"/>
    <cellStyle name="60% - 강조색2 4" xfId="40078" hidden="1"/>
    <cellStyle name="60% - 강조색2 4" xfId="40118" hidden="1"/>
    <cellStyle name="60% - 강조색2 4" xfId="40158" hidden="1"/>
    <cellStyle name="60% - 강조색2 4" xfId="40242" hidden="1"/>
    <cellStyle name="60% - 강조색2 4" xfId="40283" hidden="1"/>
    <cellStyle name="60% - 강조색2 4" xfId="40325" hidden="1"/>
    <cellStyle name="60% - 강조색2 4" xfId="40367" hidden="1"/>
    <cellStyle name="60% - 강조색2 4" xfId="40409" hidden="1"/>
    <cellStyle name="60% - 강조색2 4" xfId="40451" hidden="1"/>
    <cellStyle name="60% - 강조색2 4" xfId="40493" hidden="1"/>
    <cellStyle name="60% - 강조색2 4" xfId="40535" hidden="1"/>
    <cellStyle name="60% - 강조색2 4" xfId="40577" hidden="1"/>
    <cellStyle name="60% - 강조색2 4" xfId="40619" hidden="1"/>
    <cellStyle name="60% - 강조색2 4" xfId="40661" hidden="1"/>
    <cellStyle name="60% - 강조색2 4" xfId="40703" hidden="1"/>
    <cellStyle name="60% - 강조색2 4" xfId="40199" hidden="1"/>
    <cellStyle name="60% - 강조색2 4" xfId="40882" hidden="1"/>
    <cellStyle name="60% - 강조색2 4" xfId="40922" hidden="1"/>
    <cellStyle name="60% - 강조색2 4" xfId="40962" hidden="1"/>
    <cellStyle name="60% - 강조색2 4" xfId="41002" hidden="1"/>
    <cellStyle name="60% - 강조색2 4" xfId="41042" hidden="1"/>
    <cellStyle name="60% - 강조색2 4" xfId="41082" hidden="1"/>
    <cellStyle name="60% - 강조색2 4" xfId="41122" hidden="1"/>
    <cellStyle name="60% - 강조색2 4" xfId="41162" hidden="1"/>
    <cellStyle name="60% - 강조색2 4" xfId="41202" hidden="1"/>
    <cellStyle name="60% - 강조색2 4" xfId="41242" hidden="1"/>
    <cellStyle name="60% - 강조색2 4" xfId="41282" hidden="1"/>
    <cellStyle name="60% - 강조색2 4" xfId="41322" hidden="1"/>
    <cellStyle name="60% - 강조색2 4" xfId="40778" hidden="1"/>
    <cellStyle name="60% - 강조색2 4" xfId="40739" hidden="1"/>
    <cellStyle name="60% - 강조색2 4" xfId="41364" hidden="1"/>
    <cellStyle name="60% - 강조색2 4" xfId="41406" hidden="1"/>
    <cellStyle name="60% - 강조색2 4" xfId="41448" hidden="1"/>
    <cellStyle name="60% - 강조색2 4" xfId="41490" hidden="1"/>
    <cellStyle name="60% - 강조색2 4" xfId="41532" hidden="1"/>
    <cellStyle name="60% - 강조색2 4" xfId="41574" hidden="1"/>
    <cellStyle name="60% - 강조색2 4" xfId="41616" hidden="1"/>
    <cellStyle name="60% - 강조색2 4" xfId="41658" hidden="1"/>
    <cellStyle name="60% - 강조색2 4" xfId="41700" hidden="1"/>
    <cellStyle name="60% - 강조색2 4" xfId="41742" hidden="1"/>
    <cellStyle name="60% - 강조색2 4" xfId="40831" hidden="1"/>
    <cellStyle name="60% - 강조색2 4" xfId="41770" hidden="1"/>
    <cellStyle name="60% - 강조색2 4" xfId="41810" hidden="1"/>
    <cellStyle name="60% - 강조색2 4" xfId="41850" hidden="1"/>
    <cellStyle name="60% - 강조색2 4" xfId="41890" hidden="1"/>
    <cellStyle name="60% - 강조색2 4" xfId="41930" hidden="1"/>
    <cellStyle name="60% - 강조색2 4" xfId="41970" hidden="1"/>
    <cellStyle name="60% - 강조색2 4" xfId="42010" hidden="1"/>
    <cellStyle name="60% - 강조색2 4" xfId="42050" hidden="1"/>
    <cellStyle name="60% - 강조색2 4" xfId="42090" hidden="1"/>
    <cellStyle name="60% - 강조색2 4" xfId="42130" hidden="1"/>
    <cellStyle name="60% - 강조색2 4" xfId="42170" hidden="1"/>
    <cellStyle name="60% - 강조색2 4" xfId="42210" hidden="1"/>
    <cellStyle name="60% - 강조색2 4" xfId="42253" hidden="1"/>
    <cellStyle name="60% - 강조색2 4" xfId="42293" hidden="1"/>
    <cellStyle name="60% - 강조색2 4" xfId="42333" hidden="1"/>
    <cellStyle name="60% - 강조색2 4" xfId="42373" hidden="1"/>
    <cellStyle name="60% - 강조색2 4" xfId="42413" hidden="1"/>
    <cellStyle name="60% - 강조색2 4" xfId="42453" hidden="1"/>
    <cellStyle name="60% - 강조색2 4" xfId="42493" hidden="1"/>
    <cellStyle name="60% - 강조색2 4" xfId="42533" hidden="1"/>
    <cellStyle name="60% - 강조색2 4" xfId="42573" hidden="1"/>
    <cellStyle name="60% - 강조색2 4" xfId="42613" hidden="1"/>
    <cellStyle name="60% - 강조색2 4" xfId="42653" hidden="1"/>
    <cellStyle name="60% - 강조색2 4" xfId="42693" hidden="1"/>
    <cellStyle name="60% - 강조색2 4" xfId="42777" hidden="1"/>
    <cellStyle name="60% - 강조색2 4" xfId="42818" hidden="1"/>
    <cellStyle name="60% - 강조색2 4" xfId="42860" hidden="1"/>
    <cellStyle name="60% - 강조색2 4" xfId="42902" hidden="1"/>
    <cellStyle name="60% - 강조색2 4" xfId="42944" hidden="1"/>
    <cellStyle name="60% - 강조색2 4" xfId="42986" hidden="1"/>
    <cellStyle name="60% - 강조색2 4" xfId="43028" hidden="1"/>
    <cellStyle name="60% - 강조색2 4" xfId="43070" hidden="1"/>
    <cellStyle name="60% - 강조색2 4" xfId="43112" hidden="1"/>
    <cellStyle name="60% - 강조색2 4" xfId="43154" hidden="1"/>
    <cellStyle name="60% - 강조색2 4" xfId="43196" hidden="1"/>
    <cellStyle name="60% - 강조색2 4" xfId="43238" hidden="1"/>
    <cellStyle name="60% - 강조색2 4" xfId="42734" hidden="1"/>
    <cellStyle name="60% - 강조색2 4" xfId="43417" hidden="1"/>
    <cellStyle name="60% - 강조색2 4" xfId="43457" hidden="1"/>
    <cellStyle name="60% - 강조색2 4" xfId="43497" hidden="1"/>
    <cellStyle name="60% - 강조색2 4" xfId="43537" hidden="1"/>
    <cellStyle name="60% - 강조색2 4" xfId="43577" hidden="1"/>
    <cellStyle name="60% - 강조색2 4" xfId="43617" hidden="1"/>
    <cellStyle name="60% - 강조색2 4" xfId="43657" hidden="1"/>
    <cellStyle name="60% - 강조색2 4" xfId="43697" hidden="1"/>
    <cellStyle name="60% - 강조색2 4" xfId="43737" hidden="1"/>
    <cellStyle name="60% - 강조색2 4" xfId="43777" hidden="1"/>
    <cellStyle name="60% - 강조색2 4" xfId="43817" hidden="1"/>
    <cellStyle name="60% - 강조색2 4" xfId="43857" hidden="1"/>
    <cellStyle name="60% - 강조색2 4" xfId="43313" hidden="1"/>
    <cellStyle name="60% - 강조색2 4" xfId="43274" hidden="1"/>
    <cellStyle name="60% - 강조색2 4" xfId="43899" hidden="1"/>
    <cellStyle name="60% - 강조색2 4" xfId="43941" hidden="1"/>
    <cellStyle name="60% - 강조색2 4" xfId="43983" hidden="1"/>
    <cellStyle name="60% - 강조색2 4" xfId="44025" hidden="1"/>
    <cellStyle name="60% - 강조색2 4" xfId="44067" hidden="1"/>
    <cellStyle name="60% - 강조색2 4" xfId="44109" hidden="1"/>
    <cellStyle name="60% - 강조색2 4" xfId="44151" hidden="1"/>
    <cellStyle name="60% - 강조색2 4" xfId="44193" hidden="1"/>
    <cellStyle name="60% - 강조색2 4" xfId="44235" hidden="1"/>
    <cellStyle name="60% - 강조색2 4" xfId="44277" hidden="1"/>
    <cellStyle name="60% - 강조색2 4" xfId="43366" hidden="1"/>
    <cellStyle name="60% - 강조색2 4" xfId="44305" hidden="1"/>
    <cellStyle name="60% - 강조색2 4" xfId="44345" hidden="1"/>
    <cellStyle name="60% - 강조색2 4" xfId="44385" hidden="1"/>
    <cellStyle name="60% - 강조색2 4" xfId="44425" hidden="1"/>
    <cellStyle name="60% - 강조색2 4" xfId="44465" hidden="1"/>
    <cellStyle name="60% - 강조색2 4" xfId="44505" hidden="1"/>
    <cellStyle name="60% - 강조색2 4" xfId="44545" hidden="1"/>
    <cellStyle name="60% - 강조색2 4" xfId="44585" hidden="1"/>
    <cellStyle name="60% - 강조색2 4" xfId="44625" hidden="1"/>
    <cellStyle name="60% - 강조색2 4" xfId="44665" hidden="1"/>
    <cellStyle name="60% - 강조색2 4" xfId="44705" hidden="1"/>
    <cellStyle name="60% - 강조색2 4" xfId="44745" hidden="1"/>
    <cellStyle name="60% - 강조색2 4" xfId="44841" hidden="1"/>
    <cellStyle name="60% - 강조색2 4" xfId="44881" hidden="1"/>
    <cellStyle name="60% - 강조색2 4" xfId="44923" hidden="1"/>
    <cellStyle name="60% - 강조색2 4" xfId="44964" hidden="1"/>
    <cellStyle name="60% - 강조색2 4" xfId="45004" hidden="1"/>
    <cellStyle name="60% - 강조색2 4" xfId="45044" hidden="1"/>
    <cellStyle name="60% - 강조색2 4" xfId="45084" hidden="1"/>
    <cellStyle name="60% - 강조색2 4" xfId="45124" hidden="1"/>
    <cellStyle name="60% - 강조색2 4" xfId="45164" hidden="1"/>
    <cellStyle name="60% - 강조색2 4" xfId="45204" hidden="1"/>
    <cellStyle name="60% - 강조색2 4" xfId="45244" hidden="1"/>
    <cellStyle name="60% - 강조색2 4" xfId="45284" hidden="1"/>
    <cellStyle name="60% - 강조색2 4" xfId="45368" hidden="1"/>
    <cellStyle name="60% - 강조색2 4" xfId="45409" hidden="1"/>
    <cellStyle name="60% - 강조색2 4" xfId="45451" hidden="1"/>
    <cellStyle name="60% - 강조색2 4" xfId="45493" hidden="1"/>
    <cellStyle name="60% - 강조색2 4" xfId="45535" hidden="1"/>
    <cellStyle name="60% - 강조색2 4" xfId="45577" hidden="1"/>
    <cellStyle name="60% - 강조색2 4" xfId="45619" hidden="1"/>
    <cellStyle name="60% - 강조색2 4" xfId="45661" hidden="1"/>
    <cellStyle name="60% - 강조색2 4" xfId="45703" hidden="1"/>
    <cellStyle name="60% - 강조색2 4" xfId="45745" hidden="1"/>
    <cellStyle name="60% - 강조색2 4" xfId="45787" hidden="1"/>
    <cellStyle name="60% - 강조색2 4" xfId="45829" hidden="1"/>
    <cellStyle name="60% - 강조색2 4" xfId="45325" hidden="1"/>
    <cellStyle name="60% - 강조색2 4" xfId="46008" hidden="1"/>
    <cellStyle name="60% - 강조색2 4" xfId="46048" hidden="1"/>
    <cellStyle name="60% - 강조색2 4" xfId="46088" hidden="1"/>
    <cellStyle name="60% - 강조색2 4" xfId="46128" hidden="1"/>
    <cellStyle name="60% - 강조색2 4" xfId="46168" hidden="1"/>
    <cellStyle name="60% - 강조색2 4" xfId="46208" hidden="1"/>
    <cellStyle name="60% - 강조색2 4" xfId="46248" hidden="1"/>
    <cellStyle name="60% - 강조색2 4" xfId="46288" hidden="1"/>
    <cellStyle name="60% - 강조색2 4" xfId="46328" hidden="1"/>
    <cellStyle name="60% - 강조색2 4" xfId="46368" hidden="1"/>
    <cellStyle name="60% - 강조색2 4" xfId="46408" hidden="1"/>
    <cellStyle name="60% - 강조색2 4" xfId="46448" hidden="1"/>
    <cellStyle name="60% - 강조색2 4" xfId="45904" hidden="1"/>
    <cellStyle name="60% - 강조색2 4" xfId="45865" hidden="1"/>
    <cellStyle name="60% - 강조색2 4" xfId="46490" hidden="1"/>
    <cellStyle name="60% - 강조색2 4" xfId="46532" hidden="1"/>
    <cellStyle name="60% - 강조색2 4" xfId="46574" hidden="1"/>
    <cellStyle name="60% - 강조색2 4" xfId="46616" hidden="1"/>
    <cellStyle name="60% - 강조색2 4" xfId="46658" hidden="1"/>
    <cellStyle name="60% - 강조색2 4" xfId="46700" hidden="1"/>
    <cellStyle name="60% - 강조색2 4" xfId="46742" hidden="1"/>
    <cellStyle name="60% - 강조색2 4" xfId="46784" hidden="1"/>
    <cellStyle name="60% - 강조색2 4" xfId="46826" hidden="1"/>
    <cellStyle name="60% - 강조색2 4" xfId="46868" hidden="1"/>
    <cellStyle name="60% - 강조색2 4" xfId="45957" hidden="1"/>
    <cellStyle name="60% - 강조색2 4" xfId="46896" hidden="1"/>
    <cellStyle name="60% - 강조색2 4" xfId="46936" hidden="1"/>
    <cellStyle name="60% - 강조색2 4" xfId="46976" hidden="1"/>
    <cellStyle name="60% - 강조색2 4" xfId="47016" hidden="1"/>
    <cellStyle name="60% - 강조색2 4" xfId="47056" hidden="1"/>
    <cellStyle name="60% - 강조색2 4" xfId="47096" hidden="1"/>
    <cellStyle name="60% - 강조색2 4" xfId="47136" hidden="1"/>
    <cellStyle name="60% - 강조색2 4" xfId="47176" hidden="1"/>
    <cellStyle name="60% - 강조색2 4" xfId="47216" hidden="1"/>
    <cellStyle name="60% - 강조색2 4" xfId="47256" hidden="1"/>
    <cellStyle name="60% - 강조색2 4" xfId="47296" hidden="1"/>
    <cellStyle name="60% - 강조색2 4" xfId="47336" hidden="1"/>
    <cellStyle name="60% - 강조색2 4" xfId="44765" hidden="1"/>
    <cellStyle name="60% - 강조색2 4" xfId="47387" hidden="1"/>
    <cellStyle name="60% - 강조색2 4" xfId="47427" hidden="1"/>
    <cellStyle name="60% - 강조색2 4" xfId="47467" hidden="1"/>
    <cellStyle name="60% - 강조색2 4" xfId="47507" hidden="1"/>
    <cellStyle name="60% - 강조색2 4" xfId="47547" hidden="1"/>
    <cellStyle name="60% - 강조색2 4" xfId="47587" hidden="1"/>
    <cellStyle name="60% - 강조색2 4" xfId="47627" hidden="1"/>
    <cellStyle name="60% - 강조색2 4" xfId="47667" hidden="1"/>
    <cellStyle name="60% - 강조색2 4" xfId="47707" hidden="1"/>
    <cellStyle name="60% - 강조색2 4" xfId="47747" hidden="1"/>
    <cellStyle name="60% - 강조색2 4" xfId="47787" hidden="1"/>
    <cellStyle name="60% - 강조색2 4" xfId="47871" hidden="1"/>
    <cellStyle name="60% - 강조색2 4" xfId="47912" hidden="1"/>
    <cellStyle name="60% - 강조색2 4" xfId="47954" hidden="1"/>
    <cellStyle name="60% - 강조색2 4" xfId="47996" hidden="1"/>
    <cellStyle name="60% - 강조색2 4" xfId="48038" hidden="1"/>
    <cellStyle name="60% - 강조색2 4" xfId="48080" hidden="1"/>
    <cellStyle name="60% - 강조색2 4" xfId="48122" hidden="1"/>
    <cellStyle name="60% - 강조색2 4" xfId="48164" hidden="1"/>
    <cellStyle name="60% - 강조색2 4" xfId="48206" hidden="1"/>
    <cellStyle name="60% - 강조색2 4" xfId="48248" hidden="1"/>
    <cellStyle name="60% - 강조색2 4" xfId="48290" hidden="1"/>
    <cellStyle name="60% - 강조색2 4" xfId="48332" hidden="1"/>
    <cellStyle name="60% - 강조색2 4" xfId="47828" hidden="1"/>
    <cellStyle name="60% - 강조색2 4" xfId="48511" hidden="1"/>
    <cellStyle name="60% - 강조색2 4" xfId="48551" hidden="1"/>
    <cellStyle name="60% - 강조색2 4" xfId="48591" hidden="1"/>
    <cellStyle name="60% - 강조색2 4" xfId="48631" hidden="1"/>
    <cellStyle name="60% - 강조색2 4" xfId="48671" hidden="1"/>
    <cellStyle name="60% - 강조색2 4" xfId="48711" hidden="1"/>
    <cellStyle name="60% - 강조색2 4" xfId="48751" hidden="1"/>
    <cellStyle name="60% - 강조색2 4" xfId="48791" hidden="1"/>
    <cellStyle name="60% - 강조색2 4" xfId="48831" hidden="1"/>
    <cellStyle name="60% - 강조색2 4" xfId="48871" hidden="1"/>
    <cellStyle name="60% - 강조색2 4" xfId="48911" hidden="1"/>
    <cellStyle name="60% - 강조색2 4" xfId="48951" hidden="1"/>
    <cellStyle name="60% - 강조색2 4" xfId="48407" hidden="1"/>
    <cellStyle name="60% - 강조색2 4" xfId="48368" hidden="1"/>
    <cellStyle name="60% - 강조색2 4" xfId="48993" hidden="1"/>
    <cellStyle name="60% - 강조색2 4" xfId="49035" hidden="1"/>
    <cellStyle name="60% - 강조색2 4" xfId="49077" hidden="1"/>
    <cellStyle name="60% - 강조색2 4" xfId="49119" hidden="1"/>
    <cellStyle name="60% - 강조색2 4" xfId="49161" hidden="1"/>
    <cellStyle name="60% - 강조색2 4" xfId="49203" hidden="1"/>
    <cellStyle name="60% - 강조색2 4" xfId="49245" hidden="1"/>
    <cellStyle name="60% - 강조색2 4" xfId="49287" hidden="1"/>
    <cellStyle name="60% - 강조색2 4" xfId="49329" hidden="1"/>
    <cellStyle name="60% - 강조색2 4" xfId="49371" hidden="1"/>
    <cellStyle name="60% - 강조색2 4" xfId="48460" hidden="1"/>
    <cellStyle name="60% - 강조색2 4" xfId="49399" hidden="1"/>
    <cellStyle name="60% - 강조색2 4" xfId="49439" hidden="1"/>
    <cellStyle name="60% - 강조색2 4" xfId="49479" hidden="1"/>
    <cellStyle name="60% - 강조색2 4" xfId="49519" hidden="1"/>
    <cellStyle name="60% - 강조색2 4" xfId="49559" hidden="1"/>
    <cellStyle name="60% - 강조색2 4" xfId="49599" hidden="1"/>
    <cellStyle name="60% - 강조색2 4" xfId="49639" hidden="1"/>
    <cellStyle name="60% - 강조색2 4" xfId="49679" hidden="1"/>
    <cellStyle name="60% - 강조색2 4" xfId="49719" hidden="1"/>
    <cellStyle name="60% - 강조색2 4" xfId="49759" hidden="1"/>
    <cellStyle name="60% - 강조색2 4" xfId="49799" hidden="1"/>
    <cellStyle name="60% - 강조색2 4" xfId="49839" hidden="1"/>
    <cellStyle name="60% - 강조색2 4" xfId="44810" hidden="1"/>
    <cellStyle name="60% - 강조색2 4" xfId="49889" hidden="1"/>
    <cellStyle name="60% - 강조색2 4" xfId="49929" hidden="1"/>
    <cellStyle name="60% - 강조색2 4" xfId="49969" hidden="1"/>
    <cellStyle name="60% - 강조색2 4" xfId="50009" hidden="1"/>
    <cellStyle name="60% - 강조색2 4" xfId="50049" hidden="1"/>
    <cellStyle name="60% - 강조색2 4" xfId="50089" hidden="1"/>
    <cellStyle name="60% - 강조색2 4" xfId="50129" hidden="1"/>
    <cellStyle name="60% - 강조색2 4" xfId="50169" hidden="1"/>
    <cellStyle name="60% - 강조색2 4" xfId="50209" hidden="1"/>
    <cellStyle name="60% - 강조색2 4" xfId="50249" hidden="1"/>
    <cellStyle name="60% - 강조색2 4" xfId="50289" hidden="1"/>
    <cellStyle name="60% - 강조색2 4" xfId="50373" hidden="1"/>
    <cellStyle name="60% - 강조색2 4" xfId="50414" hidden="1"/>
    <cellStyle name="60% - 강조색2 4" xfId="50456" hidden="1"/>
    <cellStyle name="60% - 강조색2 4" xfId="50498" hidden="1"/>
    <cellStyle name="60% - 강조색2 4" xfId="50540" hidden="1"/>
    <cellStyle name="60% - 강조색2 4" xfId="50582" hidden="1"/>
    <cellStyle name="60% - 강조색2 4" xfId="50624" hidden="1"/>
    <cellStyle name="60% - 강조색2 4" xfId="50666" hidden="1"/>
    <cellStyle name="60% - 강조색2 4" xfId="50708" hidden="1"/>
    <cellStyle name="60% - 강조색2 4" xfId="50750" hidden="1"/>
    <cellStyle name="60% - 강조색2 4" xfId="50792" hidden="1"/>
    <cellStyle name="60% - 강조색2 4" xfId="50834" hidden="1"/>
    <cellStyle name="60% - 강조색2 4" xfId="50330" hidden="1"/>
    <cellStyle name="60% - 강조색2 4" xfId="51013" hidden="1"/>
    <cellStyle name="60% - 강조색2 4" xfId="51053" hidden="1"/>
    <cellStyle name="60% - 강조색2 4" xfId="51093" hidden="1"/>
    <cellStyle name="60% - 강조색2 4" xfId="51133" hidden="1"/>
    <cellStyle name="60% - 강조색2 4" xfId="51173" hidden="1"/>
    <cellStyle name="60% - 강조색2 4" xfId="51213" hidden="1"/>
    <cellStyle name="60% - 강조색2 4" xfId="51253" hidden="1"/>
    <cellStyle name="60% - 강조색2 4" xfId="51293" hidden="1"/>
    <cellStyle name="60% - 강조색2 4" xfId="51333" hidden="1"/>
    <cellStyle name="60% - 강조색2 4" xfId="51373" hidden="1"/>
    <cellStyle name="60% - 강조색2 4" xfId="51413" hidden="1"/>
    <cellStyle name="60% - 강조색2 4" xfId="51453" hidden="1"/>
    <cellStyle name="60% - 강조색2 4" xfId="50909" hidden="1"/>
    <cellStyle name="60% - 강조색2 4" xfId="50870" hidden="1"/>
    <cellStyle name="60% - 강조색2 4" xfId="51495" hidden="1"/>
    <cellStyle name="60% - 강조색2 4" xfId="51537" hidden="1"/>
    <cellStyle name="60% - 강조색2 4" xfId="51579" hidden="1"/>
    <cellStyle name="60% - 강조색2 4" xfId="51621" hidden="1"/>
    <cellStyle name="60% - 강조색2 4" xfId="51663" hidden="1"/>
    <cellStyle name="60% - 강조색2 4" xfId="51705" hidden="1"/>
    <cellStyle name="60% - 강조색2 4" xfId="51747" hidden="1"/>
    <cellStyle name="60% - 강조색2 4" xfId="51789" hidden="1"/>
    <cellStyle name="60% - 강조색2 4" xfId="51831" hidden="1"/>
    <cellStyle name="60% - 강조색2 4" xfId="51873" hidden="1"/>
    <cellStyle name="60% - 강조색2 4" xfId="50962" hidden="1"/>
    <cellStyle name="60% - 강조색2 4" xfId="51901" hidden="1"/>
    <cellStyle name="60% - 강조색2 4" xfId="51941" hidden="1"/>
    <cellStyle name="60% - 강조색2 4" xfId="51981" hidden="1"/>
    <cellStyle name="60% - 강조색2 4" xfId="52021" hidden="1"/>
    <cellStyle name="60% - 강조색2 4" xfId="52061" hidden="1"/>
    <cellStyle name="60% - 강조색2 4" xfId="52101" hidden="1"/>
    <cellStyle name="60% - 강조색2 4" xfId="52141" hidden="1"/>
    <cellStyle name="60% - 강조색2 4" xfId="52181" hidden="1"/>
    <cellStyle name="60% - 강조색2 4" xfId="52221" hidden="1"/>
    <cellStyle name="60% - 강조색2 4" xfId="52261" hidden="1"/>
    <cellStyle name="60% - 강조색2 4" xfId="52301" hidden="1"/>
    <cellStyle name="60% - 강조색2 4" xfId="52341" hidden="1"/>
    <cellStyle name="60% - 강조색2 4 2" xfId="2951"/>
    <cellStyle name="60% - 강조색2 4 3" xfId="2952"/>
    <cellStyle name="60% - 강조색2 4 4" xfId="2953"/>
    <cellStyle name="60% - 강조색2 4 5" xfId="2954"/>
    <cellStyle name="60% - 강조색2 40" xfId="2955"/>
    <cellStyle name="60% - 강조색2 41" xfId="2956"/>
    <cellStyle name="60% - 강조색2 42" xfId="2957"/>
    <cellStyle name="60% - 강조색2 43" xfId="2958"/>
    <cellStyle name="60% - 강조색2 44" xfId="2959"/>
    <cellStyle name="60% - 강조색2 45" xfId="2960"/>
    <cellStyle name="60% - 강조색2 46" xfId="2961"/>
    <cellStyle name="60% - 강조색2 47" xfId="2962"/>
    <cellStyle name="60% - 강조색2 48" xfId="2963"/>
    <cellStyle name="60% - 강조색2 49" xfId="2964"/>
    <cellStyle name="60% - 강조색2 5" xfId="2965"/>
    <cellStyle name="60% - 강조색2 50" xfId="2966"/>
    <cellStyle name="60% - 강조색2 51" xfId="2967"/>
    <cellStyle name="60% - 강조색2 52" xfId="2968"/>
    <cellStyle name="60% - 강조색2 6" xfId="2969"/>
    <cellStyle name="60% - 강조색2 7" xfId="2970"/>
    <cellStyle name="60% - 강조색2 8" xfId="2971"/>
    <cellStyle name="60% - 강조색2 9" xfId="2972"/>
    <cellStyle name="60% - 강조색3 10" xfId="2973"/>
    <cellStyle name="60% - 강조색3 11" xfId="2974"/>
    <cellStyle name="60% - 강조색3 12" xfId="2975"/>
    <cellStyle name="60% - 강조색3 13" xfId="2976"/>
    <cellStyle name="60% - 강조색3 14" xfId="2977"/>
    <cellStyle name="60% - 강조색3 15" xfId="2978"/>
    <cellStyle name="60% - 강조색3 16" xfId="2979"/>
    <cellStyle name="60% - 강조색3 17" xfId="2980"/>
    <cellStyle name="60% - 강조색3 18" xfId="2981"/>
    <cellStyle name="60% - 강조색3 19" xfId="2982"/>
    <cellStyle name="60% - 강조색3 2" xfId="138"/>
    <cellStyle name="60% - 강조색3 2 10" xfId="2983"/>
    <cellStyle name="60% - 강조색3 2 100" xfId="2984"/>
    <cellStyle name="60% - 강조색3 2 101" xfId="2985"/>
    <cellStyle name="60% - 강조색3 2 102" xfId="2986"/>
    <cellStyle name="60% - 강조색3 2 103" xfId="2987"/>
    <cellStyle name="60% - 강조색3 2 104" xfId="2988"/>
    <cellStyle name="60% - 강조색3 2 105" xfId="2989"/>
    <cellStyle name="60% - 강조색3 2 106" xfId="2990"/>
    <cellStyle name="60% - 강조색3 2 107" xfId="2991"/>
    <cellStyle name="60% - 강조색3 2 108" xfId="2992"/>
    <cellStyle name="60% - 강조색3 2 109" xfId="2993"/>
    <cellStyle name="60% - 강조색3 2 11" xfId="2994"/>
    <cellStyle name="60% - 강조색3 2 110" xfId="2995"/>
    <cellStyle name="60% - 강조색3 2 111" xfId="2996"/>
    <cellStyle name="60% - 강조색3 2 112" xfId="2997"/>
    <cellStyle name="60% - 강조색3 2 12" xfId="2998"/>
    <cellStyle name="60% - 강조색3 2 13" xfId="2999"/>
    <cellStyle name="60% - 강조색3 2 14" xfId="3000"/>
    <cellStyle name="60% - 강조색3 2 15" xfId="3001"/>
    <cellStyle name="60% - 강조색3 2 16" xfId="3002"/>
    <cellStyle name="60% - 강조색3 2 17" xfId="3003"/>
    <cellStyle name="60% - 강조색3 2 18" xfId="3004"/>
    <cellStyle name="60% - 강조색3 2 19" xfId="3005"/>
    <cellStyle name="60% - 강조색3 2 2" xfId="3006"/>
    <cellStyle name="60% - 강조색3 2 2 2" xfId="3007"/>
    <cellStyle name="60% - 강조색3 2 2 3" xfId="3008"/>
    <cellStyle name="60% - 강조색3 2 2 4" xfId="3009"/>
    <cellStyle name="60% - 강조색3 2 2 5" xfId="3010"/>
    <cellStyle name="60% - 강조색3 2 20" xfId="3011"/>
    <cellStyle name="60% - 강조색3 2 21" xfId="3012"/>
    <cellStyle name="60% - 강조색3 2 22" xfId="3013"/>
    <cellStyle name="60% - 강조색3 2 23" xfId="3014"/>
    <cellStyle name="60% - 강조색3 2 24" xfId="3015"/>
    <cellStyle name="60% - 강조색3 2 25" xfId="3016"/>
    <cellStyle name="60% - 강조색3 2 26" xfId="3017"/>
    <cellStyle name="60% - 강조색3 2 27" xfId="3018"/>
    <cellStyle name="60% - 강조색3 2 28" xfId="3019"/>
    <cellStyle name="60% - 강조색3 2 29" xfId="3020"/>
    <cellStyle name="60% - 강조색3 2 3" xfId="3021"/>
    <cellStyle name="60% - 강조색3 2 30" xfId="3022"/>
    <cellStyle name="60% - 강조색3 2 31" xfId="3023"/>
    <cellStyle name="60% - 강조색3 2 32" xfId="3024"/>
    <cellStyle name="60% - 강조색3 2 33" xfId="3025"/>
    <cellStyle name="60% - 강조색3 2 34" xfId="3026"/>
    <cellStyle name="60% - 강조색3 2 35" xfId="3027"/>
    <cellStyle name="60% - 강조색3 2 36" xfId="3028"/>
    <cellStyle name="60% - 강조색3 2 37" xfId="3029"/>
    <cellStyle name="60% - 강조색3 2 38" xfId="3030"/>
    <cellStyle name="60% - 강조색3 2 39" xfId="3031"/>
    <cellStyle name="60% - 강조색3 2 4" xfId="3032"/>
    <cellStyle name="60% - 강조색3 2 40" xfId="3033"/>
    <cellStyle name="60% - 강조색3 2 41" xfId="3034"/>
    <cellStyle name="60% - 강조색3 2 42" xfId="3035"/>
    <cellStyle name="60% - 강조색3 2 43" xfId="3036"/>
    <cellStyle name="60% - 강조색3 2 44" xfId="3037"/>
    <cellStyle name="60% - 강조색3 2 45" xfId="3038"/>
    <cellStyle name="60% - 강조색3 2 46" xfId="3039"/>
    <cellStyle name="60% - 강조색3 2 47" xfId="3040"/>
    <cellStyle name="60% - 강조색3 2 48" xfId="3041"/>
    <cellStyle name="60% - 강조색3 2 49" xfId="3042"/>
    <cellStyle name="60% - 강조색3 2 5" xfId="3043"/>
    <cellStyle name="60% - 강조색3 2 50" xfId="3044"/>
    <cellStyle name="60% - 강조색3 2 51" xfId="3045"/>
    <cellStyle name="60% - 강조색3 2 52" xfId="3046"/>
    <cellStyle name="60% - 강조색3 2 53" xfId="3047"/>
    <cellStyle name="60% - 강조색3 2 54" xfId="3048"/>
    <cellStyle name="60% - 강조색3 2 55" xfId="3049"/>
    <cellStyle name="60% - 강조색3 2 56" xfId="3050"/>
    <cellStyle name="60% - 강조색3 2 57" xfId="3051"/>
    <cellStyle name="60% - 강조색3 2 58" xfId="3052"/>
    <cellStyle name="60% - 강조색3 2 59" xfId="3053"/>
    <cellStyle name="60% - 강조색3 2 6" xfId="3054"/>
    <cellStyle name="60% - 강조색3 2 60" xfId="3055"/>
    <cellStyle name="60% - 강조색3 2 61" xfId="3056"/>
    <cellStyle name="60% - 강조색3 2 62" xfId="3057"/>
    <cellStyle name="60% - 강조색3 2 63" xfId="3058"/>
    <cellStyle name="60% - 강조색3 2 64" xfId="3059"/>
    <cellStyle name="60% - 강조색3 2 65" xfId="3060"/>
    <cellStyle name="60% - 강조색3 2 66" xfId="3061"/>
    <cellStyle name="60% - 강조색3 2 67" xfId="3062"/>
    <cellStyle name="60% - 강조색3 2 68" xfId="3063"/>
    <cellStyle name="60% - 강조색3 2 69" xfId="3064"/>
    <cellStyle name="60% - 강조색3 2 7" xfId="3065"/>
    <cellStyle name="60% - 강조색3 2 70" xfId="3066"/>
    <cellStyle name="60% - 강조색3 2 71" xfId="3067"/>
    <cellStyle name="60% - 강조색3 2 72" xfId="3068"/>
    <cellStyle name="60% - 강조색3 2 73" xfId="3069"/>
    <cellStyle name="60% - 강조색3 2 74" xfId="3070"/>
    <cellStyle name="60% - 강조색3 2 75" xfId="3071"/>
    <cellStyle name="60% - 강조색3 2 76" xfId="3072"/>
    <cellStyle name="60% - 강조색3 2 77" xfId="3073"/>
    <cellStyle name="60% - 강조색3 2 78" xfId="3074"/>
    <cellStyle name="60% - 강조색3 2 79" xfId="3075"/>
    <cellStyle name="60% - 강조색3 2 8" xfId="3076"/>
    <cellStyle name="60% - 강조색3 2 80" xfId="3077"/>
    <cellStyle name="60% - 강조색3 2 81" xfId="3078"/>
    <cellStyle name="60% - 강조색3 2 82" xfId="3079"/>
    <cellStyle name="60% - 강조색3 2 83" xfId="3080"/>
    <cellStyle name="60% - 강조색3 2 84" xfId="3081"/>
    <cellStyle name="60% - 강조색3 2 85" xfId="3082"/>
    <cellStyle name="60% - 강조색3 2 86" xfId="3083"/>
    <cellStyle name="60% - 강조색3 2 87" xfId="3084"/>
    <cellStyle name="60% - 강조색3 2 88" xfId="3085"/>
    <cellStyle name="60% - 강조색3 2 89" xfId="3086"/>
    <cellStyle name="60% - 강조색3 2 9" xfId="3087"/>
    <cellStyle name="60% - 강조색3 2 90" xfId="3088"/>
    <cellStyle name="60% - 강조색3 2 91" xfId="3089"/>
    <cellStyle name="60% - 강조색3 2 92" xfId="3090"/>
    <cellStyle name="60% - 강조색3 2 93" xfId="3091"/>
    <cellStyle name="60% - 강조색3 2 94" xfId="3092"/>
    <cellStyle name="60% - 강조색3 2 95" xfId="3093"/>
    <cellStyle name="60% - 강조색3 2 96" xfId="3094"/>
    <cellStyle name="60% - 강조색3 2 97" xfId="3095"/>
    <cellStyle name="60% - 강조색3 2 98" xfId="3096"/>
    <cellStyle name="60% - 강조색3 2 99" xfId="3097"/>
    <cellStyle name="60% - 강조색3 20" xfId="3098"/>
    <cellStyle name="60% - 강조색3 21" xfId="3099"/>
    <cellStyle name="60% - 강조색3 22" xfId="3100"/>
    <cellStyle name="60% - 강조색3 23" xfId="3101"/>
    <cellStyle name="60% - 강조색3 24" xfId="3102"/>
    <cellStyle name="60% - 강조색3 25" xfId="3103"/>
    <cellStyle name="60% - 강조색3 26" xfId="3104"/>
    <cellStyle name="60% - 강조색3 27" xfId="3105"/>
    <cellStyle name="60% - 강조색3 28" xfId="3106"/>
    <cellStyle name="60% - 강조색3 29" xfId="3107"/>
    <cellStyle name="60% - 강조색3 3" xfId="139"/>
    <cellStyle name="60% - 강조색3 30" xfId="3108"/>
    <cellStyle name="60% - 강조색3 31" xfId="3109"/>
    <cellStyle name="60% - 강조색3 32" xfId="3110"/>
    <cellStyle name="60% - 강조색3 33" xfId="3111"/>
    <cellStyle name="60% - 강조색3 34" xfId="3112"/>
    <cellStyle name="60% - 강조색3 35" xfId="3113"/>
    <cellStyle name="60% - 강조색3 36" xfId="3114"/>
    <cellStyle name="60% - 강조색3 37" xfId="3115"/>
    <cellStyle name="60% - 강조색3 38" xfId="3116"/>
    <cellStyle name="60% - 강조색3 39" xfId="3117"/>
    <cellStyle name="60% - 강조색3 4" xfId="11735" hidden="1"/>
    <cellStyle name="60% - 강조색3 4" xfId="11781" hidden="1"/>
    <cellStyle name="60% - 강조색3 4" xfId="11827" hidden="1"/>
    <cellStyle name="60% - 강조색3 4" xfId="11873" hidden="1"/>
    <cellStyle name="60% - 강조색3 4" xfId="11919" hidden="1"/>
    <cellStyle name="60% - 강조색3 4" xfId="11965" hidden="1"/>
    <cellStyle name="60% - 강조색3 4" xfId="12011" hidden="1"/>
    <cellStyle name="60% - 강조색3 4" xfId="12057" hidden="1"/>
    <cellStyle name="60% - 강조색3 4" xfId="12103" hidden="1"/>
    <cellStyle name="60% - 강조색3 4" xfId="12149" hidden="1"/>
    <cellStyle name="60% - 강조색3 4" xfId="12195" hidden="1"/>
    <cellStyle name="60% - 강조색3 4" xfId="12241" hidden="1"/>
    <cellStyle name="60% - 강조색3 4" xfId="12331" hidden="1"/>
    <cellStyle name="60% - 강조색3 4" xfId="12372" hidden="1"/>
    <cellStyle name="60% - 강조색3 4" xfId="12414" hidden="1"/>
    <cellStyle name="60% - 강조색3 4" xfId="12456" hidden="1"/>
    <cellStyle name="60% - 강조색3 4" xfId="12498" hidden="1"/>
    <cellStyle name="60% - 강조색3 4" xfId="12540" hidden="1"/>
    <cellStyle name="60% - 강조색3 4" xfId="12582" hidden="1"/>
    <cellStyle name="60% - 강조색3 4" xfId="12624" hidden="1"/>
    <cellStyle name="60% - 강조색3 4" xfId="12666" hidden="1"/>
    <cellStyle name="60% - 강조색3 4" xfId="12708" hidden="1"/>
    <cellStyle name="60% - 강조색3 4" xfId="12750" hidden="1"/>
    <cellStyle name="60% - 강조색3 4" xfId="12792" hidden="1"/>
    <cellStyle name="60% - 강조색3 4" xfId="12286" hidden="1"/>
    <cellStyle name="60% - 강조색3 4" xfId="12974" hidden="1"/>
    <cellStyle name="60% - 강조색3 4" xfId="13014" hidden="1"/>
    <cellStyle name="60% - 강조색3 4" xfId="13054" hidden="1"/>
    <cellStyle name="60% - 강조색3 4" xfId="13094" hidden="1"/>
    <cellStyle name="60% - 강조색3 4" xfId="13134" hidden="1"/>
    <cellStyle name="60% - 강조색3 4" xfId="13174" hidden="1"/>
    <cellStyle name="60% - 강조색3 4" xfId="13214" hidden="1"/>
    <cellStyle name="60% - 강조색3 4" xfId="13254" hidden="1"/>
    <cellStyle name="60% - 강조색3 4" xfId="13294" hidden="1"/>
    <cellStyle name="60% - 강조색3 4" xfId="13334" hidden="1"/>
    <cellStyle name="60% - 강조색3 4" xfId="13374" hidden="1"/>
    <cellStyle name="60% - 강조색3 4" xfId="13414" hidden="1"/>
    <cellStyle name="60% - 강조색3 4" xfId="12860" hidden="1"/>
    <cellStyle name="60% - 강조색3 4" xfId="12822" hidden="1"/>
    <cellStyle name="60% - 강조색3 4" xfId="13456" hidden="1"/>
    <cellStyle name="60% - 강조색3 4" xfId="13498" hidden="1"/>
    <cellStyle name="60% - 강조색3 4" xfId="13540" hidden="1"/>
    <cellStyle name="60% - 강조색3 4" xfId="13582" hidden="1"/>
    <cellStyle name="60% - 강조색3 4" xfId="13624" hidden="1"/>
    <cellStyle name="60% - 강조색3 4" xfId="13666" hidden="1"/>
    <cellStyle name="60% - 강조색3 4" xfId="13708" hidden="1"/>
    <cellStyle name="60% - 강조색3 4" xfId="13750" hidden="1"/>
    <cellStyle name="60% - 강조색3 4" xfId="13792" hidden="1"/>
    <cellStyle name="60% - 강조색3 4" xfId="13834" hidden="1"/>
    <cellStyle name="60% - 강조색3 4" xfId="12914" hidden="1"/>
    <cellStyle name="60% - 강조색3 4" xfId="13862" hidden="1"/>
    <cellStyle name="60% - 강조색3 4" xfId="13902" hidden="1"/>
    <cellStyle name="60% - 강조색3 4" xfId="13942" hidden="1"/>
    <cellStyle name="60% - 강조색3 4" xfId="13982" hidden="1"/>
    <cellStyle name="60% - 강조색3 4" xfId="14022" hidden="1"/>
    <cellStyle name="60% - 강조색3 4" xfId="14062" hidden="1"/>
    <cellStyle name="60% - 강조색3 4" xfId="14102" hidden="1"/>
    <cellStyle name="60% - 강조색3 4" xfId="14142" hidden="1"/>
    <cellStyle name="60% - 강조색3 4" xfId="14182" hidden="1"/>
    <cellStyle name="60% - 강조색3 4" xfId="14222" hidden="1"/>
    <cellStyle name="60% - 강조색3 4" xfId="14262" hidden="1"/>
    <cellStyle name="60% - 강조색3 4" xfId="14302" hidden="1"/>
    <cellStyle name="60% - 강조색3 4" xfId="14408" hidden="1"/>
    <cellStyle name="60% - 강조색3 4" xfId="14448" hidden="1"/>
    <cellStyle name="60% - 강조색3 4" xfId="14488" hidden="1"/>
    <cellStyle name="60% - 강조색3 4" xfId="14528" hidden="1"/>
    <cellStyle name="60% - 강조색3 4" xfId="14568" hidden="1"/>
    <cellStyle name="60% - 강조색3 4" xfId="14608" hidden="1"/>
    <cellStyle name="60% - 강조색3 4" xfId="14648" hidden="1"/>
    <cellStyle name="60% - 강조색3 4" xfId="14688" hidden="1"/>
    <cellStyle name="60% - 강조색3 4" xfId="14728" hidden="1"/>
    <cellStyle name="60% - 강조색3 4" xfId="14768" hidden="1"/>
    <cellStyle name="60% - 강조색3 4" xfId="14808" hidden="1"/>
    <cellStyle name="60% - 강조색3 4" xfId="14848" hidden="1"/>
    <cellStyle name="60% - 강조색3 4" xfId="14932" hidden="1"/>
    <cellStyle name="60% - 강조색3 4" xfId="14973" hidden="1"/>
    <cellStyle name="60% - 강조색3 4" xfId="15015" hidden="1"/>
    <cellStyle name="60% - 강조색3 4" xfId="15057" hidden="1"/>
    <cellStyle name="60% - 강조색3 4" xfId="15099" hidden="1"/>
    <cellStyle name="60% - 강조색3 4" xfId="15141" hidden="1"/>
    <cellStyle name="60% - 강조색3 4" xfId="15183" hidden="1"/>
    <cellStyle name="60% - 강조색3 4" xfId="15225" hidden="1"/>
    <cellStyle name="60% - 강조색3 4" xfId="15267" hidden="1"/>
    <cellStyle name="60% - 강조색3 4" xfId="15309" hidden="1"/>
    <cellStyle name="60% - 강조색3 4" xfId="15351" hidden="1"/>
    <cellStyle name="60% - 강조색3 4" xfId="15393" hidden="1"/>
    <cellStyle name="60% - 강조색3 4" xfId="14889" hidden="1"/>
    <cellStyle name="60% - 강조색3 4" xfId="15572" hidden="1"/>
    <cellStyle name="60% - 강조색3 4" xfId="15612" hidden="1"/>
    <cellStyle name="60% - 강조색3 4" xfId="15652" hidden="1"/>
    <cellStyle name="60% - 강조색3 4" xfId="15692" hidden="1"/>
    <cellStyle name="60% - 강조색3 4" xfId="15732" hidden="1"/>
    <cellStyle name="60% - 강조색3 4" xfId="15772" hidden="1"/>
    <cellStyle name="60% - 강조색3 4" xfId="15812" hidden="1"/>
    <cellStyle name="60% - 강조색3 4" xfId="15852" hidden="1"/>
    <cellStyle name="60% - 강조색3 4" xfId="15892" hidden="1"/>
    <cellStyle name="60% - 강조색3 4" xfId="15932" hidden="1"/>
    <cellStyle name="60% - 강조색3 4" xfId="15972" hidden="1"/>
    <cellStyle name="60% - 강조색3 4" xfId="16012" hidden="1"/>
    <cellStyle name="60% - 강조색3 4" xfId="15460" hidden="1"/>
    <cellStyle name="60% - 강조색3 4" xfId="15422" hidden="1"/>
    <cellStyle name="60% - 강조색3 4" xfId="16054" hidden="1"/>
    <cellStyle name="60% - 강조색3 4" xfId="16096" hidden="1"/>
    <cellStyle name="60% - 강조색3 4" xfId="16138" hidden="1"/>
    <cellStyle name="60% - 강조색3 4" xfId="16180" hidden="1"/>
    <cellStyle name="60% - 강조색3 4" xfId="16222" hidden="1"/>
    <cellStyle name="60% - 강조색3 4" xfId="16264" hidden="1"/>
    <cellStyle name="60% - 강조색3 4" xfId="16306" hidden="1"/>
    <cellStyle name="60% - 강조색3 4" xfId="16348" hidden="1"/>
    <cellStyle name="60% - 강조색3 4" xfId="16390" hidden="1"/>
    <cellStyle name="60% - 강조색3 4" xfId="16432" hidden="1"/>
    <cellStyle name="60% - 강조색3 4" xfId="15513" hidden="1"/>
    <cellStyle name="60% - 강조색3 4" xfId="16460" hidden="1"/>
    <cellStyle name="60% - 강조색3 4" xfId="16500" hidden="1"/>
    <cellStyle name="60% - 강조색3 4" xfId="16540" hidden="1"/>
    <cellStyle name="60% - 강조색3 4" xfId="16580" hidden="1"/>
    <cellStyle name="60% - 강조색3 4" xfId="16620" hidden="1"/>
    <cellStyle name="60% - 강조색3 4" xfId="16660" hidden="1"/>
    <cellStyle name="60% - 강조색3 4" xfId="16700" hidden="1"/>
    <cellStyle name="60% - 강조색3 4" xfId="16740" hidden="1"/>
    <cellStyle name="60% - 강조색3 4" xfId="16780" hidden="1"/>
    <cellStyle name="60% - 강조색3 4" xfId="16820" hidden="1"/>
    <cellStyle name="60% - 강조색3 4" xfId="16860" hidden="1"/>
    <cellStyle name="60% - 강조색3 4" xfId="16900" hidden="1"/>
    <cellStyle name="60% - 강조색3 4" xfId="14327" hidden="1"/>
    <cellStyle name="60% - 강조색3 4" xfId="16951" hidden="1"/>
    <cellStyle name="60% - 강조색3 4" xfId="16992" hidden="1"/>
    <cellStyle name="60% - 강조색3 4" xfId="17032" hidden="1"/>
    <cellStyle name="60% - 강조색3 4" xfId="17072" hidden="1"/>
    <cellStyle name="60% - 강조색3 4" xfId="17112" hidden="1"/>
    <cellStyle name="60% - 강조색3 4" xfId="17152" hidden="1"/>
    <cellStyle name="60% - 강조색3 4" xfId="17192" hidden="1"/>
    <cellStyle name="60% - 강조색3 4" xfId="17232" hidden="1"/>
    <cellStyle name="60% - 강조색3 4" xfId="17272" hidden="1"/>
    <cellStyle name="60% - 강조색3 4" xfId="17312" hidden="1"/>
    <cellStyle name="60% - 강조색3 4" xfId="17352" hidden="1"/>
    <cellStyle name="60% - 강조색3 4" xfId="17436" hidden="1"/>
    <cellStyle name="60% - 강조색3 4" xfId="17477" hidden="1"/>
    <cellStyle name="60% - 강조색3 4" xfId="17519" hidden="1"/>
    <cellStyle name="60% - 강조색3 4" xfId="17561" hidden="1"/>
    <cellStyle name="60% - 강조색3 4" xfId="17603" hidden="1"/>
    <cellStyle name="60% - 강조색3 4" xfId="17645" hidden="1"/>
    <cellStyle name="60% - 강조색3 4" xfId="17687" hidden="1"/>
    <cellStyle name="60% - 강조색3 4" xfId="17729" hidden="1"/>
    <cellStyle name="60% - 강조색3 4" xfId="17771" hidden="1"/>
    <cellStyle name="60% - 강조색3 4" xfId="17813" hidden="1"/>
    <cellStyle name="60% - 강조색3 4" xfId="17855" hidden="1"/>
    <cellStyle name="60% - 강조색3 4" xfId="17897" hidden="1"/>
    <cellStyle name="60% - 강조색3 4" xfId="17393" hidden="1"/>
    <cellStyle name="60% - 강조색3 4" xfId="18076" hidden="1"/>
    <cellStyle name="60% - 강조색3 4" xfId="18116" hidden="1"/>
    <cellStyle name="60% - 강조색3 4" xfId="18156" hidden="1"/>
    <cellStyle name="60% - 강조색3 4" xfId="18196" hidden="1"/>
    <cellStyle name="60% - 강조색3 4" xfId="18236" hidden="1"/>
    <cellStyle name="60% - 강조색3 4" xfId="18276" hidden="1"/>
    <cellStyle name="60% - 강조색3 4" xfId="18316" hidden="1"/>
    <cellStyle name="60% - 강조색3 4" xfId="18356" hidden="1"/>
    <cellStyle name="60% - 강조색3 4" xfId="18396" hidden="1"/>
    <cellStyle name="60% - 강조색3 4" xfId="18436" hidden="1"/>
    <cellStyle name="60% - 강조색3 4" xfId="18476" hidden="1"/>
    <cellStyle name="60% - 강조색3 4" xfId="18516" hidden="1"/>
    <cellStyle name="60% - 강조색3 4" xfId="17964" hidden="1"/>
    <cellStyle name="60% - 강조색3 4" xfId="17926" hidden="1"/>
    <cellStyle name="60% - 강조색3 4" xfId="18558" hidden="1"/>
    <cellStyle name="60% - 강조색3 4" xfId="18600" hidden="1"/>
    <cellStyle name="60% - 강조색3 4" xfId="18642" hidden="1"/>
    <cellStyle name="60% - 강조색3 4" xfId="18684" hidden="1"/>
    <cellStyle name="60% - 강조색3 4" xfId="18726" hidden="1"/>
    <cellStyle name="60% - 강조색3 4" xfId="18768" hidden="1"/>
    <cellStyle name="60% - 강조색3 4" xfId="18810" hidden="1"/>
    <cellStyle name="60% - 강조색3 4" xfId="18852" hidden="1"/>
    <cellStyle name="60% - 강조색3 4" xfId="18894" hidden="1"/>
    <cellStyle name="60% - 강조색3 4" xfId="18936" hidden="1"/>
    <cellStyle name="60% - 강조색3 4" xfId="18017" hidden="1"/>
    <cellStyle name="60% - 강조색3 4" xfId="18964" hidden="1"/>
    <cellStyle name="60% - 강조색3 4" xfId="19004" hidden="1"/>
    <cellStyle name="60% - 강조색3 4" xfId="19044" hidden="1"/>
    <cellStyle name="60% - 강조색3 4" xfId="19084" hidden="1"/>
    <cellStyle name="60% - 강조색3 4" xfId="19124" hidden="1"/>
    <cellStyle name="60% - 강조색3 4" xfId="19164" hidden="1"/>
    <cellStyle name="60% - 강조색3 4" xfId="19204" hidden="1"/>
    <cellStyle name="60% - 강조색3 4" xfId="19244" hidden="1"/>
    <cellStyle name="60% - 강조색3 4" xfId="19284" hidden="1"/>
    <cellStyle name="60% - 강조색3 4" xfId="19324" hidden="1"/>
    <cellStyle name="60% - 강조색3 4" xfId="19364" hidden="1"/>
    <cellStyle name="60% - 강조색3 4" xfId="19404" hidden="1"/>
    <cellStyle name="60% - 강조색3 4" xfId="14375" hidden="1"/>
    <cellStyle name="60% - 강조색3 4" xfId="19454" hidden="1"/>
    <cellStyle name="60% - 강조색3 4" xfId="19494" hidden="1"/>
    <cellStyle name="60% - 강조색3 4" xfId="19534" hidden="1"/>
    <cellStyle name="60% - 강조색3 4" xfId="19574" hidden="1"/>
    <cellStyle name="60% - 강조색3 4" xfId="19614" hidden="1"/>
    <cellStyle name="60% - 강조색3 4" xfId="19654" hidden="1"/>
    <cellStyle name="60% - 강조색3 4" xfId="19694" hidden="1"/>
    <cellStyle name="60% - 강조색3 4" xfId="19734" hidden="1"/>
    <cellStyle name="60% - 강조색3 4" xfId="19774" hidden="1"/>
    <cellStyle name="60% - 강조색3 4" xfId="19814" hidden="1"/>
    <cellStyle name="60% - 강조색3 4" xfId="19854" hidden="1"/>
    <cellStyle name="60% - 강조색3 4" xfId="19938" hidden="1"/>
    <cellStyle name="60% - 강조색3 4" xfId="19979" hidden="1"/>
    <cellStyle name="60% - 강조색3 4" xfId="20021" hidden="1"/>
    <cellStyle name="60% - 강조색3 4" xfId="20063" hidden="1"/>
    <cellStyle name="60% - 강조색3 4" xfId="20105" hidden="1"/>
    <cellStyle name="60% - 강조색3 4" xfId="20147" hidden="1"/>
    <cellStyle name="60% - 강조색3 4" xfId="20189" hidden="1"/>
    <cellStyle name="60% - 강조색3 4" xfId="20231" hidden="1"/>
    <cellStyle name="60% - 강조색3 4" xfId="20273" hidden="1"/>
    <cellStyle name="60% - 강조색3 4" xfId="20315" hidden="1"/>
    <cellStyle name="60% - 강조색3 4" xfId="20357" hidden="1"/>
    <cellStyle name="60% - 강조색3 4" xfId="20399" hidden="1"/>
    <cellStyle name="60% - 강조색3 4" xfId="19895" hidden="1"/>
    <cellStyle name="60% - 강조색3 4" xfId="20578" hidden="1"/>
    <cellStyle name="60% - 강조색3 4" xfId="20618" hidden="1"/>
    <cellStyle name="60% - 강조색3 4" xfId="20658" hidden="1"/>
    <cellStyle name="60% - 강조색3 4" xfId="20698" hidden="1"/>
    <cellStyle name="60% - 강조색3 4" xfId="20738" hidden="1"/>
    <cellStyle name="60% - 강조색3 4" xfId="20778" hidden="1"/>
    <cellStyle name="60% - 강조색3 4" xfId="20818" hidden="1"/>
    <cellStyle name="60% - 강조색3 4" xfId="20858" hidden="1"/>
    <cellStyle name="60% - 강조색3 4" xfId="20898" hidden="1"/>
    <cellStyle name="60% - 강조색3 4" xfId="20938" hidden="1"/>
    <cellStyle name="60% - 강조색3 4" xfId="20978" hidden="1"/>
    <cellStyle name="60% - 강조색3 4" xfId="21018" hidden="1"/>
    <cellStyle name="60% - 강조색3 4" xfId="20466" hidden="1"/>
    <cellStyle name="60% - 강조색3 4" xfId="20428" hidden="1"/>
    <cellStyle name="60% - 강조색3 4" xfId="21060" hidden="1"/>
    <cellStyle name="60% - 강조색3 4" xfId="21102" hidden="1"/>
    <cellStyle name="60% - 강조색3 4" xfId="21144" hidden="1"/>
    <cellStyle name="60% - 강조색3 4" xfId="21186" hidden="1"/>
    <cellStyle name="60% - 강조색3 4" xfId="21228" hidden="1"/>
    <cellStyle name="60% - 강조색3 4" xfId="21270" hidden="1"/>
    <cellStyle name="60% - 강조색3 4" xfId="21312" hidden="1"/>
    <cellStyle name="60% - 강조색3 4" xfId="21354" hidden="1"/>
    <cellStyle name="60% - 강조색3 4" xfId="21396" hidden="1"/>
    <cellStyle name="60% - 강조색3 4" xfId="21438" hidden="1"/>
    <cellStyle name="60% - 강조색3 4" xfId="20519" hidden="1"/>
    <cellStyle name="60% - 강조색3 4" xfId="21466" hidden="1"/>
    <cellStyle name="60% - 강조색3 4" xfId="21506" hidden="1"/>
    <cellStyle name="60% - 강조색3 4" xfId="21546" hidden="1"/>
    <cellStyle name="60% - 강조색3 4" xfId="21586" hidden="1"/>
    <cellStyle name="60% - 강조색3 4" xfId="21626" hidden="1"/>
    <cellStyle name="60% - 강조색3 4" xfId="21666" hidden="1"/>
    <cellStyle name="60% - 강조색3 4" xfId="21706" hidden="1"/>
    <cellStyle name="60% - 강조색3 4" xfId="21746" hidden="1"/>
    <cellStyle name="60% - 강조색3 4" xfId="21786" hidden="1"/>
    <cellStyle name="60% - 강조색3 4" xfId="21826" hidden="1"/>
    <cellStyle name="60% - 강조색3 4" xfId="21866" hidden="1"/>
    <cellStyle name="60% - 강조색3 4" xfId="21906" hidden="1"/>
    <cellStyle name="60% - 강조색3 4" xfId="21974" hidden="1"/>
    <cellStyle name="60% - 강조색3 4" xfId="22014" hidden="1"/>
    <cellStyle name="60% - 강조색3 4" xfId="22054" hidden="1"/>
    <cellStyle name="60% - 강조색3 4" xfId="22094" hidden="1"/>
    <cellStyle name="60% - 강조색3 4" xfId="22134" hidden="1"/>
    <cellStyle name="60% - 강조색3 4" xfId="22174" hidden="1"/>
    <cellStyle name="60% - 강조색3 4" xfId="22214" hidden="1"/>
    <cellStyle name="60% - 강조색3 4" xfId="22254" hidden="1"/>
    <cellStyle name="60% - 강조색3 4" xfId="22294" hidden="1"/>
    <cellStyle name="60% - 강조색3 4" xfId="22334" hidden="1"/>
    <cellStyle name="60% - 강조색3 4" xfId="22374" hidden="1"/>
    <cellStyle name="60% - 강조색3 4" xfId="22414" hidden="1"/>
    <cellStyle name="60% - 강조색3 4" xfId="22498" hidden="1"/>
    <cellStyle name="60% - 강조색3 4" xfId="22539" hidden="1"/>
    <cellStyle name="60% - 강조색3 4" xfId="22581" hidden="1"/>
    <cellStyle name="60% - 강조색3 4" xfId="22623" hidden="1"/>
    <cellStyle name="60% - 강조색3 4" xfId="22665" hidden="1"/>
    <cellStyle name="60% - 강조색3 4" xfId="22707" hidden="1"/>
    <cellStyle name="60% - 강조색3 4" xfId="22749" hidden="1"/>
    <cellStyle name="60% - 강조색3 4" xfId="22791" hidden="1"/>
    <cellStyle name="60% - 강조색3 4" xfId="22833" hidden="1"/>
    <cellStyle name="60% - 강조색3 4" xfId="22875" hidden="1"/>
    <cellStyle name="60% - 강조색3 4" xfId="22917" hidden="1"/>
    <cellStyle name="60% - 강조색3 4" xfId="22959" hidden="1"/>
    <cellStyle name="60% - 강조색3 4" xfId="22455" hidden="1"/>
    <cellStyle name="60% - 강조색3 4" xfId="23138" hidden="1"/>
    <cellStyle name="60% - 강조색3 4" xfId="23178" hidden="1"/>
    <cellStyle name="60% - 강조색3 4" xfId="23218" hidden="1"/>
    <cellStyle name="60% - 강조색3 4" xfId="23258" hidden="1"/>
    <cellStyle name="60% - 강조색3 4" xfId="23298" hidden="1"/>
    <cellStyle name="60% - 강조색3 4" xfId="23338" hidden="1"/>
    <cellStyle name="60% - 강조색3 4" xfId="23378" hidden="1"/>
    <cellStyle name="60% - 강조색3 4" xfId="23418" hidden="1"/>
    <cellStyle name="60% - 강조색3 4" xfId="23458" hidden="1"/>
    <cellStyle name="60% - 강조색3 4" xfId="23498" hidden="1"/>
    <cellStyle name="60% - 강조색3 4" xfId="23538" hidden="1"/>
    <cellStyle name="60% - 강조색3 4" xfId="23578" hidden="1"/>
    <cellStyle name="60% - 강조색3 4" xfId="23026" hidden="1"/>
    <cellStyle name="60% - 강조색3 4" xfId="22988" hidden="1"/>
    <cellStyle name="60% - 강조색3 4" xfId="23620" hidden="1"/>
    <cellStyle name="60% - 강조색3 4" xfId="23662" hidden="1"/>
    <cellStyle name="60% - 강조색3 4" xfId="23704" hidden="1"/>
    <cellStyle name="60% - 강조색3 4" xfId="23746" hidden="1"/>
    <cellStyle name="60% - 강조색3 4" xfId="23788" hidden="1"/>
    <cellStyle name="60% - 강조색3 4" xfId="23830" hidden="1"/>
    <cellStyle name="60% - 강조색3 4" xfId="23872" hidden="1"/>
    <cellStyle name="60% - 강조색3 4" xfId="23914" hidden="1"/>
    <cellStyle name="60% - 강조색3 4" xfId="23956" hidden="1"/>
    <cellStyle name="60% - 강조색3 4" xfId="23998" hidden="1"/>
    <cellStyle name="60% - 강조색3 4" xfId="23079" hidden="1"/>
    <cellStyle name="60% - 강조색3 4" xfId="24026" hidden="1"/>
    <cellStyle name="60% - 강조색3 4" xfId="24066" hidden="1"/>
    <cellStyle name="60% - 강조색3 4" xfId="24106" hidden="1"/>
    <cellStyle name="60% - 강조색3 4" xfId="24146" hidden="1"/>
    <cellStyle name="60% - 강조색3 4" xfId="24186" hidden="1"/>
    <cellStyle name="60% - 강조색3 4" xfId="24226" hidden="1"/>
    <cellStyle name="60% - 강조색3 4" xfId="24266" hidden="1"/>
    <cellStyle name="60% - 강조색3 4" xfId="24306" hidden="1"/>
    <cellStyle name="60% - 강조색3 4" xfId="24346" hidden="1"/>
    <cellStyle name="60% - 강조색3 4" xfId="24386" hidden="1"/>
    <cellStyle name="60% - 강조색3 4" xfId="24426" hidden="1"/>
    <cellStyle name="60% - 강조색3 4" xfId="24466" hidden="1"/>
    <cellStyle name="60% - 강조색3 4" xfId="24564" hidden="1"/>
    <cellStyle name="60% - 강조색3 4" xfId="24604" hidden="1"/>
    <cellStyle name="60% - 강조색3 4" xfId="24646" hidden="1"/>
    <cellStyle name="60% - 강조색3 4" xfId="24687" hidden="1"/>
    <cellStyle name="60% - 강조색3 4" xfId="24727" hidden="1"/>
    <cellStyle name="60% - 강조색3 4" xfId="24767" hidden="1"/>
    <cellStyle name="60% - 강조색3 4" xfId="24807" hidden="1"/>
    <cellStyle name="60% - 강조색3 4" xfId="24847" hidden="1"/>
    <cellStyle name="60% - 강조색3 4" xfId="24887" hidden="1"/>
    <cellStyle name="60% - 강조색3 4" xfId="24927" hidden="1"/>
    <cellStyle name="60% - 강조색3 4" xfId="24967" hidden="1"/>
    <cellStyle name="60% - 강조색3 4" xfId="25007" hidden="1"/>
    <cellStyle name="60% - 강조색3 4" xfId="25091" hidden="1"/>
    <cellStyle name="60% - 강조색3 4" xfId="25132" hidden="1"/>
    <cellStyle name="60% - 강조색3 4" xfId="25174" hidden="1"/>
    <cellStyle name="60% - 강조색3 4" xfId="25216" hidden="1"/>
    <cellStyle name="60% - 강조색3 4" xfId="25258" hidden="1"/>
    <cellStyle name="60% - 강조색3 4" xfId="25300" hidden="1"/>
    <cellStyle name="60% - 강조색3 4" xfId="25342" hidden="1"/>
    <cellStyle name="60% - 강조색3 4" xfId="25384" hidden="1"/>
    <cellStyle name="60% - 강조색3 4" xfId="25426" hidden="1"/>
    <cellStyle name="60% - 강조색3 4" xfId="25468" hidden="1"/>
    <cellStyle name="60% - 강조색3 4" xfId="25510" hidden="1"/>
    <cellStyle name="60% - 강조색3 4" xfId="25552" hidden="1"/>
    <cellStyle name="60% - 강조색3 4" xfId="25048" hidden="1"/>
    <cellStyle name="60% - 강조색3 4" xfId="25731" hidden="1"/>
    <cellStyle name="60% - 강조색3 4" xfId="25771" hidden="1"/>
    <cellStyle name="60% - 강조색3 4" xfId="25811" hidden="1"/>
    <cellStyle name="60% - 강조색3 4" xfId="25851" hidden="1"/>
    <cellStyle name="60% - 강조색3 4" xfId="25891" hidden="1"/>
    <cellStyle name="60% - 강조색3 4" xfId="25931" hidden="1"/>
    <cellStyle name="60% - 강조색3 4" xfId="25971" hidden="1"/>
    <cellStyle name="60% - 강조색3 4" xfId="26011" hidden="1"/>
    <cellStyle name="60% - 강조색3 4" xfId="26051" hidden="1"/>
    <cellStyle name="60% - 강조색3 4" xfId="26091" hidden="1"/>
    <cellStyle name="60% - 강조색3 4" xfId="26131" hidden="1"/>
    <cellStyle name="60% - 강조색3 4" xfId="26171" hidden="1"/>
    <cellStyle name="60% - 강조색3 4" xfId="25619" hidden="1"/>
    <cellStyle name="60% - 강조색3 4" xfId="25581" hidden="1"/>
    <cellStyle name="60% - 강조색3 4" xfId="26213" hidden="1"/>
    <cellStyle name="60% - 강조색3 4" xfId="26255" hidden="1"/>
    <cellStyle name="60% - 강조색3 4" xfId="26297" hidden="1"/>
    <cellStyle name="60% - 강조색3 4" xfId="26339" hidden="1"/>
    <cellStyle name="60% - 강조색3 4" xfId="26381" hidden="1"/>
    <cellStyle name="60% - 강조색3 4" xfId="26423" hidden="1"/>
    <cellStyle name="60% - 강조색3 4" xfId="26465" hidden="1"/>
    <cellStyle name="60% - 강조색3 4" xfId="26507" hidden="1"/>
    <cellStyle name="60% - 강조색3 4" xfId="26549" hidden="1"/>
    <cellStyle name="60% - 강조색3 4" xfId="26591" hidden="1"/>
    <cellStyle name="60% - 강조색3 4" xfId="25672" hidden="1"/>
    <cellStyle name="60% - 강조색3 4" xfId="26619" hidden="1"/>
    <cellStyle name="60% - 강조색3 4" xfId="26659" hidden="1"/>
    <cellStyle name="60% - 강조색3 4" xfId="26699" hidden="1"/>
    <cellStyle name="60% - 강조색3 4" xfId="26739" hidden="1"/>
    <cellStyle name="60% - 강조색3 4" xfId="26779" hidden="1"/>
    <cellStyle name="60% - 강조색3 4" xfId="26819" hidden="1"/>
    <cellStyle name="60% - 강조색3 4" xfId="26859" hidden="1"/>
    <cellStyle name="60% - 강조색3 4" xfId="26899" hidden="1"/>
    <cellStyle name="60% - 강조색3 4" xfId="26939" hidden="1"/>
    <cellStyle name="60% - 강조색3 4" xfId="26979" hidden="1"/>
    <cellStyle name="60% - 강조색3 4" xfId="27019" hidden="1"/>
    <cellStyle name="60% - 강조색3 4" xfId="27059" hidden="1"/>
    <cellStyle name="60% - 강조색3 4" xfId="24489" hidden="1"/>
    <cellStyle name="60% - 강조색3 4" xfId="27110" hidden="1"/>
    <cellStyle name="60% - 강조색3 4" xfId="27150" hidden="1"/>
    <cellStyle name="60% - 강조색3 4" xfId="27190" hidden="1"/>
    <cellStyle name="60% - 강조색3 4" xfId="27230" hidden="1"/>
    <cellStyle name="60% - 강조색3 4" xfId="27270" hidden="1"/>
    <cellStyle name="60% - 강조색3 4" xfId="27310" hidden="1"/>
    <cellStyle name="60% - 강조색3 4" xfId="27350" hidden="1"/>
    <cellStyle name="60% - 강조색3 4" xfId="27390" hidden="1"/>
    <cellStyle name="60% - 강조색3 4" xfId="27430" hidden="1"/>
    <cellStyle name="60% - 강조색3 4" xfId="27470" hidden="1"/>
    <cellStyle name="60% - 강조색3 4" xfId="27510" hidden="1"/>
    <cellStyle name="60% - 강조색3 4" xfId="27594" hidden="1"/>
    <cellStyle name="60% - 강조색3 4" xfId="27635" hidden="1"/>
    <cellStyle name="60% - 강조색3 4" xfId="27677" hidden="1"/>
    <cellStyle name="60% - 강조색3 4" xfId="27719" hidden="1"/>
    <cellStyle name="60% - 강조색3 4" xfId="27761" hidden="1"/>
    <cellStyle name="60% - 강조색3 4" xfId="27803" hidden="1"/>
    <cellStyle name="60% - 강조색3 4" xfId="27845" hidden="1"/>
    <cellStyle name="60% - 강조색3 4" xfId="27887" hidden="1"/>
    <cellStyle name="60% - 강조색3 4" xfId="27929" hidden="1"/>
    <cellStyle name="60% - 강조색3 4" xfId="27971" hidden="1"/>
    <cellStyle name="60% - 강조색3 4" xfId="28013" hidden="1"/>
    <cellStyle name="60% - 강조색3 4" xfId="28055" hidden="1"/>
    <cellStyle name="60% - 강조색3 4" xfId="27551" hidden="1"/>
    <cellStyle name="60% - 강조색3 4" xfId="28234" hidden="1"/>
    <cellStyle name="60% - 강조색3 4" xfId="28274" hidden="1"/>
    <cellStyle name="60% - 강조색3 4" xfId="28314" hidden="1"/>
    <cellStyle name="60% - 강조색3 4" xfId="28354" hidden="1"/>
    <cellStyle name="60% - 강조색3 4" xfId="28394" hidden="1"/>
    <cellStyle name="60% - 강조색3 4" xfId="28434" hidden="1"/>
    <cellStyle name="60% - 강조색3 4" xfId="28474" hidden="1"/>
    <cellStyle name="60% - 강조색3 4" xfId="28514" hidden="1"/>
    <cellStyle name="60% - 강조색3 4" xfId="28554" hidden="1"/>
    <cellStyle name="60% - 강조색3 4" xfId="28594" hidden="1"/>
    <cellStyle name="60% - 강조색3 4" xfId="28634" hidden="1"/>
    <cellStyle name="60% - 강조색3 4" xfId="28674" hidden="1"/>
    <cellStyle name="60% - 강조색3 4" xfId="28122" hidden="1"/>
    <cellStyle name="60% - 강조색3 4" xfId="28084" hidden="1"/>
    <cellStyle name="60% - 강조색3 4" xfId="28716" hidden="1"/>
    <cellStyle name="60% - 강조색3 4" xfId="28758" hidden="1"/>
    <cellStyle name="60% - 강조색3 4" xfId="28800" hidden="1"/>
    <cellStyle name="60% - 강조색3 4" xfId="28842" hidden="1"/>
    <cellStyle name="60% - 강조색3 4" xfId="28884" hidden="1"/>
    <cellStyle name="60% - 강조색3 4" xfId="28926" hidden="1"/>
    <cellStyle name="60% - 강조색3 4" xfId="28968" hidden="1"/>
    <cellStyle name="60% - 강조색3 4" xfId="29010" hidden="1"/>
    <cellStyle name="60% - 강조색3 4" xfId="29052" hidden="1"/>
    <cellStyle name="60% - 강조색3 4" xfId="29094" hidden="1"/>
    <cellStyle name="60% - 강조색3 4" xfId="28175" hidden="1"/>
    <cellStyle name="60% - 강조색3 4" xfId="29122" hidden="1"/>
    <cellStyle name="60% - 강조색3 4" xfId="29162" hidden="1"/>
    <cellStyle name="60% - 강조색3 4" xfId="29202" hidden="1"/>
    <cellStyle name="60% - 강조색3 4" xfId="29242" hidden="1"/>
    <cellStyle name="60% - 강조색3 4" xfId="29282" hidden="1"/>
    <cellStyle name="60% - 강조색3 4" xfId="29322" hidden="1"/>
    <cellStyle name="60% - 강조색3 4" xfId="29362" hidden="1"/>
    <cellStyle name="60% - 강조색3 4" xfId="29402" hidden="1"/>
    <cellStyle name="60% - 강조색3 4" xfId="29442" hidden="1"/>
    <cellStyle name="60% - 강조색3 4" xfId="29482" hidden="1"/>
    <cellStyle name="60% - 강조색3 4" xfId="29522" hidden="1"/>
    <cellStyle name="60% - 강조색3 4" xfId="29562" hidden="1"/>
    <cellStyle name="60% - 강조색3 4" xfId="24533" hidden="1"/>
    <cellStyle name="60% - 강조색3 4" xfId="29612" hidden="1"/>
    <cellStyle name="60% - 강조색3 4" xfId="29652" hidden="1"/>
    <cellStyle name="60% - 강조색3 4" xfId="29692" hidden="1"/>
    <cellStyle name="60% - 강조색3 4" xfId="29732" hidden="1"/>
    <cellStyle name="60% - 강조색3 4" xfId="29772" hidden="1"/>
    <cellStyle name="60% - 강조색3 4" xfId="29812" hidden="1"/>
    <cellStyle name="60% - 강조색3 4" xfId="29852" hidden="1"/>
    <cellStyle name="60% - 강조색3 4" xfId="29892" hidden="1"/>
    <cellStyle name="60% - 강조색3 4" xfId="29932" hidden="1"/>
    <cellStyle name="60% - 강조색3 4" xfId="29972" hidden="1"/>
    <cellStyle name="60% - 강조색3 4" xfId="30012" hidden="1"/>
    <cellStyle name="60% - 강조색3 4" xfId="30096" hidden="1"/>
    <cellStyle name="60% - 강조색3 4" xfId="30137" hidden="1"/>
    <cellStyle name="60% - 강조색3 4" xfId="30179" hidden="1"/>
    <cellStyle name="60% - 강조색3 4" xfId="30221" hidden="1"/>
    <cellStyle name="60% - 강조색3 4" xfId="30263" hidden="1"/>
    <cellStyle name="60% - 강조색3 4" xfId="30305" hidden="1"/>
    <cellStyle name="60% - 강조색3 4" xfId="30347" hidden="1"/>
    <cellStyle name="60% - 강조색3 4" xfId="30389" hidden="1"/>
    <cellStyle name="60% - 강조색3 4" xfId="30431" hidden="1"/>
    <cellStyle name="60% - 강조색3 4" xfId="30473" hidden="1"/>
    <cellStyle name="60% - 강조색3 4" xfId="30515" hidden="1"/>
    <cellStyle name="60% - 강조색3 4" xfId="30557" hidden="1"/>
    <cellStyle name="60% - 강조색3 4" xfId="30053" hidden="1"/>
    <cellStyle name="60% - 강조색3 4" xfId="30736" hidden="1"/>
    <cellStyle name="60% - 강조색3 4" xfId="30776" hidden="1"/>
    <cellStyle name="60% - 강조색3 4" xfId="30816" hidden="1"/>
    <cellStyle name="60% - 강조색3 4" xfId="30856" hidden="1"/>
    <cellStyle name="60% - 강조색3 4" xfId="30896" hidden="1"/>
    <cellStyle name="60% - 강조색3 4" xfId="30936" hidden="1"/>
    <cellStyle name="60% - 강조색3 4" xfId="30976" hidden="1"/>
    <cellStyle name="60% - 강조색3 4" xfId="31016" hidden="1"/>
    <cellStyle name="60% - 강조색3 4" xfId="31056" hidden="1"/>
    <cellStyle name="60% - 강조색3 4" xfId="31096" hidden="1"/>
    <cellStyle name="60% - 강조색3 4" xfId="31136" hidden="1"/>
    <cellStyle name="60% - 강조색3 4" xfId="31176" hidden="1"/>
    <cellStyle name="60% - 강조색3 4" xfId="30624" hidden="1"/>
    <cellStyle name="60% - 강조색3 4" xfId="30586" hidden="1"/>
    <cellStyle name="60% - 강조색3 4" xfId="31218" hidden="1"/>
    <cellStyle name="60% - 강조색3 4" xfId="31260" hidden="1"/>
    <cellStyle name="60% - 강조색3 4" xfId="31302" hidden="1"/>
    <cellStyle name="60% - 강조색3 4" xfId="31344" hidden="1"/>
    <cellStyle name="60% - 강조색3 4" xfId="31386" hidden="1"/>
    <cellStyle name="60% - 강조색3 4" xfId="31428" hidden="1"/>
    <cellStyle name="60% - 강조색3 4" xfId="31470" hidden="1"/>
    <cellStyle name="60% - 강조색3 4" xfId="31512" hidden="1"/>
    <cellStyle name="60% - 강조색3 4" xfId="31554" hidden="1"/>
    <cellStyle name="60% - 강조색3 4" xfId="31596" hidden="1"/>
    <cellStyle name="60% - 강조색3 4" xfId="30677" hidden="1"/>
    <cellStyle name="60% - 강조색3 4" xfId="31624" hidden="1"/>
    <cellStyle name="60% - 강조색3 4" xfId="31664" hidden="1"/>
    <cellStyle name="60% - 강조색3 4" xfId="31704" hidden="1"/>
    <cellStyle name="60% - 강조색3 4" xfId="31744" hidden="1"/>
    <cellStyle name="60% - 강조색3 4" xfId="31784" hidden="1"/>
    <cellStyle name="60% - 강조색3 4" xfId="31824" hidden="1"/>
    <cellStyle name="60% - 강조색3 4" xfId="31864" hidden="1"/>
    <cellStyle name="60% - 강조색3 4" xfId="31904" hidden="1"/>
    <cellStyle name="60% - 강조색3 4" xfId="31944" hidden="1"/>
    <cellStyle name="60% - 강조색3 4" xfId="31984" hidden="1"/>
    <cellStyle name="60% - 강조색3 4" xfId="32024" hidden="1"/>
    <cellStyle name="60% - 강조색3 4" xfId="32064" hidden="1"/>
    <cellStyle name="60% - 강조색3 4" xfId="32126" hidden="1"/>
    <cellStyle name="60% - 강조색3 4" xfId="32166" hidden="1"/>
    <cellStyle name="60% - 강조색3 4" xfId="32206" hidden="1"/>
    <cellStyle name="60% - 강조색3 4" xfId="32246" hidden="1"/>
    <cellStyle name="60% - 강조색3 4" xfId="32286" hidden="1"/>
    <cellStyle name="60% - 강조색3 4" xfId="32326" hidden="1"/>
    <cellStyle name="60% - 강조색3 4" xfId="32366" hidden="1"/>
    <cellStyle name="60% - 강조색3 4" xfId="32406" hidden="1"/>
    <cellStyle name="60% - 강조색3 4" xfId="32446" hidden="1"/>
    <cellStyle name="60% - 강조색3 4" xfId="32486" hidden="1"/>
    <cellStyle name="60% - 강조색3 4" xfId="32526" hidden="1"/>
    <cellStyle name="60% - 강조색3 4" xfId="32566" hidden="1"/>
    <cellStyle name="60% - 강조색3 4" xfId="32651" hidden="1"/>
    <cellStyle name="60% - 강조색3 4" xfId="32692" hidden="1"/>
    <cellStyle name="60% - 강조색3 4" xfId="32734" hidden="1"/>
    <cellStyle name="60% - 강조색3 4" xfId="32776" hidden="1"/>
    <cellStyle name="60% - 강조색3 4" xfId="32818" hidden="1"/>
    <cellStyle name="60% - 강조색3 4" xfId="32860" hidden="1"/>
    <cellStyle name="60% - 강조색3 4" xfId="32902" hidden="1"/>
    <cellStyle name="60% - 강조색3 4" xfId="32944" hidden="1"/>
    <cellStyle name="60% - 강조색3 4" xfId="32986" hidden="1"/>
    <cellStyle name="60% - 강조색3 4" xfId="33028" hidden="1"/>
    <cellStyle name="60% - 강조색3 4" xfId="33070" hidden="1"/>
    <cellStyle name="60% - 강조색3 4" xfId="33112" hidden="1"/>
    <cellStyle name="60% - 강조색3 4" xfId="32608" hidden="1"/>
    <cellStyle name="60% - 강조색3 4" xfId="33291" hidden="1"/>
    <cellStyle name="60% - 강조색3 4" xfId="33331" hidden="1"/>
    <cellStyle name="60% - 강조색3 4" xfId="33371" hidden="1"/>
    <cellStyle name="60% - 강조색3 4" xfId="33411" hidden="1"/>
    <cellStyle name="60% - 강조색3 4" xfId="33451" hidden="1"/>
    <cellStyle name="60% - 강조색3 4" xfId="33491" hidden="1"/>
    <cellStyle name="60% - 강조색3 4" xfId="33531" hidden="1"/>
    <cellStyle name="60% - 강조색3 4" xfId="33571" hidden="1"/>
    <cellStyle name="60% - 강조색3 4" xfId="33611" hidden="1"/>
    <cellStyle name="60% - 강조색3 4" xfId="33651" hidden="1"/>
    <cellStyle name="60% - 강조색3 4" xfId="33691" hidden="1"/>
    <cellStyle name="60% - 강조색3 4" xfId="33731" hidden="1"/>
    <cellStyle name="60% - 강조색3 4" xfId="33179" hidden="1"/>
    <cellStyle name="60% - 강조색3 4" xfId="33141" hidden="1"/>
    <cellStyle name="60% - 강조색3 4" xfId="33773" hidden="1"/>
    <cellStyle name="60% - 강조색3 4" xfId="33815" hidden="1"/>
    <cellStyle name="60% - 강조색3 4" xfId="33857" hidden="1"/>
    <cellStyle name="60% - 강조색3 4" xfId="33899" hidden="1"/>
    <cellStyle name="60% - 강조색3 4" xfId="33941" hidden="1"/>
    <cellStyle name="60% - 강조색3 4" xfId="33983" hidden="1"/>
    <cellStyle name="60% - 강조색3 4" xfId="34025" hidden="1"/>
    <cellStyle name="60% - 강조색3 4" xfId="34067" hidden="1"/>
    <cellStyle name="60% - 강조색3 4" xfId="34109" hidden="1"/>
    <cellStyle name="60% - 강조색3 4" xfId="34151" hidden="1"/>
    <cellStyle name="60% - 강조색3 4" xfId="33232" hidden="1"/>
    <cellStyle name="60% - 강조색3 4" xfId="34179" hidden="1"/>
    <cellStyle name="60% - 강조색3 4" xfId="34219" hidden="1"/>
    <cellStyle name="60% - 강조색3 4" xfId="34259" hidden="1"/>
    <cellStyle name="60% - 강조색3 4" xfId="34299" hidden="1"/>
    <cellStyle name="60% - 강조색3 4" xfId="34339" hidden="1"/>
    <cellStyle name="60% - 강조색3 4" xfId="34379" hidden="1"/>
    <cellStyle name="60% - 강조색3 4" xfId="34419" hidden="1"/>
    <cellStyle name="60% - 강조색3 4" xfId="34459" hidden="1"/>
    <cellStyle name="60% - 강조색3 4" xfId="34499" hidden="1"/>
    <cellStyle name="60% - 강조색3 4" xfId="34539" hidden="1"/>
    <cellStyle name="60% - 강조색3 4" xfId="34579" hidden="1"/>
    <cellStyle name="60% - 강조색3 4" xfId="34619" hidden="1"/>
    <cellStyle name="60% - 강조색3 4" xfId="34716" hidden="1"/>
    <cellStyle name="60% - 강조색3 4" xfId="34756" hidden="1"/>
    <cellStyle name="60% - 강조색3 4" xfId="34796" hidden="1"/>
    <cellStyle name="60% - 강조색3 4" xfId="34836" hidden="1"/>
    <cellStyle name="60% - 강조색3 4" xfId="34876" hidden="1"/>
    <cellStyle name="60% - 강조색3 4" xfId="34916" hidden="1"/>
    <cellStyle name="60% - 강조색3 4" xfId="34956" hidden="1"/>
    <cellStyle name="60% - 강조색3 4" xfId="34996" hidden="1"/>
    <cellStyle name="60% - 강조색3 4" xfId="35036" hidden="1"/>
    <cellStyle name="60% - 강조색3 4" xfId="35076" hidden="1"/>
    <cellStyle name="60% - 강조색3 4" xfId="35116" hidden="1"/>
    <cellStyle name="60% - 강조색3 4" xfId="35156" hidden="1"/>
    <cellStyle name="60% - 강조색3 4" xfId="35240" hidden="1"/>
    <cellStyle name="60% - 강조색3 4" xfId="35281" hidden="1"/>
    <cellStyle name="60% - 강조색3 4" xfId="35323" hidden="1"/>
    <cellStyle name="60% - 강조색3 4" xfId="35365" hidden="1"/>
    <cellStyle name="60% - 강조색3 4" xfId="35407" hidden="1"/>
    <cellStyle name="60% - 강조색3 4" xfId="35449" hidden="1"/>
    <cellStyle name="60% - 강조색3 4" xfId="35491" hidden="1"/>
    <cellStyle name="60% - 강조색3 4" xfId="35533" hidden="1"/>
    <cellStyle name="60% - 강조색3 4" xfId="35575" hidden="1"/>
    <cellStyle name="60% - 강조색3 4" xfId="35617" hidden="1"/>
    <cellStyle name="60% - 강조색3 4" xfId="35659" hidden="1"/>
    <cellStyle name="60% - 강조색3 4" xfId="35701" hidden="1"/>
    <cellStyle name="60% - 강조색3 4" xfId="35197" hidden="1"/>
    <cellStyle name="60% - 강조색3 4" xfId="35880" hidden="1"/>
    <cellStyle name="60% - 강조색3 4" xfId="35920" hidden="1"/>
    <cellStyle name="60% - 강조색3 4" xfId="35960" hidden="1"/>
    <cellStyle name="60% - 강조색3 4" xfId="36000" hidden="1"/>
    <cellStyle name="60% - 강조색3 4" xfId="36040" hidden="1"/>
    <cellStyle name="60% - 강조색3 4" xfId="36080" hidden="1"/>
    <cellStyle name="60% - 강조색3 4" xfId="36120" hidden="1"/>
    <cellStyle name="60% - 강조색3 4" xfId="36160" hidden="1"/>
    <cellStyle name="60% - 강조색3 4" xfId="36200" hidden="1"/>
    <cellStyle name="60% - 강조색3 4" xfId="36240" hidden="1"/>
    <cellStyle name="60% - 강조색3 4" xfId="36280" hidden="1"/>
    <cellStyle name="60% - 강조색3 4" xfId="36320" hidden="1"/>
    <cellStyle name="60% - 강조색3 4" xfId="35768" hidden="1"/>
    <cellStyle name="60% - 강조색3 4" xfId="35730" hidden="1"/>
    <cellStyle name="60% - 강조색3 4" xfId="36362" hidden="1"/>
    <cellStyle name="60% - 강조색3 4" xfId="36404" hidden="1"/>
    <cellStyle name="60% - 강조색3 4" xfId="36446" hidden="1"/>
    <cellStyle name="60% - 강조색3 4" xfId="36488" hidden="1"/>
    <cellStyle name="60% - 강조색3 4" xfId="36530" hidden="1"/>
    <cellStyle name="60% - 강조색3 4" xfId="36572" hidden="1"/>
    <cellStyle name="60% - 강조색3 4" xfId="36614" hidden="1"/>
    <cellStyle name="60% - 강조색3 4" xfId="36656" hidden="1"/>
    <cellStyle name="60% - 강조색3 4" xfId="36698" hidden="1"/>
    <cellStyle name="60% - 강조색3 4" xfId="36740" hidden="1"/>
    <cellStyle name="60% - 강조색3 4" xfId="35821" hidden="1"/>
    <cellStyle name="60% - 강조색3 4" xfId="36768" hidden="1"/>
    <cellStyle name="60% - 강조색3 4" xfId="36808" hidden="1"/>
    <cellStyle name="60% - 강조색3 4" xfId="36848" hidden="1"/>
    <cellStyle name="60% - 강조색3 4" xfId="36888" hidden="1"/>
    <cellStyle name="60% - 강조색3 4" xfId="36928" hidden="1"/>
    <cellStyle name="60% - 강조색3 4" xfId="36968" hidden="1"/>
    <cellStyle name="60% - 강조색3 4" xfId="37008" hidden="1"/>
    <cellStyle name="60% - 강조색3 4" xfId="37048" hidden="1"/>
    <cellStyle name="60% - 강조색3 4" xfId="37088" hidden="1"/>
    <cellStyle name="60% - 강조색3 4" xfId="37128" hidden="1"/>
    <cellStyle name="60% - 강조색3 4" xfId="37168" hidden="1"/>
    <cellStyle name="60% - 강조색3 4" xfId="37208" hidden="1"/>
    <cellStyle name="60% - 강조색3 4" xfId="34641" hidden="1"/>
    <cellStyle name="60% - 강조색3 4" xfId="37259" hidden="1"/>
    <cellStyle name="60% - 강조색3 4" xfId="37300" hidden="1"/>
    <cellStyle name="60% - 강조색3 4" xfId="37340" hidden="1"/>
    <cellStyle name="60% - 강조색3 4" xfId="37380" hidden="1"/>
    <cellStyle name="60% - 강조색3 4" xfId="37420" hidden="1"/>
    <cellStyle name="60% - 강조색3 4" xfId="37460" hidden="1"/>
    <cellStyle name="60% - 강조색3 4" xfId="37500" hidden="1"/>
    <cellStyle name="60% - 강조색3 4" xfId="37540" hidden="1"/>
    <cellStyle name="60% - 강조색3 4" xfId="37580" hidden="1"/>
    <cellStyle name="60% - 강조색3 4" xfId="37620" hidden="1"/>
    <cellStyle name="60% - 강조색3 4" xfId="37660" hidden="1"/>
    <cellStyle name="60% - 강조색3 4" xfId="37744" hidden="1"/>
    <cellStyle name="60% - 강조색3 4" xfId="37785" hidden="1"/>
    <cellStyle name="60% - 강조색3 4" xfId="37827" hidden="1"/>
    <cellStyle name="60% - 강조색3 4" xfId="37869" hidden="1"/>
    <cellStyle name="60% - 강조색3 4" xfId="37911" hidden="1"/>
    <cellStyle name="60% - 강조색3 4" xfId="37953" hidden="1"/>
    <cellStyle name="60% - 강조색3 4" xfId="37995" hidden="1"/>
    <cellStyle name="60% - 강조색3 4" xfId="38037" hidden="1"/>
    <cellStyle name="60% - 강조색3 4" xfId="38079" hidden="1"/>
    <cellStyle name="60% - 강조색3 4" xfId="38121" hidden="1"/>
    <cellStyle name="60% - 강조색3 4" xfId="38163" hidden="1"/>
    <cellStyle name="60% - 강조색3 4" xfId="38205" hidden="1"/>
    <cellStyle name="60% - 강조색3 4" xfId="37701" hidden="1"/>
    <cellStyle name="60% - 강조색3 4" xfId="38384" hidden="1"/>
    <cellStyle name="60% - 강조색3 4" xfId="38424" hidden="1"/>
    <cellStyle name="60% - 강조색3 4" xfId="38464" hidden="1"/>
    <cellStyle name="60% - 강조색3 4" xfId="38504" hidden="1"/>
    <cellStyle name="60% - 강조색3 4" xfId="38544" hidden="1"/>
    <cellStyle name="60% - 강조색3 4" xfId="38584" hidden="1"/>
    <cellStyle name="60% - 강조색3 4" xfId="38624" hidden="1"/>
    <cellStyle name="60% - 강조색3 4" xfId="38664" hidden="1"/>
    <cellStyle name="60% - 강조색3 4" xfId="38704" hidden="1"/>
    <cellStyle name="60% - 강조색3 4" xfId="38744" hidden="1"/>
    <cellStyle name="60% - 강조색3 4" xfId="38784" hidden="1"/>
    <cellStyle name="60% - 강조색3 4" xfId="38824" hidden="1"/>
    <cellStyle name="60% - 강조색3 4" xfId="38272" hidden="1"/>
    <cellStyle name="60% - 강조색3 4" xfId="38234" hidden="1"/>
    <cellStyle name="60% - 강조색3 4" xfId="38866" hidden="1"/>
    <cellStyle name="60% - 강조색3 4" xfId="38908" hidden="1"/>
    <cellStyle name="60% - 강조색3 4" xfId="38950" hidden="1"/>
    <cellStyle name="60% - 강조색3 4" xfId="38992" hidden="1"/>
    <cellStyle name="60% - 강조색3 4" xfId="39034" hidden="1"/>
    <cellStyle name="60% - 강조색3 4" xfId="39076" hidden="1"/>
    <cellStyle name="60% - 강조색3 4" xfId="39118" hidden="1"/>
    <cellStyle name="60% - 강조색3 4" xfId="39160" hidden="1"/>
    <cellStyle name="60% - 강조색3 4" xfId="39202" hidden="1"/>
    <cellStyle name="60% - 강조색3 4" xfId="39244" hidden="1"/>
    <cellStyle name="60% - 강조색3 4" xfId="38325" hidden="1"/>
    <cellStyle name="60% - 강조색3 4" xfId="39272" hidden="1"/>
    <cellStyle name="60% - 강조색3 4" xfId="39312" hidden="1"/>
    <cellStyle name="60% - 강조색3 4" xfId="39352" hidden="1"/>
    <cellStyle name="60% - 강조색3 4" xfId="39392" hidden="1"/>
    <cellStyle name="60% - 강조색3 4" xfId="39432" hidden="1"/>
    <cellStyle name="60% - 강조색3 4" xfId="39472" hidden="1"/>
    <cellStyle name="60% - 강조색3 4" xfId="39512" hidden="1"/>
    <cellStyle name="60% - 강조색3 4" xfId="39552" hidden="1"/>
    <cellStyle name="60% - 강조색3 4" xfId="39592" hidden="1"/>
    <cellStyle name="60% - 강조색3 4" xfId="39632" hidden="1"/>
    <cellStyle name="60% - 강조색3 4" xfId="39672" hidden="1"/>
    <cellStyle name="60% - 강조색3 4" xfId="39712" hidden="1"/>
    <cellStyle name="60% - 강조색3 4" xfId="34685" hidden="1"/>
    <cellStyle name="60% - 강조색3 4" xfId="39762" hidden="1"/>
    <cellStyle name="60% - 강조색3 4" xfId="39802" hidden="1"/>
    <cellStyle name="60% - 강조색3 4" xfId="39842" hidden="1"/>
    <cellStyle name="60% - 강조색3 4" xfId="39882" hidden="1"/>
    <cellStyle name="60% - 강조색3 4" xfId="39922" hidden="1"/>
    <cellStyle name="60% - 강조색3 4" xfId="39962" hidden="1"/>
    <cellStyle name="60% - 강조색3 4" xfId="40002" hidden="1"/>
    <cellStyle name="60% - 강조색3 4" xfId="40042" hidden="1"/>
    <cellStyle name="60% - 강조색3 4" xfId="40082" hidden="1"/>
    <cellStyle name="60% - 강조색3 4" xfId="40122" hidden="1"/>
    <cellStyle name="60% - 강조색3 4" xfId="40162" hidden="1"/>
    <cellStyle name="60% - 강조색3 4" xfId="40246" hidden="1"/>
    <cellStyle name="60% - 강조색3 4" xfId="40287" hidden="1"/>
    <cellStyle name="60% - 강조색3 4" xfId="40329" hidden="1"/>
    <cellStyle name="60% - 강조색3 4" xfId="40371" hidden="1"/>
    <cellStyle name="60% - 강조색3 4" xfId="40413" hidden="1"/>
    <cellStyle name="60% - 강조색3 4" xfId="40455" hidden="1"/>
    <cellStyle name="60% - 강조색3 4" xfId="40497" hidden="1"/>
    <cellStyle name="60% - 강조색3 4" xfId="40539" hidden="1"/>
    <cellStyle name="60% - 강조색3 4" xfId="40581" hidden="1"/>
    <cellStyle name="60% - 강조색3 4" xfId="40623" hidden="1"/>
    <cellStyle name="60% - 강조색3 4" xfId="40665" hidden="1"/>
    <cellStyle name="60% - 강조색3 4" xfId="40707" hidden="1"/>
    <cellStyle name="60% - 강조색3 4" xfId="40203" hidden="1"/>
    <cellStyle name="60% - 강조색3 4" xfId="40886" hidden="1"/>
    <cellStyle name="60% - 강조색3 4" xfId="40926" hidden="1"/>
    <cellStyle name="60% - 강조색3 4" xfId="40966" hidden="1"/>
    <cellStyle name="60% - 강조색3 4" xfId="41006" hidden="1"/>
    <cellStyle name="60% - 강조색3 4" xfId="41046" hidden="1"/>
    <cellStyle name="60% - 강조색3 4" xfId="41086" hidden="1"/>
    <cellStyle name="60% - 강조색3 4" xfId="41126" hidden="1"/>
    <cellStyle name="60% - 강조색3 4" xfId="41166" hidden="1"/>
    <cellStyle name="60% - 강조색3 4" xfId="41206" hidden="1"/>
    <cellStyle name="60% - 강조색3 4" xfId="41246" hidden="1"/>
    <cellStyle name="60% - 강조색3 4" xfId="41286" hidden="1"/>
    <cellStyle name="60% - 강조색3 4" xfId="41326" hidden="1"/>
    <cellStyle name="60% - 강조색3 4" xfId="40774" hidden="1"/>
    <cellStyle name="60% - 강조색3 4" xfId="40736" hidden="1"/>
    <cellStyle name="60% - 강조색3 4" xfId="41368" hidden="1"/>
    <cellStyle name="60% - 강조색3 4" xfId="41410" hidden="1"/>
    <cellStyle name="60% - 강조색3 4" xfId="41452" hidden="1"/>
    <cellStyle name="60% - 강조색3 4" xfId="41494" hidden="1"/>
    <cellStyle name="60% - 강조색3 4" xfId="41536" hidden="1"/>
    <cellStyle name="60% - 강조색3 4" xfId="41578" hidden="1"/>
    <cellStyle name="60% - 강조색3 4" xfId="41620" hidden="1"/>
    <cellStyle name="60% - 강조색3 4" xfId="41662" hidden="1"/>
    <cellStyle name="60% - 강조색3 4" xfId="41704" hidden="1"/>
    <cellStyle name="60% - 강조색3 4" xfId="41746" hidden="1"/>
    <cellStyle name="60% - 강조색3 4" xfId="40827" hidden="1"/>
    <cellStyle name="60% - 강조색3 4" xfId="41774" hidden="1"/>
    <cellStyle name="60% - 강조색3 4" xfId="41814" hidden="1"/>
    <cellStyle name="60% - 강조색3 4" xfId="41854" hidden="1"/>
    <cellStyle name="60% - 강조색3 4" xfId="41894" hidden="1"/>
    <cellStyle name="60% - 강조색3 4" xfId="41934" hidden="1"/>
    <cellStyle name="60% - 강조색3 4" xfId="41974" hidden="1"/>
    <cellStyle name="60% - 강조색3 4" xfId="42014" hidden="1"/>
    <cellStyle name="60% - 강조색3 4" xfId="42054" hidden="1"/>
    <cellStyle name="60% - 강조색3 4" xfId="42094" hidden="1"/>
    <cellStyle name="60% - 강조색3 4" xfId="42134" hidden="1"/>
    <cellStyle name="60% - 강조색3 4" xfId="42174" hidden="1"/>
    <cellStyle name="60% - 강조색3 4" xfId="42214" hidden="1"/>
    <cellStyle name="60% - 강조색3 4" xfId="42257" hidden="1"/>
    <cellStyle name="60% - 강조색3 4" xfId="42297" hidden="1"/>
    <cellStyle name="60% - 강조색3 4" xfId="42337" hidden="1"/>
    <cellStyle name="60% - 강조색3 4" xfId="42377" hidden="1"/>
    <cellStyle name="60% - 강조색3 4" xfId="42417" hidden="1"/>
    <cellStyle name="60% - 강조색3 4" xfId="42457" hidden="1"/>
    <cellStyle name="60% - 강조색3 4" xfId="42497" hidden="1"/>
    <cellStyle name="60% - 강조색3 4" xfId="42537" hidden="1"/>
    <cellStyle name="60% - 강조색3 4" xfId="42577" hidden="1"/>
    <cellStyle name="60% - 강조색3 4" xfId="42617" hidden="1"/>
    <cellStyle name="60% - 강조색3 4" xfId="42657" hidden="1"/>
    <cellStyle name="60% - 강조색3 4" xfId="42697" hidden="1"/>
    <cellStyle name="60% - 강조색3 4" xfId="42781" hidden="1"/>
    <cellStyle name="60% - 강조색3 4" xfId="42822" hidden="1"/>
    <cellStyle name="60% - 강조색3 4" xfId="42864" hidden="1"/>
    <cellStyle name="60% - 강조색3 4" xfId="42906" hidden="1"/>
    <cellStyle name="60% - 강조색3 4" xfId="42948" hidden="1"/>
    <cellStyle name="60% - 강조색3 4" xfId="42990" hidden="1"/>
    <cellStyle name="60% - 강조색3 4" xfId="43032" hidden="1"/>
    <cellStyle name="60% - 강조색3 4" xfId="43074" hidden="1"/>
    <cellStyle name="60% - 강조색3 4" xfId="43116" hidden="1"/>
    <cellStyle name="60% - 강조색3 4" xfId="43158" hidden="1"/>
    <cellStyle name="60% - 강조색3 4" xfId="43200" hidden="1"/>
    <cellStyle name="60% - 강조색3 4" xfId="43242" hidden="1"/>
    <cellStyle name="60% - 강조색3 4" xfId="42738" hidden="1"/>
    <cellStyle name="60% - 강조색3 4" xfId="43421" hidden="1"/>
    <cellStyle name="60% - 강조색3 4" xfId="43461" hidden="1"/>
    <cellStyle name="60% - 강조색3 4" xfId="43501" hidden="1"/>
    <cellStyle name="60% - 강조색3 4" xfId="43541" hidden="1"/>
    <cellStyle name="60% - 강조색3 4" xfId="43581" hidden="1"/>
    <cellStyle name="60% - 강조색3 4" xfId="43621" hidden="1"/>
    <cellStyle name="60% - 강조색3 4" xfId="43661" hidden="1"/>
    <cellStyle name="60% - 강조색3 4" xfId="43701" hidden="1"/>
    <cellStyle name="60% - 강조색3 4" xfId="43741" hidden="1"/>
    <cellStyle name="60% - 강조색3 4" xfId="43781" hidden="1"/>
    <cellStyle name="60% - 강조색3 4" xfId="43821" hidden="1"/>
    <cellStyle name="60% - 강조색3 4" xfId="43861" hidden="1"/>
    <cellStyle name="60% - 강조색3 4" xfId="43309" hidden="1"/>
    <cellStyle name="60% - 강조색3 4" xfId="43271" hidden="1"/>
    <cellStyle name="60% - 강조색3 4" xfId="43903" hidden="1"/>
    <cellStyle name="60% - 강조색3 4" xfId="43945" hidden="1"/>
    <cellStyle name="60% - 강조색3 4" xfId="43987" hidden="1"/>
    <cellStyle name="60% - 강조색3 4" xfId="44029" hidden="1"/>
    <cellStyle name="60% - 강조색3 4" xfId="44071" hidden="1"/>
    <cellStyle name="60% - 강조색3 4" xfId="44113" hidden="1"/>
    <cellStyle name="60% - 강조색3 4" xfId="44155" hidden="1"/>
    <cellStyle name="60% - 강조색3 4" xfId="44197" hidden="1"/>
    <cellStyle name="60% - 강조색3 4" xfId="44239" hidden="1"/>
    <cellStyle name="60% - 강조색3 4" xfId="44281" hidden="1"/>
    <cellStyle name="60% - 강조색3 4" xfId="43362" hidden="1"/>
    <cellStyle name="60% - 강조색3 4" xfId="44309" hidden="1"/>
    <cellStyle name="60% - 강조색3 4" xfId="44349" hidden="1"/>
    <cellStyle name="60% - 강조색3 4" xfId="44389" hidden="1"/>
    <cellStyle name="60% - 강조색3 4" xfId="44429" hidden="1"/>
    <cellStyle name="60% - 강조색3 4" xfId="44469" hidden="1"/>
    <cellStyle name="60% - 강조색3 4" xfId="44509" hidden="1"/>
    <cellStyle name="60% - 강조색3 4" xfId="44549" hidden="1"/>
    <cellStyle name="60% - 강조색3 4" xfId="44589" hidden="1"/>
    <cellStyle name="60% - 강조색3 4" xfId="44629" hidden="1"/>
    <cellStyle name="60% - 강조색3 4" xfId="44669" hidden="1"/>
    <cellStyle name="60% - 강조색3 4" xfId="44709" hidden="1"/>
    <cellStyle name="60% - 강조색3 4" xfId="44749" hidden="1"/>
    <cellStyle name="60% - 강조색3 4" xfId="44845" hidden="1"/>
    <cellStyle name="60% - 강조색3 4" xfId="44885" hidden="1"/>
    <cellStyle name="60% - 강조색3 4" xfId="44927" hidden="1"/>
    <cellStyle name="60% - 강조색3 4" xfId="44968" hidden="1"/>
    <cellStyle name="60% - 강조색3 4" xfId="45008" hidden="1"/>
    <cellStyle name="60% - 강조색3 4" xfId="45048" hidden="1"/>
    <cellStyle name="60% - 강조색3 4" xfId="45088" hidden="1"/>
    <cellStyle name="60% - 강조색3 4" xfId="45128" hidden="1"/>
    <cellStyle name="60% - 강조색3 4" xfId="45168" hidden="1"/>
    <cellStyle name="60% - 강조색3 4" xfId="45208" hidden="1"/>
    <cellStyle name="60% - 강조색3 4" xfId="45248" hidden="1"/>
    <cellStyle name="60% - 강조색3 4" xfId="45288" hidden="1"/>
    <cellStyle name="60% - 강조색3 4" xfId="45372" hidden="1"/>
    <cellStyle name="60% - 강조색3 4" xfId="45413" hidden="1"/>
    <cellStyle name="60% - 강조색3 4" xfId="45455" hidden="1"/>
    <cellStyle name="60% - 강조색3 4" xfId="45497" hidden="1"/>
    <cellStyle name="60% - 강조색3 4" xfId="45539" hidden="1"/>
    <cellStyle name="60% - 강조색3 4" xfId="45581" hidden="1"/>
    <cellStyle name="60% - 강조색3 4" xfId="45623" hidden="1"/>
    <cellStyle name="60% - 강조색3 4" xfId="45665" hidden="1"/>
    <cellStyle name="60% - 강조색3 4" xfId="45707" hidden="1"/>
    <cellStyle name="60% - 강조색3 4" xfId="45749" hidden="1"/>
    <cellStyle name="60% - 강조색3 4" xfId="45791" hidden="1"/>
    <cellStyle name="60% - 강조색3 4" xfId="45833" hidden="1"/>
    <cellStyle name="60% - 강조색3 4" xfId="45329" hidden="1"/>
    <cellStyle name="60% - 강조색3 4" xfId="46012" hidden="1"/>
    <cellStyle name="60% - 강조색3 4" xfId="46052" hidden="1"/>
    <cellStyle name="60% - 강조색3 4" xfId="46092" hidden="1"/>
    <cellStyle name="60% - 강조색3 4" xfId="46132" hidden="1"/>
    <cellStyle name="60% - 강조색3 4" xfId="46172" hidden="1"/>
    <cellStyle name="60% - 강조색3 4" xfId="46212" hidden="1"/>
    <cellStyle name="60% - 강조색3 4" xfId="46252" hidden="1"/>
    <cellStyle name="60% - 강조색3 4" xfId="46292" hidden="1"/>
    <cellStyle name="60% - 강조색3 4" xfId="46332" hidden="1"/>
    <cellStyle name="60% - 강조색3 4" xfId="46372" hidden="1"/>
    <cellStyle name="60% - 강조색3 4" xfId="46412" hidden="1"/>
    <cellStyle name="60% - 강조색3 4" xfId="46452" hidden="1"/>
    <cellStyle name="60% - 강조색3 4" xfId="45900" hidden="1"/>
    <cellStyle name="60% - 강조색3 4" xfId="45862" hidden="1"/>
    <cellStyle name="60% - 강조색3 4" xfId="46494" hidden="1"/>
    <cellStyle name="60% - 강조색3 4" xfId="46536" hidden="1"/>
    <cellStyle name="60% - 강조색3 4" xfId="46578" hidden="1"/>
    <cellStyle name="60% - 강조색3 4" xfId="46620" hidden="1"/>
    <cellStyle name="60% - 강조색3 4" xfId="46662" hidden="1"/>
    <cellStyle name="60% - 강조색3 4" xfId="46704" hidden="1"/>
    <cellStyle name="60% - 강조색3 4" xfId="46746" hidden="1"/>
    <cellStyle name="60% - 강조색3 4" xfId="46788" hidden="1"/>
    <cellStyle name="60% - 강조색3 4" xfId="46830" hidden="1"/>
    <cellStyle name="60% - 강조색3 4" xfId="46872" hidden="1"/>
    <cellStyle name="60% - 강조색3 4" xfId="45953" hidden="1"/>
    <cellStyle name="60% - 강조색3 4" xfId="46900" hidden="1"/>
    <cellStyle name="60% - 강조색3 4" xfId="46940" hidden="1"/>
    <cellStyle name="60% - 강조색3 4" xfId="46980" hidden="1"/>
    <cellStyle name="60% - 강조색3 4" xfId="47020" hidden="1"/>
    <cellStyle name="60% - 강조색3 4" xfId="47060" hidden="1"/>
    <cellStyle name="60% - 강조색3 4" xfId="47100" hidden="1"/>
    <cellStyle name="60% - 강조색3 4" xfId="47140" hidden="1"/>
    <cellStyle name="60% - 강조색3 4" xfId="47180" hidden="1"/>
    <cellStyle name="60% - 강조색3 4" xfId="47220" hidden="1"/>
    <cellStyle name="60% - 강조색3 4" xfId="47260" hidden="1"/>
    <cellStyle name="60% - 강조색3 4" xfId="47300" hidden="1"/>
    <cellStyle name="60% - 강조색3 4" xfId="47340" hidden="1"/>
    <cellStyle name="60% - 강조색3 4" xfId="44771" hidden="1"/>
    <cellStyle name="60% - 강조색3 4" xfId="47391" hidden="1"/>
    <cellStyle name="60% - 강조색3 4" xfId="47431" hidden="1"/>
    <cellStyle name="60% - 강조색3 4" xfId="47471" hidden="1"/>
    <cellStyle name="60% - 강조색3 4" xfId="47511" hidden="1"/>
    <cellStyle name="60% - 강조색3 4" xfId="47551" hidden="1"/>
    <cellStyle name="60% - 강조색3 4" xfId="47591" hidden="1"/>
    <cellStyle name="60% - 강조색3 4" xfId="47631" hidden="1"/>
    <cellStyle name="60% - 강조색3 4" xfId="47671" hidden="1"/>
    <cellStyle name="60% - 강조색3 4" xfId="47711" hidden="1"/>
    <cellStyle name="60% - 강조색3 4" xfId="47751" hidden="1"/>
    <cellStyle name="60% - 강조색3 4" xfId="47791" hidden="1"/>
    <cellStyle name="60% - 강조색3 4" xfId="47875" hidden="1"/>
    <cellStyle name="60% - 강조색3 4" xfId="47916" hidden="1"/>
    <cellStyle name="60% - 강조색3 4" xfId="47958" hidden="1"/>
    <cellStyle name="60% - 강조색3 4" xfId="48000" hidden="1"/>
    <cellStyle name="60% - 강조색3 4" xfId="48042" hidden="1"/>
    <cellStyle name="60% - 강조색3 4" xfId="48084" hidden="1"/>
    <cellStyle name="60% - 강조색3 4" xfId="48126" hidden="1"/>
    <cellStyle name="60% - 강조색3 4" xfId="48168" hidden="1"/>
    <cellStyle name="60% - 강조색3 4" xfId="48210" hidden="1"/>
    <cellStyle name="60% - 강조색3 4" xfId="48252" hidden="1"/>
    <cellStyle name="60% - 강조색3 4" xfId="48294" hidden="1"/>
    <cellStyle name="60% - 강조색3 4" xfId="48336" hidden="1"/>
    <cellStyle name="60% - 강조색3 4" xfId="47832" hidden="1"/>
    <cellStyle name="60% - 강조색3 4" xfId="48515" hidden="1"/>
    <cellStyle name="60% - 강조색3 4" xfId="48555" hidden="1"/>
    <cellStyle name="60% - 강조색3 4" xfId="48595" hidden="1"/>
    <cellStyle name="60% - 강조색3 4" xfId="48635" hidden="1"/>
    <cellStyle name="60% - 강조색3 4" xfId="48675" hidden="1"/>
    <cellStyle name="60% - 강조색3 4" xfId="48715" hidden="1"/>
    <cellStyle name="60% - 강조색3 4" xfId="48755" hidden="1"/>
    <cellStyle name="60% - 강조색3 4" xfId="48795" hidden="1"/>
    <cellStyle name="60% - 강조색3 4" xfId="48835" hidden="1"/>
    <cellStyle name="60% - 강조색3 4" xfId="48875" hidden="1"/>
    <cellStyle name="60% - 강조색3 4" xfId="48915" hidden="1"/>
    <cellStyle name="60% - 강조색3 4" xfId="48955" hidden="1"/>
    <cellStyle name="60% - 강조색3 4" xfId="48403" hidden="1"/>
    <cellStyle name="60% - 강조색3 4" xfId="48365" hidden="1"/>
    <cellStyle name="60% - 강조색3 4" xfId="48997" hidden="1"/>
    <cellStyle name="60% - 강조색3 4" xfId="49039" hidden="1"/>
    <cellStyle name="60% - 강조색3 4" xfId="49081" hidden="1"/>
    <cellStyle name="60% - 강조색3 4" xfId="49123" hidden="1"/>
    <cellStyle name="60% - 강조색3 4" xfId="49165" hidden="1"/>
    <cellStyle name="60% - 강조색3 4" xfId="49207" hidden="1"/>
    <cellStyle name="60% - 강조색3 4" xfId="49249" hidden="1"/>
    <cellStyle name="60% - 강조색3 4" xfId="49291" hidden="1"/>
    <cellStyle name="60% - 강조색3 4" xfId="49333" hidden="1"/>
    <cellStyle name="60% - 강조색3 4" xfId="49375" hidden="1"/>
    <cellStyle name="60% - 강조색3 4" xfId="48456" hidden="1"/>
    <cellStyle name="60% - 강조색3 4" xfId="49403" hidden="1"/>
    <cellStyle name="60% - 강조색3 4" xfId="49443" hidden="1"/>
    <cellStyle name="60% - 강조색3 4" xfId="49483" hidden="1"/>
    <cellStyle name="60% - 강조색3 4" xfId="49523" hidden="1"/>
    <cellStyle name="60% - 강조색3 4" xfId="49563" hidden="1"/>
    <cellStyle name="60% - 강조색3 4" xfId="49603" hidden="1"/>
    <cellStyle name="60% - 강조색3 4" xfId="49643" hidden="1"/>
    <cellStyle name="60% - 강조색3 4" xfId="49683" hidden="1"/>
    <cellStyle name="60% - 강조색3 4" xfId="49723" hidden="1"/>
    <cellStyle name="60% - 강조색3 4" xfId="49763" hidden="1"/>
    <cellStyle name="60% - 강조색3 4" xfId="49803" hidden="1"/>
    <cellStyle name="60% - 강조색3 4" xfId="49843" hidden="1"/>
    <cellStyle name="60% - 강조색3 4" xfId="44814" hidden="1"/>
    <cellStyle name="60% - 강조색3 4" xfId="49893" hidden="1"/>
    <cellStyle name="60% - 강조색3 4" xfId="49933" hidden="1"/>
    <cellStyle name="60% - 강조색3 4" xfId="49973" hidden="1"/>
    <cellStyle name="60% - 강조색3 4" xfId="50013" hidden="1"/>
    <cellStyle name="60% - 강조색3 4" xfId="50053" hidden="1"/>
    <cellStyle name="60% - 강조색3 4" xfId="50093" hidden="1"/>
    <cellStyle name="60% - 강조색3 4" xfId="50133" hidden="1"/>
    <cellStyle name="60% - 강조색3 4" xfId="50173" hidden="1"/>
    <cellStyle name="60% - 강조색3 4" xfId="50213" hidden="1"/>
    <cellStyle name="60% - 강조색3 4" xfId="50253" hidden="1"/>
    <cellStyle name="60% - 강조색3 4" xfId="50293" hidden="1"/>
    <cellStyle name="60% - 강조색3 4" xfId="50377" hidden="1"/>
    <cellStyle name="60% - 강조색3 4" xfId="50418" hidden="1"/>
    <cellStyle name="60% - 강조색3 4" xfId="50460" hidden="1"/>
    <cellStyle name="60% - 강조색3 4" xfId="50502" hidden="1"/>
    <cellStyle name="60% - 강조색3 4" xfId="50544" hidden="1"/>
    <cellStyle name="60% - 강조색3 4" xfId="50586" hidden="1"/>
    <cellStyle name="60% - 강조색3 4" xfId="50628" hidden="1"/>
    <cellStyle name="60% - 강조색3 4" xfId="50670" hidden="1"/>
    <cellStyle name="60% - 강조색3 4" xfId="50712" hidden="1"/>
    <cellStyle name="60% - 강조색3 4" xfId="50754" hidden="1"/>
    <cellStyle name="60% - 강조색3 4" xfId="50796" hidden="1"/>
    <cellStyle name="60% - 강조색3 4" xfId="50838" hidden="1"/>
    <cellStyle name="60% - 강조색3 4" xfId="50334" hidden="1"/>
    <cellStyle name="60% - 강조색3 4" xfId="51017" hidden="1"/>
    <cellStyle name="60% - 강조색3 4" xfId="51057" hidden="1"/>
    <cellStyle name="60% - 강조색3 4" xfId="51097" hidden="1"/>
    <cellStyle name="60% - 강조색3 4" xfId="51137" hidden="1"/>
    <cellStyle name="60% - 강조색3 4" xfId="51177" hidden="1"/>
    <cellStyle name="60% - 강조색3 4" xfId="51217" hidden="1"/>
    <cellStyle name="60% - 강조색3 4" xfId="51257" hidden="1"/>
    <cellStyle name="60% - 강조색3 4" xfId="51297" hidden="1"/>
    <cellStyle name="60% - 강조색3 4" xfId="51337" hidden="1"/>
    <cellStyle name="60% - 강조색3 4" xfId="51377" hidden="1"/>
    <cellStyle name="60% - 강조색3 4" xfId="51417" hidden="1"/>
    <cellStyle name="60% - 강조색3 4" xfId="51457" hidden="1"/>
    <cellStyle name="60% - 강조색3 4" xfId="50905" hidden="1"/>
    <cellStyle name="60% - 강조색3 4" xfId="50867" hidden="1"/>
    <cellStyle name="60% - 강조색3 4" xfId="51499" hidden="1"/>
    <cellStyle name="60% - 강조색3 4" xfId="51541" hidden="1"/>
    <cellStyle name="60% - 강조색3 4" xfId="51583" hidden="1"/>
    <cellStyle name="60% - 강조색3 4" xfId="51625" hidden="1"/>
    <cellStyle name="60% - 강조색3 4" xfId="51667" hidden="1"/>
    <cellStyle name="60% - 강조색3 4" xfId="51709" hidden="1"/>
    <cellStyle name="60% - 강조색3 4" xfId="51751" hidden="1"/>
    <cellStyle name="60% - 강조색3 4" xfId="51793" hidden="1"/>
    <cellStyle name="60% - 강조색3 4" xfId="51835" hidden="1"/>
    <cellStyle name="60% - 강조색3 4" xfId="51877" hidden="1"/>
    <cellStyle name="60% - 강조색3 4" xfId="50958" hidden="1"/>
    <cellStyle name="60% - 강조색3 4" xfId="51905" hidden="1"/>
    <cellStyle name="60% - 강조색3 4" xfId="51945" hidden="1"/>
    <cellStyle name="60% - 강조색3 4" xfId="51985" hidden="1"/>
    <cellStyle name="60% - 강조색3 4" xfId="52025" hidden="1"/>
    <cellStyle name="60% - 강조색3 4" xfId="52065" hidden="1"/>
    <cellStyle name="60% - 강조색3 4" xfId="52105" hidden="1"/>
    <cellStyle name="60% - 강조색3 4" xfId="52145" hidden="1"/>
    <cellStyle name="60% - 강조색3 4" xfId="52185" hidden="1"/>
    <cellStyle name="60% - 강조색3 4" xfId="52225" hidden="1"/>
    <cellStyle name="60% - 강조색3 4" xfId="52265" hidden="1"/>
    <cellStyle name="60% - 강조색3 4" xfId="52305" hidden="1"/>
    <cellStyle name="60% - 강조색3 4" xfId="52345" hidden="1"/>
    <cellStyle name="60% - 강조색3 4 2" xfId="3118"/>
    <cellStyle name="60% - 강조색3 4 3" xfId="3119"/>
    <cellStyle name="60% - 강조색3 4 4" xfId="3120"/>
    <cellStyle name="60% - 강조색3 4 5" xfId="3121"/>
    <cellStyle name="60% - 강조색3 40" xfId="3122"/>
    <cellStyle name="60% - 강조색3 41" xfId="3123"/>
    <cellStyle name="60% - 강조색3 42" xfId="3124"/>
    <cellStyle name="60% - 강조색3 43" xfId="3125"/>
    <cellStyle name="60% - 강조색3 44" xfId="3126"/>
    <cellStyle name="60% - 강조색3 45" xfId="3127"/>
    <cellStyle name="60% - 강조색3 46" xfId="3128"/>
    <cellStyle name="60% - 강조색3 47" xfId="3129"/>
    <cellStyle name="60% - 강조색3 48" xfId="3130"/>
    <cellStyle name="60% - 강조색3 49" xfId="3131"/>
    <cellStyle name="60% - 강조색3 5" xfId="3132"/>
    <cellStyle name="60% - 강조색3 50" xfId="3133"/>
    <cellStyle name="60% - 강조색3 51" xfId="3134"/>
    <cellStyle name="60% - 강조색3 52" xfId="3135"/>
    <cellStyle name="60% - 강조색3 6" xfId="3136"/>
    <cellStyle name="60% - 강조색3 7" xfId="3137"/>
    <cellStyle name="60% - 강조색3 8" xfId="3138"/>
    <cellStyle name="60% - 강조색3 9" xfId="3139"/>
    <cellStyle name="60% - 강조색4 10" xfId="3140"/>
    <cellStyle name="60% - 강조색4 11" xfId="3141"/>
    <cellStyle name="60% - 강조색4 12" xfId="3142"/>
    <cellStyle name="60% - 강조색4 13" xfId="3143"/>
    <cellStyle name="60% - 강조색4 14" xfId="3144"/>
    <cellStyle name="60% - 강조색4 15" xfId="3145"/>
    <cellStyle name="60% - 강조색4 16" xfId="3146"/>
    <cellStyle name="60% - 강조색4 17" xfId="3147"/>
    <cellStyle name="60% - 강조색4 18" xfId="3148"/>
    <cellStyle name="60% - 강조색4 19" xfId="3149"/>
    <cellStyle name="60% - 강조색4 2" xfId="140"/>
    <cellStyle name="60% - 강조색4 2 10" xfId="3150"/>
    <cellStyle name="60% - 강조색4 2 100" xfId="3151"/>
    <cellStyle name="60% - 강조색4 2 101" xfId="3152"/>
    <cellStyle name="60% - 강조색4 2 102" xfId="3153"/>
    <cellStyle name="60% - 강조색4 2 103" xfId="3154"/>
    <cellStyle name="60% - 강조색4 2 104" xfId="3155"/>
    <cellStyle name="60% - 강조색4 2 105" xfId="3156"/>
    <cellStyle name="60% - 강조색4 2 106" xfId="3157"/>
    <cellStyle name="60% - 강조색4 2 107" xfId="3158"/>
    <cellStyle name="60% - 강조색4 2 108" xfId="3159"/>
    <cellStyle name="60% - 강조색4 2 109" xfId="3160"/>
    <cellStyle name="60% - 강조색4 2 11" xfId="3161"/>
    <cellStyle name="60% - 강조색4 2 110" xfId="3162"/>
    <cellStyle name="60% - 강조색4 2 111" xfId="3163"/>
    <cellStyle name="60% - 강조색4 2 112" xfId="3164"/>
    <cellStyle name="60% - 강조색4 2 12" xfId="3165"/>
    <cellStyle name="60% - 강조색4 2 13" xfId="3166"/>
    <cellStyle name="60% - 강조색4 2 14" xfId="3167"/>
    <cellStyle name="60% - 강조색4 2 15" xfId="3168"/>
    <cellStyle name="60% - 강조색4 2 16" xfId="3169"/>
    <cellStyle name="60% - 강조색4 2 17" xfId="3170"/>
    <cellStyle name="60% - 강조색4 2 18" xfId="3171"/>
    <cellStyle name="60% - 강조색4 2 19" xfId="3172"/>
    <cellStyle name="60% - 강조색4 2 2" xfId="3173"/>
    <cellStyle name="60% - 강조색4 2 2 2" xfId="3174"/>
    <cellStyle name="60% - 강조색4 2 2 3" xfId="3175"/>
    <cellStyle name="60% - 강조색4 2 2 4" xfId="3176"/>
    <cellStyle name="60% - 강조색4 2 2 5" xfId="3177"/>
    <cellStyle name="60% - 강조색4 2 20" xfId="3178"/>
    <cellStyle name="60% - 강조색4 2 21" xfId="3179"/>
    <cellStyle name="60% - 강조색4 2 22" xfId="3180"/>
    <cellStyle name="60% - 강조색4 2 23" xfId="3181"/>
    <cellStyle name="60% - 강조색4 2 24" xfId="3182"/>
    <cellStyle name="60% - 강조색4 2 25" xfId="3183"/>
    <cellStyle name="60% - 강조색4 2 26" xfId="3184"/>
    <cellStyle name="60% - 강조색4 2 27" xfId="3185"/>
    <cellStyle name="60% - 강조색4 2 28" xfId="3186"/>
    <cellStyle name="60% - 강조색4 2 29" xfId="3187"/>
    <cellStyle name="60% - 강조색4 2 3" xfId="3188"/>
    <cellStyle name="60% - 강조색4 2 30" xfId="3189"/>
    <cellStyle name="60% - 강조색4 2 31" xfId="3190"/>
    <cellStyle name="60% - 강조색4 2 32" xfId="3191"/>
    <cellStyle name="60% - 강조색4 2 33" xfId="3192"/>
    <cellStyle name="60% - 강조색4 2 34" xfId="3193"/>
    <cellStyle name="60% - 강조색4 2 35" xfId="3194"/>
    <cellStyle name="60% - 강조색4 2 36" xfId="3195"/>
    <cellStyle name="60% - 강조색4 2 37" xfId="3196"/>
    <cellStyle name="60% - 강조색4 2 38" xfId="3197"/>
    <cellStyle name="60% - 강조색4 2 39" xfId="3198"/>
    <cellStyle name="60% - 강조색4 2 4" xfId="3199"/>
    <cellStyle name="60% - 강조색4 2 40" xfId="3200"/>
    <cellStyle name="60% - 강조색4 2 41" xfId="3201"/>
    <cellStyle name="60% - 강조색4 2 42" xfId="3202"/>
    <cellStyle name="60% - 강조색4 2 43" xfId="3203"/>
    <cellStyle name="60% - 강조색4 2 44" xfId="3204"/>
    <cellStyle name="60% - 강조색4 2 45" xfId="3205"/>
    <cellStyle name="60% - 강조색4 2 46" xfId="3206"/>
    <cellStyle name="60% - 강조색4 2 47" xfId="3207"/>
    <cellStyle name="60% - 강조색4 2 48" xfId="3208"/>
    <cellStyle name="60% - 강조색4 2 49" xfId="3209"/>
    <cellStyle name="60% - 강조색4 2 5" xfId="3210"/>
    <cellStyle name="60% - 강조색4 2 50" xfId="3211"/>
    <cellStyle name="60% - 강조색4 2 51" xfId="3212"/>
    <cellStyle name="60% - 강조색4 2 52" xfId="3213"/>
    <cellStyle name="60% - 강조색4 2 53" xfId="3214"/>
    <cellStyle name="60% - 강조색4 2 54" xfId="3215"/>
    <cellStyle name="60% - 강조색4 2 55" xfId="3216"/>
    <cellStyle name="60% - 강조색4 2 56" xfId="3217"/>
    <cellStyle name="60% - 강조색4 2 57" xfId="3218"/>
    <cellStyle name="60% - 강조색4 2 58" xfId="3219"/>
    <cellStyle name="60% - 강조색4 2 59" xfId="3220"/>
    <cellStyle name="60% - 강조색4 2 6" xfId="3221"/>
    <cellStyle name="60% - 강조색4 2 60" xfId="3222"/>
    <cellStyle name="60% - 강조색4 2 61" xfId="3223"/>
    <cellStyle name="60% - 강조색4 2 62" xfId="3224"/>
    <cellStyle name="60% - 강조색4 2 63" xfId="3225"/>
    <cellStyle name="60% - 강조색4 2 64" xfId="3226"/>
    <cellStyle name="60% - 강조색4 2 65" xfId="3227"/>
    <cellStyle name="60% - 강조색4 2 66" xfId="3228"/>
    <cellStyle name="60% - 강조색4 2 67" xfId="3229"/>
    <cellStyle name="60% - 강조색4 2 68" xfId="3230"/>
    <cellStyle name="60% - 강조색4 2 69" xfId="3231"/>
    <cellStyle name="60% - 강조색4 2 7" xfId="3232"/>
    <cellStyle name="60% - 강조색4 2 70" xfId="3233"/>
    <cellStyle name="60% - 강조색4 2 71" xfId="3234"/>
    <cellStyle name="60% - 강조색4 2 72" xfId="3235"/>
    <cellStyle name="60% - 강조색4 2 73" xfId="3236"/>
    <cellStyle name="60% - 강조색4 2 74" xfId="3237"/>
    <cellStyle name="60% - 강조색4 2 75" xfId="3238"/>
    <cellStyle name="60% - 강조색4 2 76" xfId="3239"/>
    <cellStyle name="60% - 강조색4 2 77" xfId="3240"/>
    <cellStyle name="60% - 강조색4 2 78" xfId="3241"/>
    <cellStyle name="60% - 강조색4 2 79" xfId="3242"/>
    <cellStyle name="60% - 강조색4 2 8" xfId="3243"/>
    <cellStyle name="60% - 강조색4 2 80" xfId="3244"/>
    <cellStyle name="60% - 강조색4 2 81" xfId="3245"/>
    <cellStyle name="60% - 강조색4 2 82" xfId="3246"/>
    <cellStyle name="60% - 강조색4 2 83" xfId="3247"/>
    <cellStyle name="60% - 강조색4 2 84" xfId="3248"/>
    <cellStyle name="60% - 강조색4 2 85" xfId="3249"/>
    <cellStyle name="60% - 강조색4 2 86" xfId="3250"/>
    <cellStyle name="60% - 강조색4 2 87" xfId="3251"/>
    <cellStyle name="60% - 강조색4 2 88" xfId="3252"/>
    <cellStyle name="60% - 강조색4 2 89" xfId="3253"/>
    <cellStyle name="60% - 강조색4 2 9" xfId="3254"/>
    <cellStyle name="60% - 강조색4 2 90" xfId="3255"/>
    <cellStyle name="60% - 강조색4 2 91" xfId="3256"/>
    <cellStyle name="60% - 강조색4 2 92" xfId="3257"/>
    <cellStyle name="60% - 강조색4 2 93" xfId="3258"/>
    <cellStyle name="60% - 강조색4 2 94" xfId="3259"/>
    <cellStyle name="60% - 강조색4 2 95" xfId="3260"/>
    <cellStyle name="60% - 강조색4 2 96" xfId="3261"/>
    <cellStyle name="60% - 강조색4 2 97" xfId="3262"/>
    <cellStyle name="60% - 강조색4 2 98" xfId="3263"/>
    <cellStyle name="60% - 강조색4 2 99" xfId="3264"/>
    <cellStyle name="60% - 강조색4 20" xfId="3265"/>
    <cellStyle name="60% - 강조색4 21" xfId="3266"/>
    <cellStyle name="60% - 강조색4 22" xfId="3267"/>
    <cellStyle name="60% - 강조색4 23" xfId="3268"/>
    <cellStyle name="60% - 강조색4 24" xfId="3269"/>
    <cellStyle name="60% - 강조색4 25" xfId="3270"/>
    <cellStyle name="60% - 강조색4 26" xfId="3271"/>
    <cellStyle name="60% - 강조색4 27" xfId="3272"/>
    <cellStyle name="60% - 강조색4 28" xfId="3273"/>
    <cellStyle name="60% - 강조색4 29" xfId="3274"/>
    <cellStyle name="60% - 강조색4 3" xfId="141"/>
    <cellStyle name="60% - 강조색4 30" xfId="3275"/>
    <cellStyle name="60% - 강조색4 31" xfId="3276"/>
    <cellStyle name="60% - 강조색4 32" xfId="3277"/>
    <cellStyle name="60% - 강조색4 33" xfId="3278"/>
    <cellStyle name="60% - 강조색4 34" xfId="3279"/>
    <cellStyle name="60% - 강조색4 35" xfId="3280"/>
    <cellStyle name="60% - 강조색4 36" xfId="3281"/>
    <cellStyle name="60% - 강조색4 37" xfId="3282"/>
    <cellStyle name="60% - 강조색4 38" xfId="3283"/>
    <cellStyle name="60% - 강조색4 39" xfId="3284"/>
    <cellStyle name="60% - 강조색4 4" xfId="11739" hidden="1"/>
    <cellStyle name="60% - 강조색4 4" xfId="11785" hidden="1"/>
    <cellStyle name="60% - 강조색4 4" xfId="11831" hidden="1"/>
    <cellStyle name="60% - 강조색4 4" xfId="11877" hidden="1"/>
    <cellStyle name="60% - 강조색4 4" xfId="11923" hidden="1"/>
    <cellStyle name="60% - 강조색4 4" xfId="11969" hidden="1"/>
    <cellStyle name="60% - 강조색4 4" xfId="12015" hidden="1"/>
    <cellStyle name="60% - 강조색4 4" xfId="12061" hidden="1"/>
    <cellStyle name="60% - 강조색4 4" xfId="12107" hidden="1"/>
    <cellStyle name="60% - 강조색4 4" xfId="12153" hidden="1"/>
    <cellStyle name="60% - 강조색4 4" xfId="12199" hidden="1"/>
    <cellStyle name="60% - 강조색4 4" xfId="12245" hidden="1"/>
    <cellStyle name="60% - 강조색4 4" xfId="12335" hidden="1"/>
    <cellStyle name="60% - 강조색4 4" xfId="12376" hidden="1"/>
    <cellStyle name="60% - 강조색4 4" xfId="12418" hidden="1"/>
    <cellStyle name="60% - 강조색4 4" xfId="12460" hidden="1"/>
    <cellStyle name="60% - 강조색4 4" xfId="12502" hidden="1"/>
    <cellStyle name="60% - 강조색4 4" xfId="12544" hidden="1"/>
    <cellStyle name="60% - 강조색4 4" xfId="12586" hidden="1"/>
    <cellStyle name="60% - 강조색4 4" xfId="12628" hidden="1"/>
    <cellStyle name="60% - 강조색4 4" xfId="12670" hidden="1"/>
    <cellStyle name="60% - 강조색4 4" xfId="12712" hidden="1"/>
    <cellStyle name="60% - 강조색4 4" xfId="12754" hidden="1"/>
    <cellStyle name="60% - 강조색4 4" xfId="12796" hidden="1"/>
    <cellStyle name="60% - 강조색4 4" xfId="12290" hidden="1"/>
    <cellStyle name="60% - 강조색4 4" xfId="12978" hidden="1"/>
    <cellStyle name="60% - 강조색4 4" xfId="13018" hidden="1"/>
    <cellStyle name="60% - 강조색4 4" xfId="13058" hidden="1"/>
    <cellStyle name="60% - 강조색4 4" xfId="13098" hidden="1"/>
    <cellStyle name="60% - 강조색4 4" xfId="13138" hidden="1"/>
    <cellStyle name="60% - 강조색4 4" xfId="13178" hidden="1"/>
    <cellStyle name="60% - 강조색4 4" xfId="13218" hidden="1"/>
    <cellStyle name="60% - 강조색4 4" xfId="13258" hidden="1"/>
    <cellStyle name="60% - 강조색4 4" xfId="13298" hidden="1"/>
    <cellStyle name="60% - 강조색4 4" xfId="13338" hidden="1"/>
    <cellStyle name="60% - 강조색4 4" xfId="13378" hidden="1"/>
    <cellStyle name="60% - 강조색4 4" xfId="13418" hidden="1"/>
    <cellStyle name="60% - 강조색4 4" xfId="12856" hidden="1"/>
    <cellStyle name="60% - 강조색4 4" xfId="12808" hidden="1"/>
    <cellStyle name="60% - 강조색4 4" xfId="13460" hidden="1"/>
    <cellStyle name="60% - 강조색4 4" xfId="13502" hidden="1"/>
    <cellStyle name="60% - 강조색4 4" xfId="13544" hidden="1"/>
    <cellStyle name="60% - 강조색4 4" xfId="13586" hidden="1"/>
    <cellStyle name="60% - 강조색4 4" xfId="13628" hidden="1"/>
    <cellStyle name="60% - 강조색4 4" xfId="13670" hidden="1"/>
    <cellStyle name="60% - 강조색4 4" xfId="13712" hidden="1"/>
    <cellStyle name="60% - 강조색4 4" xfId="13754" hidden="1"/>
    <cellStyle name="60% - 강조색4 4" xfId="13796" hidden="1"/>
    <cellStyle name="60% - 강조색4 4" xfId="13838" hidden="1"/>
    <cellStyle name="60% - 강조색4 4" xfId="12910" hidden="1"/>
    <cellStyle name="60% - 강조색4 4" xfId="13866" hidden="1"/>
    <cellStyle name="60% - 강조색4 4" xfId="13906" hidden="1"/>
    <cellStyle name="60% - 강조색4 4" xfId="13946" hidden="1"/>
    <cellStyle name="60% - 강조색4 4" xfId="13986" hidden="1"/>
    <cellStyle name="60% - 강조색4 4" xfId="14026" hidden="1"/>
    <cellStyle name="60% - 강조색4 4" xfId="14066" hidden="1"/>
    <cellStyle name="60% - 강조색4 4" xfId="14106" hidden="1"/>
    <cellStyle name="60% - 강조색4 4" xfId="14146" hidden="1"/>
    <cellStyle name="60% - 강조색4 4" xfId="14186" hidden="1"/>
    <cellStyle name="60% - 강조색4 4" xfId="14226" hidden="1"/>
    <cellStyle name="60% - 강조색4 4" xfId="14266" hidden="1"/>
    <cellStyle name="60% - 강조색4 4" xfId="14306" hidden="1"/>
    <cellStyle name="60% - 강조색4 4" xfId="14412" hidden="1"/>
    <cellStyle name="60% - 강조색4 4" xfId="14452" hidden="1"/>
    <cellStyle name="60% - 강조색4 4" xfId="14492" hidden="1"/>
    <cellStyle name="60% - 강조색4 4" xfId="14532" hidden="1"/>
    <cellStyle name="60% - 강조색4 4" xfId="14572" hidden="1"/>
    <cellStyle name="60% - 강조색4 4" xfId="14612" hidden="1"/>
    <cellStyle name="60% - 강조색4 4" xfId="14652" hidden="1"/>
    <cellStyle name="60% - 강조색4 4" xfId="14692" hidden="1"/>
    <cellStyle name="60% - 강조색4 4" xfId="14732" hidden="1"/>
    <cellStyle name="60% - 강조색4 4" xfId="14772" hidden="1"/>
    <cellStyle name="60% - 강조색4 4" xfId="14812" hidden="1"/>
    <cellStyle name="60% - 강조색4 4" xfId="14852" hidden="1"/>
    <cellStyle name="60% - 강조색4 4" xfId="14936" hidden="1"/>
    <cellStyle name="60% - 강조색4 4" xfId="14977" hidden="1"/>
    <cellStyle name="60% - 강조색4 4" xfId="15019" hidden="1"/>
    <cellStyle name="60% - 강조색4 4" xfId="15061" hidden="1"/>
    <cellStyle name="60% - 강조색4 4" xfId="15103" hidden="1"/>
    <cellStyle name="60% - 강조색4 4" xfId="15145" hidden="1"/>
    <cellStyle name="60% - 강조색4 4" xfId="15187" hidden="1"/>
    <cellStyle name="60% - 강조색4 4" xfId="15229" hidden="1"/>
    <cellStyle name="60% - 강조색4 4" xfId="15271" hidden="1"/>
    <cellStyle name="60% - 강조색4 4" xfId="15313" hidden="1"/>
    <cellStyle name="60% - 강조색4 4" xfId="15355" hidden="1"/>
    <cellStyle name="60% - 강조색4 4" xfId="15397" hidden="1"/>
    <cellStyle name="60% - 강조색4 4" xfId="14893" hidden="1"/>
    <cellStyle name="60% - 강조색4 4" xfId="15576" hidden="1"/>
    <cellStyle name="60% - 강조색4 4" xfId="15616" hidden="1"/>
    <cellStyle name="60% - 강조색4 4" xfId="15656" hidden="1"/>
    <cellStyle name="60% - 강조색4 4" xfId="15696" hidden="1"/>
    <cellStyle name="60% - 강조색4 4" xfId="15736" hidden="1"/>
    <cellStyle name="60% - 강조색4 4" xfId="15776" hidden="1"/>
    <cellStyle name="60% - 강조색4 4" xfId="15816" hidden="1"/>
    <cellStyle name="60% - 강조색4 4" xfId="15856" hidden="1"/>
    <cellStyle name="60% - 강조색4 4" xfId="15896" hidden="1"/>
    <cellStyle name="60% - 강조색4 4" xfId="15936" hidden="1"/>
    <cellStyle name="60% - 강조색4 4" xfId="15976" hidden="1"/>
    <cellStyle name="60% - 강조색4 4" xfId="16016" hidden="1"/>
    <cellStyle name="60% - 강조색4 4" xfId="15456" hidden="1"/>
    <cellStyle name="60% - 강조색4 4" xfId="15408" hidden="1"/>
    <cellStyle name="60% - 강조색4 4" xfId="16058" hidden="1"/>
    <cellStyle name="60% - 강조색4 4" xfId="16100" hidden="1"/>
    <cellStyle name="60% - 강조색4 4" xfId="16142" hidden="1"/>
    <cellStyle name="60% - 강조색4 4" xfId="16184" hidden="1"/>
    <cellStyle name="60% - 강조색4 4" xfId="16226" hidden="1"/>
    <cellStyle name="60% - 강조색4 4" xfId="16268" hidden="1"/>
    <cellStyle name="60% - 강조색4 4" xfId="16310" hidden="1"/>
    <cellStyle name="60% - 강조색4 4" xfId="16352" hidden="1"/>
    <cellStyle name="60% - 강조색4 4" xfId="16394" hidden="1"/>
    <cellStyle name="60% - 강조색4 4" xfId="16436" hidden="1"/>
    <cellStyle name="60% - 강조색4 4" xfId="15509" hidden="1"/>
    <cellStyle name="60% - 강조색4 4" xfId="16464" hidden="1"/>
    <cellStyle name="60% - 강조색4 4" xfId="16504" hidden="1"/>
    <cellStyle name="60% - 강조색4 4" xfId="16544" hidden="1"/>
    <cellStyle name="60% - 강조색4 4" xfId="16584" hidden="1"/>
    <cellStyle name="60% - 강조색4 4" xfId="16624" hidden="1"/>
    <cellStyle name="60% - 강조색4 4" xfId="16664" hidden="1"/>
    <cellStyle name="60% - 강조색4 4" xfId="16704" hidden="1"/>
    <cellStyle name="60% - 강조색4 4" xfId="16744" hidden="1"/>
    <cellStyle name="60% - 강조색4 4" xfId="16784" hidden="1"/>
    <cellStyle name="60% - 강조색4 4" xfId="16824" hidden="1"/>
    <cellStyle name="60% - 강조색4 4" xfId="16864" hidden="1"/>
    <cellStyle name="60% - 강조색4 4" xfId="16904" hidden="1"/>
    <cellStyle name="60% - 강조색4 4" xfId="16915" hidden="1"/>
    <cellStyle name="60% - 강조색4 4" xfId="16955" hidden="1"/>
    <cellStyle name="60% - 강조색4 4" xfId="16996" hidden="1"/>
    <cellStyle name="60% - 강조색4 4" xfId="17036" hidden="1"/>
    <cellStyle name="60% - 강조색4 4" xfId="17076" hidden="1"/>
    <cellStyle name="60% - 강조색4 4" xfId="17116" hidden="1"/>
    <cellStyle name="60% - 강조색4 4" xfId="17156" hidden="1"/>
    <cellStyle name="60% - 강조색4 4" xfId="17196" hidden="1"/>
    <cellStyle name="60% - 강조색4 4" xfId="17236" hidden="1"/>
    <cellStyle name="60% - 강조색4 4" xfId="17276" hidden="1"/>
    <cellStyle name="60% - 강조색4 4" xfId="17316" hidden="1"/>
    <cellStyle name="60% - 강조색4 4" xfId="17356" hidden="1"/>
    <cellStyle name="60% - 강조색4 4" xfId="17440" hidden="1"/>
    <cellStyle name="60% - 강조색4 4" xfId="17481" hidden="1"/>
    <cellStyle name="60% - 강조색4 4" xfId="17523" hidden="1"/>
    <cellStyle name="60% - 강조색4 4" xfId="17565" hidden="1"/>
    <cellStyle name="60% - 강조색4 4" xfId="17607" hidden="1"/>
    <cellStyle name="60% - 강조색4 4" xfId="17649" hidden="1"/>
    <cellStyle name="60% - 강조색4 4" xfId="17691" hidden="1"/>
    <cellStyle name="60% - 강조색4 4" xfId="17733" hidden="1"/>
    <cellStyle name="60% - 강조색4 4" xfId="17775" hidden="1"/>
    <cellStyle name="60% - 강조색4 4" xfId="17817" hidden="1"/>
    <cellStyle name="60% - 강조색4 4" xfId="17859" hidden="1"/>
    <cellStyle name="60% - 강조색4 4" xfId="17901" hidden="1"/>
    <cellStyle name="60% - 강조색4 4" xfId="17397" hidden="1"/>
    <cellStyle name="60% - 강조색4 4" xfId="18080" hidden="1"/>
    <cellStyle name="60% - 강조색4 4" xfId="18120" hidden="1"/>
    <cellStyle name="60% - 강조색4 4" xfId="18160" hidden="1"/>
    <cellStyle name="60% - 강조색4 4" xfId="18200" hidden="1"/>
    <cellStyle name="60% - 강조색4 4" xfId="18240" hidden="1"/>
    <cellStyle name="60% - 강조색4 4" xfId="18280" hidden="1"/>
    <cellStyle name="60% - 강조색4 4" xfId="18320" hidden="1"/>
    <cellStyle name="60% - 강조색4 4" xfId="18360" hidden="1"/>
    <cellStyle name="60% - 강조색4 4" xfId="18400" hidden="1"/>
    <cellStyle name="60% - 강조색4 4" xfId="18440" hidden="1"/>
    <cellStyle name="60% - 강조색4 4" xfId="18480" hidden="1"/>
    <cellStyle name="60% - 강조색4 4" xfId="18520" hidden="1"/>
    <cellStyle name="60% - 강조색4 4" xfId="17960" hidden="1"/>
    <cellStyle name="60% - 강조색4 4" xfId="17912" hidden="1"/>
    <cellStyle name="60% - 강조색4 4" xfId="18562" hidden="1"/>
    <cellStyle name="60% - 강조색4 4" xfId="18604" hidden="1"/>
    <cellStyle name="60% - 강조색4 4" xfId="18646" hidden="1"/>
    <cellStyle name="60% - 강조색4 4" xfId="18688" hidden="1"/>
    <cellStyle name="60% - 강조색4 4" xfId="18730" hidden="1"/>
    <cellStyle name="60% - 강조색4 4" xfId="18772" hidden="1"/>
    <cellStyle name="60% - 강조색4 4" xfId="18814" hidden="1"/>
    <cellStyle name="60% - 강조색4 4" xfId="18856" hidden="1"/>
    <cellStyle name="60% - 강조색4 4" xfId="18898" hidden="1"/>
    <cellStyle name="60% - 강조색4 4" xfId="18940" hidden="1"/>
    <cellStyle name="60% - 강조색4 4" xfId="18013" hidden="1"/>
    <cellStyle name="60% - 강조색4 4" xfId="18968" hidden="1"/>
    <cellStyle name="60% - 강조색4 4" xfId="19008" hidden="1"/>
    <cellStyle name="60% - 강조색4 4" xfId="19048" hidden="1"/>
    <cellStyle name="60% - 강조색4 4" xfId="19088" hidden="1"/>
    <cellStyle name="60% - 강조색4 4" xfId="19128" hidden="1"/>
    <cellStyle name="60% - 강조색4 4" xfId="19168" hidden="1"/>
    <cellStyle name="60% - 강조색4 4" xfId="19208" hidden="1"/>
    <cellStyle name="60% - 강조색4 4" xfId="19248" hidden="1"/>
    <cellStyle name="60% - 강조색4 4" xfId="19288" hidden="1"/>
    <cellStyle name="60% - 강조색4 4" xfId="19328" hidden="1"/>
    <cellStyle name="60% - 강조색4 4" xfId="19368" hidden="1"/>
    <cellStyle name="60% - 강조색4 4" xfId="19408" hidden="1"/>
    <cellStyle name="60% - 강조색4 4" xfId="19418" hidden="1"/>
    <cellStyle name="60% - 강조색4 4" xfId="19458" hidden="1"/>
    <cellStyle name="60% - 강조색4 4" xfId="19498" hidden="1"/>
    <cellStyle name="60% - 강조색4 4" xfId="19538" hidden="1"/>
    <cellStyle name="60% - 강조색4 4" xfId="19578" hidden="1"/>
    <cellStyle name="60% - 강조색4 4" xfId="19618" hidden="1"/>
    <cellStyle name="60% - 강조색4 4" xfId="19658" hidden="1"/>
    <cellStyle name="60% - 강조색4 4" xfId="19698" hidden="1"/>
    <cellStyle name="60% - 강조색4 4" xfId="19738" hidden="1"/>
    <cellStyle name="60% - 강조색4 4" xfId="19778" hidden="1"/>
    <cellStyle name="60% - 강조색4 4" xfId="19818" hidden="1"/>
    <cellStyle name="60% - 강조색4 4" xfId="19858" hidden="1"/>
    <cellStyle name="60% - 강조색4 4" xfId="19942" hidden="1"/>
    <cellStyle name="60% - 강조색4 4" xfId="19983" hidden="1"/>
    <cellStyle name="60% - 강조색4 4" xfId="20025" hidden="1"/>
    <cellStyle name="60% - 강조색4 4" xfId="20067" hidden="1"/>
    <cellStyle name="60% - 강조색4 4" xfId="20109" hidden="1"/>
    <cellStyle name="60% - 강조색4 4" xfId="20151" hidden="1"/>
    <cellStyle name="60% - 강조색4 4" xfId="20193" hidden="1"/>
    <cellStyle name="60% - 강조색4 4" xfId="20235" hidden="1"/>
    <cellStyle name="60% - 강조색4 4" xfId="20277" hidden="1"/>
    <cellStyle name="60% - 강조색4 4" xfId="20319" hidden="1"/>
    <cellStyle name="60% - 강조색4 4" xfId="20361" hidden="1"/>
    <cellStyle name="60% - 강조색4 4" xfId="20403" hidden="1"/>
    <cellStyle name="60% - 강조색4 4" xfId="19899" hidden="1"/>
    <cellStyle name="60% - 강조색4 4" xfId="20582" hidden="1"/>
    <cellStyle name="60% - 강조색4 4" xfId="20622" hidden="1"/>
    <cellStyle name="60% - 강조색4 4" xfId="20662" hidden="1"/>
    <cellStyle name="60% - 강조색4 4" xfId="20702" hidden="1"/>
    <cellStyle name="60% - 강조색4 4" xfId="20742" hidden="1"/>
    <cellStyle name="60% - 강조색4 4" xfId="20782" hidden="1"/>
    <cellStyle name="60% - 강조색4 4" xfId="20822" hidden="1"/>
    <cellStyle name="60% - 강조색4 4" xfId="20862" hidden="1"/>
    <cellStyle name="60% - 강조색4 4" xfId="20902" hidden="1"/>
    <cellStyle name="60% - 강조색4 4" xfId="20942" hidden="1"/>
    <cellStyle name="60% - 강조색4 4" xfId="20982" hidden="1"/>
    <cellStyle name="60% - 강조색4 4" xfId="21022" hidden="1"/>
    <cellStyle name="60% - 강조색4 4" xfId="20462" hidden="1"/>
    <cellStyle name="60% - 강조색4 4" xfId="20414" hidden="1"/>
    <cellStyle name="60% - 강조색4 4" xfId="21064" hidden="1"/>
    <cellStyle name="60% - 강조색4 4" xfId="21106" hidden="1"/>
    <cellStyle name="60% - 강조색4 4" xfId="21148" hidden="1"/>
    <cellStyle name="60% - 강조색4 4" xfId="21190" hidden="1"/>
    <cellStyle name="60% - 강조색4 4" xfId="21232" hidden="1"/>
    <cellStyle name="60% - 강조색4 4" xfId="21274" hidden="1"/>
    <cellStyle name="60% - 강조색4 4" xfId="21316" hidden="1"/>
    <cellStyle name="60% - 강조색4 4" xfId="21358" hidden="1"/>
    <cellStyle name="60% - 강조색4 4" xfId="21400" hidden="1"/>
    <cellStyle name="60% - 강조색4 4" xfId="21442" hidden="1"/>
    <cellStyle name="60% - 강조색4 4" xfId="20515" hidden="1"/>
    <cellStyle name="60% - 강조색4 4" xfId="21470" hidden="1"/>
    <cellStyle name="60% - 강조색4 4" xfId="21510" hidden="1"/>
    <cellStyle name="60% - 강조색4 4" xfId="21550" hidden="1"/>
    <cellStyle name="60% - 강조색4 4" xfId="21590" hidden="1"/>
    <cellStyle name="60% - 강조색4 4" xfId="21630" hidden="1"/>
    <cellStyle name="60% - 강조색4 4" xfId="21670" hidden="1"/>
    <cellStyle name="60% - 강조색4 4" xfId="21710" hidden="1"/>
    <cellStyle name="60% - 강조색4 4" xfId="21750" hidden="1"/>
    <cellStyle name="60% - 강조색4 4" xfId="21790" hidden="1"/>
    <cellStyle name="60% - 강조색4 4" xfId="21830" hidden="1"/>
    <cellStyle name="60% - 강조색4 4" xfId="21870" hidden="1"/>
    <cellStyle name="60% - 강조색4 4" xfId="21910" hidden="1"/>
    <cellStyle name="60% - 강조색4 4" xfId="21978" hidden="1"/>
    <cellStyle name="60% - 강조색4 4" xfId="22018" hidden="1"/>
    <cellStyle name="60% - 강조색4 4" xfId="22058" hidden="1"/>
    <cellStyle name="60% - 강조색4 4" xfId="22098" hidden="1"/>
    <cellStyle name="60% - 강조색4 4" xfId="22138" hidden="1"/>
    <cellStyle name="60% - 강조색4 4" xfId="22178" hidden="1"/>
    <cellStyle name="60% - 강조색4 4" xfId="22218" hidden="1"/>
    <cellStyle name="60% - 강조색4 4" xfId="22258" hidden="1"/>
    <cellStyle name="60% - 강조색4 4" xfId="22298" hidden="1"/>
    <cellStyle name="60% - 강조색4 4" xfId="22338" hidden="1"/>
    <cellStyle name="60% - 강조색4 4" xfId="22378" hidden="1"/>
    <cellStyle name="60% - 강조색4 4" xfId="22418" hidden="1"/>
    <cellStyle name="60% - 강조색4 4" xfId="22502" hidden="1"/>
    <cellStyle name="60% - 강조색4 4" xfId="22543" hidden="1"/>
    <cellStyle name="60% - 강조색4 4" xfId="22585" hidden="1"/>
    <cellStyle name="60% - 강조색4 4" xfId="22627" hidden="1"/>
    <cellStyle name="60% - 강조색4 4" xfId="22669" hidden="1"/>
    <cellStyle name="60% - 강조색4 4" xfId="22711" hidden="1"/>
    <cellStyle name="60% - 강조색4 4" xfId="22753" hidden="1"/>
    <cellStyle name="60% - 강조색4 4" xfId="22795" hidden="1"/>
    <cellStyle name="60% - 강조색4 4" xfId="22837" hidden="1"/>
    <cellStyle name="60% - 강조색4 4" xfId="22879" hidden="1"/>
    <cellStyle name="60% - 강조색4 4" xfId="22921" hidden="1"/>
    <cellStyle name="60% - 강조색4 4" xfId="22963" hidden="1"/>
    <cellStyle name="60% - 강조색4 4" xfId="22459" hidden="1"/>
    <cellStyle name="60% - 강조색4 4" xfId="23142" hidden="1"/>
    <cellStyle name="60% - 강조색4 4" xfId="23182" hidden="1"/>
    <cellStyle name="60% - 강조색4 4" xfId="23222" hidden="1"/>
    <cellStyle name="60% - 강조색4 4" xfId="23262" hidden="1"/>
    <cellStyle name="60% - 강조색4 4" xfId="23302" hidden="1"/>
    <cellStyle name="60% - 강조색4 4" xfId="23342" hidden="1"/>
    <cellStyle name="60% - 강조색4 4" xfId="23382" hidden="1"/>
    <cellStyle name="60% - 강조색4 4" xfId="23422" hidden="1"/>
    <cellStyle name="60% - 강조색4 4" xfId="23462" hidden="1"/>
    <cellStyle name="60% - 강조색4 4" xfId="23502" hidden="1"/>
    <cellStyle name="60% - 강조색4 4" xfId="23542" hidden="1"/>
    <cellStyle name="60% - 강조색4 4" xfId="23582" hidden="1"/>
    <cellStyle name="60% - 강조색4 4" xfId="23022" hidden="1"/>
    <cellStyle name="60% - 강조색4 4" xfId="22974" hidden="1"/>
    <cellStyle name="60% - 강조색4 4" xfId="23624" hidden="1"/>
    <cellStyle name="60% - 강조색4 4" xfId="23666" hidden="1"/>
    <cellStyle name="60% - 강조색4 4" xfId="23708" hidden="1"/>
    <cellStyle name="60% - 강조색4 4" xfId="23750" hidden="1"/>
    <cellStyle name="60% - 강조색4 4" xfId="23792" hidden="1"/>
    <cellStyle name="60% - 강조색4 4" xfId="23834" hidden="1"/>
    <cellStyle name="60% - 강조색4 4" xfId="23876" hidden="1"/>
    <cellStyle name="60% - 강조색4 4" xfId="23918" hidden="1"/>
    <cellStyle name="60% - 강조색4 4" xfId="23960" hidden="1"/>
    <cellStyle name="60% - 강조색4 4" xfId="24002" hidden="1"/>
    <cellStyle name="60% - 강조색4 4" xfId="23075" hidden="1"/>
    <cellStyle name="60% - 강조색4 4" xfId="24030" hidden="1"/>
    <cellStyle name="60% - 강조색4 4" xfId="24070" hidden="1"/>
    <cellStyle name="60% - 강조색4 4" xfId="24110" hidden="1"/>
    <cellStyle name="60% - 강조색4 4" xfId="24150" hidden="1"/>
    <cellStyle name="60% - 강조색4 4" xfId="24190" hidden="1"/>
    <cellStyle name="60% - 강조색4 4" xfId="24230" hidden="1"/>
    <cellStyle name="60% - 강조색4 4" xfId="24270" hidden="1"/>
    <cellStyle name="60% - 강조색4 4" xfId="24310" hidden="1"/>
    <cellStyle name="60% - 강조색4 4" xfId="24350" hidden="1"/>
    <cellStyle name="60% - 강조색4 4" xfId="24390" hidden="1"/>
    <cellStyle name="60% - 강조색4 4" xfId="24430" hidden="1"/>
    <cellStyle name="60% - 강조색4 4" xfId="24470" hidden="1"/>
    <cellStyle name="60% - 강조색4 4" xfId="24568" hidden="1"/>
    <cellStyle name="60% - 강조색4 4" xfId="24608" hidden="1"/>
    <cellStyle name="60% - 강조색4 4" xfId="24650" hidden="1"/>
    <cellStyle name="60% - 강조색4 4" xfId="24691" hidden="1"/>
    <cellStyle name="60% - 강조색4 4" xfId="24731" hidden="1"/>
    <cellStyle name="60% - 강조색4 4" xfId="24771" hidden="1"/>
    <cellStyle name="60% - 강조색4 4" xfId="24811" hidden="1"/>
    <cellStyle name="60% - 강조색4 4" xfId="24851" hidden="1"/>
    <cellStyle name="60% - 강조색4 4" xfId="24891" hidden="1"/>
    <cellStyle name="60% - 강조색4 4" xfId="24931" hidden="1"/>
    <cellStyle name="60% - 강조색4 4" xfId="24971" hidden="1"/>
    <cellStyle name="60% - 강조색4 4" xfId="25011" hidden="1"/>
    <cellStyle name="60% - 강조색4 4" xfId="25095" hidden="1"/>
    <cellStyle name="60% - 강조색4 4" xfId="25136" hidden="1"/>
    <cellStyle name="60% - 강조색4 4" xfId="25178" hidden="1"/>
    <cellStyle name="60% - 강조색4 4" xfId="25220" hidden="1"/>
    <cellStyle name="60% - 강조색4 4" xfId="25262" hidden="1"/>
    <cellStyle name="60% - 강조색4 4" xfId="25304" hidden="1"/>
    <cellStyle name="60% - 강조색4 4" xfId="25346" hidden="1"/>
    <cellStyle name="60% - 강조색4 4" xfId="25388" hidden="1"/>
    <cellStyle name="60% - 강조색4 4" xfId="25430" hidden="1"/>
    <cellStyle name="60% - 강조색4 4" xfId="25472" hidden="1"/>
    <cellStyle name="60% - 강조색4 4" xfId="25514" hidden="1"/>
    <cellStyle name="60% - 강조색4 4" xfId="25556" hidden="1"/>
    <cellStyle name="60% - 강조색4 4" xfId="25052" hidden="1"/>
    <cellStyle name="60% - 강조색4 4" xfId="25735" hidden="1"/>
    <cellStyle name="60% - 강조색4 4" xfId="25775" hidden="1"/>
    <cellStyle name="60% - 강조색4 4" xfId="25815" hidden="1"/>
    <cellStyle name="60% - 강조색4 4" xfId="25855" hidden="1"/>
    <cellStyle name="60% - 강조색4 4" xfId="25895" hidden="1"/>
    <cellStyle name="60% - 강조색4 4" xfId="25935" hidden="1"/>
    <cellStyle name="60% - 강조색4 4" xfId="25975" hidden="1"/>
    <cellStyle name="60% - 강조색4 4" xfId="26015" hidden="1"/>
    <cellStyle name="60% - 강조색4 4" xfId="26055" hidden="1"/>
    <cellStyle name="60% - 강조색4 4" xfId="26095" hidden="1"/>
    <cellStyle name="60% - 강조색4 4" xfId="26135" hidden="1"/>
    <cellStyle name="60% - 강조색4 4" xfId="26175" hidden="1"/>
    <cellStyle name="60% - 강조색4 4" xfId="25615" hidden="1"/>
    <cellStyle name="60% - 강조색4 4" xfId="25567" hidden="1"/>
    <cellStyle name="60% - 강조색4 4" xfId="26217" hidden="1"/>
    <cellStyle name="60% - 강조색4 4" xfId="26259" hidden="1"/>
    <cellStyle name="60% - 강조색4 4" xfId="26301" hidden="1"/>
    <cellStyle name="60% - 강조색4 4" xfId="26343" hidden="1"/>
    <cellStyle name="60% - 강조색4 4" xfId="26385" hidden="1"/>
    <cellStyle name="60% - 강조색4 4" xfId="26427" hidden="1"/>
    <cellStyle name="60% - 강조색4 4" xfId="26469" hidden="1"/>
    <cellStyle name="60% - 강조색4 4" xfId="26511" hidden="1"/>
    <cellStyle name="60% - 강조색4 4" xfId="26553" hidden="1"/>
    <cellStyle name="60% - 강조색4 4" xfId="26595" hidden="1"/>
    <cellStyle name="60% - 강조색4 4" xfId="25668" hidden="1"/>
    <cellStyle name="60% - 강조색4 4" xfId="26623" hidden="1"/>
    <cellStyle name="60% - 강조색4 4" xfId="26663" hidden="1"/>
    <cellStyle name="60% - 강조색4 4" xfId="26703" hidden="1"/>
    <cellStyle name="60% - 강조색4 4" xfId="26743" hidden="1"/>
    <cellStyle name="60% - 강조색4 4" xfId="26783" hidden="1"/>
    <cellStyle name="60% - 강조색4 4" xfId="26823" hidden="1"/>
    <cellStyle name="60% - 강조색4 4" xfId="26863" hidden="1"/>
    <cellStyle name="60% - 강조색4 4" xfId="26903" hidden="1"/>
    <cellStyle name="60% - 강조색4 4" xfId="26943" hidden="1"/>
    <cellStyle name="60% - 강조색4 4" xfId="26983" hidden="1"/>
    <cellStyle name="60% - 강조색4 4" xfId="27023" hidden="1"/>
    <cellStyle name="60% - 강조색4 4" xfId="27063" hidden="1"/>
    <cellStyle name="60% - 강조색4 4" xfId="27074" hidden="1"/>
    <cellStyle name="60% - 강조색4 4" xfId="27114" hidden="1"/>
    <cellStyle name="60% - 강조색4 4" xfId="27154" hidden="1"/>
    <cellStyle name="60% - 강조색4 4" xfId="27194" hidden="1"/>
    <cellStyle name="60% - 강조색4 4" xfId="27234" hidden="1"/>
    <cellStyle name="60% - 강조색4 4" xfId="27274" hidden="1"/>
    <cellStyle name="60% - 강조색4 4" xfId="27314" hidden="1"/>
    <cellStyle name="60% - 강조색4 4" xfId="27354" hidden="1"/>
    <cellStyle name="60% - 강조색4 4" xfId="27394" hidden="1"/>
    <cellStyle name="60% - 강조색4 4" xfId="27434" hidden="1"/>
    <cellStyle name="60% - 강조색4 4" xfId="27474" hidden="1"/>
    <cellStyle name="60% - 강조색4 4" xfId="27514" hidden="1"/>
    <cellStyle name="60% - 강조색4 4" xfId="27598" hidden="1"/>
    <cellStyle name="60% - 강조색4 4" xfId="27639" hidden="1"/>
    <cellStyle name="60% - 강조색4 4" xfId="27681" hidden="1"/>
    <cellStyle name="60% - 강조색4 4" xfId="27723" hidden="1"/>
    <cellStyle name="60% - 강조색4 4" xfId="27765" hidden="1"/>
    <cellStyle name="60% - 강조색4 4" xfId="27807" hidden="1"/>
    <cellStyle name="60% - 강조색4 4" xfId="27849" hidden="1"/>
    <cellStyle name="60% - 강조색4 4" xfId="27891" hidden="1"/>
    <cellStyle name="60% - 강조색4 4" xfId="27933" hidden="1"/>
    <cellStyle name="60% - 강조색4 4" xfId="27975" hidden="1"/>
    <cellStyle name="60% - 강조색4 4" xfId="28017" hidden="1"/>
    <cellStyle name="60% - 강조색4 4" xfId="28059" hidden="1"/>
    <cellStyle name="60% - 강조색4 4" xfId="27555" hidden="1"/>
    <cellStyle name="60% - 강조색4 4" xfId="28238" hidden="1"/>
    <cellStyle name="60% - 강조색4 4" xfId="28278" hidden="1"/>
    <cellStyle name="60% - 강조색4 4" xfId="28318" hidden="1"/>
    <cellStyle name="60% - 강조색4 4" xfId="28358" hidden="1"/>
    <cellStyle name="60% - 강조색4 4" xfId="28398" hidden="1"/>
    <cellStyle name="60% - 강조색4 4" xfId="28438" hidden="1"/>
    <cellStyle name="60% - 강조색4 4" xfId="28478" hidden="1"/>
    <cellStyle name="60% - 강조색4 4" xfId="28518" hidden="1"/>
    <cellStyle name="60% - 강조색4 4" xfId="28558" hidden="1"/>
    <cellStyle name="60% - 강조색4 4" xfId="28598" hidden="1"/>
    <cellStyle name="60% - 강조색4 4" xfId="28638" hidden="1"/>
    <cellStyle name="60% - 강조색4 4" xfId="28678" hidden="1"/>
    <cellStyle name="60% - 강조색4 4" xfId="28118" hidden="1"/>
    <cellStyle name="60% - 강조색4 4" xfId="28070" hidden="1"/>
    <cellStyle name="60% - 강조색4 4" xfId="28720" hidden="1"/>
    <cellStyle name="60% - 강조색4 4" xfId="28762" hidden="1"/>
    <cellStyle name="60% - 강조색4 4" xfId="28804" hidden="1"/>
    <cellStyle name="60% - 강조색4 4" xfId="28846" hidden="1"/>
    <cellStyle name="60% - 강조색4 4" xfId="28888" hidden="1"/>
    <cellStyle name="60% - 강조색4 4" xfId="28930" hidden="1"/>
    <cellStyle name="60% - 강조색4 4" xfId="28972" hidden="1"/>
    <cellStyle name="60% - 강조색4 4" xfId="29014" hidden="1"/>
    <cellStyle name="60% - 강조색4 4" xfId="29056" hidden="1"/>
    <cellStyle name="60% - 강조색4 4" xfId="29098" hidden="1"/>
    <cellStyle name="60% - 강조색4 4" xfId="28171" hidden="1"/>
    <cellStyle name="60% - 강조색4 4" xfId="29126" hidden="1"/>
    <cellStyle name="60% - 강조색4 4" xfId="29166" hidden="1"/>
    <cellStyle name="60% - 강조색4 4" xfId="29206" hidden="1"/>
    <cellStyle name="60% - 강조색4 4" xfId="29246" hidden="1"/>
    <cellStyle name="60% - 강조색4 4" xfId="29286" hidden="1"/>
    <cellStyle name="60% - 강조색4 4" xfId="29326" hidden="1"/>
    <cellStyle name="60% - 강조색4 4" xfId="29366" hidden="1"/>
    <cellStyle name="60% - 강조색4 4" xfId="29406" hidden="1"/>
    <cellStyle name="60% - 강조색4 4" xfId="29446" hidden="1"/>
    <cellStyle name="60% - 강조색4 4" xfId="29486" hidden="1"/>
    <cellStyle name="60% - 강조색4 4" xfId="29526" hidden="1"/>
    <cellStyle name="60% - 강조색4 4" xfId="29566" hidden="1"/>
    <cellStyle name="60% - 강조색4 4" xfId="29576" hidden="1"/>
    <cellStyle name="60% - 강조색4 4" xfId="29616" hidden="1"/>
    <cellStyle name="60% - 강조색4 4" xfId="29656" hidden="1"/>
    <cellStyle name="60% - 강조색4 4" xfId="29696" hidden="1"/>
    <cellStyle name="60% - 강조색4 4" xfId="29736" hidden="1"/>
    <cellStyle name="60% - 강조색4 4" xfId="29776" hidden="1"/>
    <cellStyle name="60% - 강조색4 4" xfId="29816" hidden="1"/>
    <cellStyle name="60% - 강조색4 4" xfId="29856" hidden="1"/>
    <cellStyle name="60% - 강조색4 4" xfId="29896" hidden="1"/>
    <cellStyle name="60% - 강조색4 4" xfId="29936" hidden="1"/>
    <cellStyle name="60% - 강조색4 4" xfId="29976" hidden="1"/>
    <cellStyle name="60% - 강조색4 4" xfId="30016" hidden="1"/>
    <cellStyle name="60% - 강조색4 4" xfId="30100" hidden="1"/>
    <cellStyle name="60% - 강조색4 4" xfId="30141" hidden="1"/>
    <cellStyle name="60% - 강조색4 4" xfId="30183" hidden="1"/>
    <cellStyle name="60% - 강조색4 4" xfId="30225" hidden="1"/>
    <cellStyle name="60% - 강조색4 4" xfId="30267" hidden="1"/>
    <cellStyle name="60% - 강조색4 4" xfId="30309" hidden="1"/>
    <cellStyle name="60% - 강조색4 4" xfId="30351" hidden="1"/>
    <cellStyle name="60% - 강조색4 4" xfId="30393" hidden="1"/>
    <cellStyle name="60% - 강조색4 4" xfId="30435" hidden="1"/>
    <cellStyle name="60% - 강조색4 4" xfId="30477" hidden="1"/>
    <cellStyle name="60% - 강조색4 4" xfId="30519" hidden="1"/>
    <cellStyle name="60% - 강조색4 4" xfId="30561" hidden="1"/>
    <cellStyle name="60% - 강조색4 4" xfId="30057" hidden="1"/>
    <cellStyle name="60% - 강조색4 4" xfId="30740" hidden="1"/>
    <cellStyle name="60% - 강조색4 4" xfId="30780" hidden="1"/>
    <cellStyle name="60% - 강조색4 4" xfId="30820" hidden="1"/>
    <cellStyle name="60% - 강조색4 4" xfId="30860" hidden="1"/>
    <cellStyle name="60% - 강조색4 4" xfId="30900" hidden="1"/>
    <cellStyle name="60% - 강조색4 4" xfId="30940" hidden="1"/>
    <cellStyle name="60% - 강조색4 4" xfId="30980" hidden="1"/>
    <cellStyle name="60% - 강조색4 4" xfId="31020" hidden="1"/>
    <cellStyle name="60% - 강조색4 4" xfId="31060" hidden="1"/>
    <cellStyle name="60% - 강조색4 4" xfId="31100" hidden="1"/>
    <cellStyle name="60% - 강조색4 4" xfId="31140" hidden="1"/>
    <cellStyle name="60% - 강조색4 4" xfId="31180" hidden="1"/>
    <cellStyle name="60% - 강조색4 4" xfId="30620" hidden="1"/>
    <cellStyle name="60% - 강조색4 4" xfId="30572" hidden="1"/>
    <cellStyle name="60% - 강조색4 4" xfId="31222" hidden="1"/>
    <cellStyle name="60% - 강조색4 4" xfId="31264" hidden="1"/>
    <cellStyle name="60% - 강조색4 4" xfId="31306" hidden="1"/>
    <cellStyle name="60% - 강조색4 4" xfId="31348" hidden="1"/>
    <cellStyle name="60% - 강조색4 4" xfId="31390" hidden="1"/>
    <cellStyle name="60% - 강조색4 4" xfId="31432" hidden="1"/>
    <cellStyle name="60% - 강조색4 4" xfId="31474" hidden="1"/>
    <cellStyle name="60% - 강조색4 4" xfId="31516" hidden="1"/>
    <cellStyle name="60% - 강조색4 4" xfId="31558" hidden="1"/>
    <cellStyle name="60% - 강조색4 4" xfId="31600" hidden="1"/>
    <cellStyle name="60% - 강조색4 4" xfId="30673" hidden="1"/>
    <cellStyle name="60% - 강조색4 4" xfId="31628" hidden="1"/>
    <cellStyle name="60% - 강조색4 4" xfId="31668" hidden="1"/>
    <cellStyle name="60% - 강조색4 4" xfId="31708" hidden="1"/>
    <cellStyle name="60% - 강조색4 4" xfId="31748" hidden="1"/>
    <cellStyle name="60% - 강조색4 4" xfId="31788" hidden="1"/>
    <cellStyle name="60% - 강조색4 4" xfId="31828" hidden="1"/>
    <cellStyle name="60% - 강조색4 4" xfId="31868" hidden="1"/>
    <cellStyle name="60% - 강조색4 4" xfId="31908" hidden="1"/>
    <cellStyle name="60% - 강조색4 4" xfId="31948" hidden="1"/>
    <cellStyle name="60% - 강조색4 4" xfId="31988" hidden="1"/>
    <cellStyle name="60% - 강조색4 4" xfId="32028" hidden="1"/>
    <cellStyle name="60% - 강조색4 4" xfId="32068" hidden="1"/>
    <cellStyle name="60% - 강조색4 4" xfId="32130" hidden="1"/>
    <cellStyle name="60% - 강조색4 4" xfId="32170" hidden="1"/>
    <cellStyle name="60% - 강조색4 4" xfId="32210" hidden="1"/>
    <cellStyle name="60% - 강조색4 4" xfId="32250" hidden="1"/>
    <cellStyle name="60% - 강조색4 4" xfId="32290" hidden="1"/>
    <cellStyle name="60% - 강조색4 4" xfId="32330" hidden="1"/>
    <cellStyle name="60% - 강조색4 4" xfId="32370" hidden="1"/>
    <cellStyle name="60% - 강조색4 4" xfId="32410" hidden="1"/>
    <cellStyle name="60% - 강조색4 4" xfId="32450" hidden="1"/>
    <cellStyle name="60% - 강조색4 4" xfId="32490" hidden="1"/>
    <cellStyle name="60% - 강조색4 4" xfId="32530" hidden="1"/>
    <cellStyle name="60% - 강조색4 4" xfId="32570" hidden="1"/>
    <cellStyle name="60% - 강조색4 4" xfId="32655" hidden="1"/>
    <cellStyle name="60% - 강조색4 4" xfId="32696" hidden="1"/>
    <cellStyle name="60% - 강조색4 4" xfId="32738" hidden="1"/>
    <cellStyle name="60% - 강조색4 4" xfId="32780" hidden="1"/>
    <cellStyle name="60% - 강조색4 4" xfId="32822" hidden="1"/>
    <cellStyle name="60% - 강조색4 4" xfId="32864" hidden="1"/>
    <cellStyle name="60% - 강조색4 4" xfId="32906" hidden="1"/>
    <cellStyle name="60% - 강조색4 4" xfId="32948" hidden="1"/>
    <cellStyle name="60% - 강조색4 4" xfId="32990" hidden="1"/>
    <cellStyle name="60% - 강조색4 4" xfId="33032" hidden="1"/>
    <cellStyle name="60% - 강조색4 4" xfId="33074" hidden="1"/>
    <cellStyle name="60% - 강조색4 4" xfId="33116" hidden="1"/>
    <cellStyle name="60% - 강조색4 4" xfId="32612" hidden="1"/>
    <cellStyle name="60% - 강조색4 4" xfId="33295" hidden="1"/>
    <cellStyle name="60% - 강조색4 4" xfId="33335" hidden="1"/>
    <cellStyle name="60% - 강조색4 4" xfId="33375" hidden="1"/>
    <cellStyle name="60% - 강조색4 4" xfId="33415" hidden="1"/>
    <cellStyle name="60% - 강조색4 4" xfId="33455" hidden="1"/>
    <cellStyle name="60% - 강조색4 4" xfId="33495" hidden="1"/>
    <cellStyle name="60% - 강조색4 4" xfId="33535" hidden="1"/>
    <cellStyle name="60% - 강조색4 4" xfId="33575" hidden="1"/>
    <cellStyle name="60% - 강조색4 4" xfId="33615" hidden="1"/>
    <cellStyle name="60% - 강조색4 4" xfId="33655" hidden="1"/>
    <cellStyle name="60% - 강조색4 4" xfId="33695" hidden="1"/>
    <cellStyle name="60% - 강조색4 4" xfId="33735" hidden="1"/>
    <cellStyle name="60% - 강조색4 4" xfId="33175" hidden="1"/>
    <cellStyle name="60% - 강조색4 4" xfId="33127" hidden="1"/>
    <cellStyle name="60% - 강조색4 4" xfId="33777" hidden="1"/>
    <cellStyle name="60% - 강조색4 4" xfId="33819" hidden="1"/>
    <cellStyle name="60% - 강조색4 4" xfId="33861" hidden="1"/>
    <cellStyle name="60% - 강조색4 4" xfId="33903" hidden="1"/>
    <cellStyle name="60% - 강조색4 4" xfId="33945" hidden="1"/>
    <cellStyle name="60% - 강조색4 4" xfId="33987" hidden="1"/>
    <cellStyle name="60% - 강조색4 4" xfId="34029" hidden="1"/>
    <cellStyle name="60% - 강조색4 4" xfId="34071" hidden="1"/>
    <cellStyle name="60% - 강조색4 4" xfId="34113" hidden="1"/>
    <cellStyle name="60% - 강조색4 4" xfId="34155" hidden="1"/>
    <cellStyle name="60% - 강조색4 4" xfId="33228" hidden="1"/>
    <cellStyle name="60% - 강조색4 4" xfId="34183" hidden="1"/>
    <cellStyle name="60% - 강조색4 4" xfId="34223" hidden="1"/>
    <cellStyle name="60% - 강조색4 4" xfId="34263" hidden="1"/>
    <cellStyle name="60% - 강조색4 4" xfId="34303" hidden="1"/>
    <cellStyle name="60% - 강조색4 4" xfId="34343" hidden="1"/>
    <cellStyle name="60% - 강조색4 4" xfId="34383" hidden="1"/>
    <cellStyle name="60% - 강조색4 4" xfId="34423" hidden="1"/>
    <cellStyle name="60% - 강조색4 4" xfId="34463" hidden="1"/>
    <cellStyle name="60% - 강조색4 4" xfId="34503" hidden="1"/>
    <cellStyle name="60% - 강조색4 4" xfId="34543" hidden="1"/>
    <cellStyle name="60% - 강조색4 4" xfId="34583" hidden="1"/>
    <cellStyle name="60% - 강조색4 4" xfId="34623" hidden="1"/>
    <cellStyle name="60% - 강조색4 4" xfId="34720" hidden="1"/>
    <cellStyle name="60% - 강조색4 4" xfId="34760" hidden="1"/>
    <cellStyle name="60% - 강조색4 4" xfId="34800" hidden="1"/>
    <cellStyle name="60% - 강조색4 4" xfId="34840" hidden="1"/>
    <cellStyle name="60% - 강조색4 4" xfId="34880" hidden="1"/>
    <cellStyle name="60% - 강조색4 4" xfId="34920" hidden="1"/>
    <cellStyle name="60% - 강조색4 4" xfId="34960" hidden="1"/>
    <cellStyle name="60% - 강조색4 4" xfId="35000" hidden="1"/>
    <cellStyle name="60% - 강조색4 4" xfId="35040" hidden="1"/>
    <cellStyle name="60% - 강조색4 4" xfId="35080" hidden="1"/>
    <cellStyle name="60% - 강조색4 4" xfId="35120" hidden="1"/>
    <cellStyle name="60% - 강조색4 4" xfId="35160" hidden="1"/>
    <cellStyle name="60% - 강조색4 4" xfId="35244" hidden="1"/>
    <cellStyle name="60% - 강조색4 4" xfId="35285" hidden="1"/>
    <cellStyle name="60% - 강조색4 4" xfId="35327" hidden="1"/>
    <cellStyle name="60% - 강조색4 4" xfId="35369" hidden="1"/>
    <cellStyle name="60% - 강조색4 4" xfId="35411" hidden="1"/>
    <cellStyle name="60% - 강조색4 4" xfId="35453" hidden="1"/>
    <cellStyle name="60% - 강조색4 4" xfId="35495" hidden="1"/>
    <cellStyle name="60% - 강조색4 4" xfId="35537" hidden="1"/>
    <cellStyle name="60% - 강조색4 4" xfId="35579" hidden="1"/>
    <cellStyle name="60% - 강조색4 4" xfId="35621" hidden="1"/>
    <cellStyle name="60% - 강조색4 4" xfId="35663" hidden="1"/>
    <cellStyle name="60% - 강조색4 4" xfId="35705" hidden="1"/>
    <cellStyle name="60% - 강조색4 4" xfId="35201" hidden="1"/>
    <cellStyle name="60% - 강조색4 4" xfId="35884" hidden="1"/>
    <cellStyle name="60% - 강조색4 4" xfId="35924" hidden="1"/>
    <cellStyle name="60% - 강조색4 4" xfId="35964" hidden="1"/>
    <cellStyle name="60% - 강조색4 4" xfId="36004" hidden="1"/>
    <cellStyle name="60% - 강조색4 4" xfId="36044" hidden="1"/>
    <cellStyle name="60% - 강조색4 4" xfId="36084" hidden="1"/>
    <cellStyle name="60% - 강조색4 4" xfId="36124" hidden="1"/>
    <cellStyle name="60% - 강조색4 4" xfId="36164" hidden="1"/>
    <cellStyle name="60% - 강조색4 4" xfId="36204" hidden="1"/>
    <cellStyle name="60% - 강조색4 4" xfId="36244" hidden="1"/>
    <cellStyle name="60% - 강조색4 4" xfId="36284" hidden="1"/>
    <cellStyle name="60% - 강조색4 4" xfId="36324" hidden="1"/>
    <cellStyle name="60% - 강조색4 4" xfId="35764" hidden="1"/>
    <cellStyle name="60% - 강조색4 4" xfId="35716" hidden="1"/>
    <cellStyle name="60% - 강조색4 4" xfId="36366" hidden="1"/>
    <cellStyle name="60% - 강조색4 4" xfId="36408" hidden="1"/>
    <cellStyle name="60% - 강조색4 4" xfId="36450" hidden="1"/>
    <cellStyle name="60% - 강조색4 4" xfId="36492" hidden="1"/>
    <cellStyle name="60% - 강조색4 4" xfId="36534" hidden="1"/>
    <cellStyle name="60% - 강조색4 4" xfId="36576" hidden="1"/>
    <cellStyle name="60% - 강조색4 4" xfId="36618" hidden="1"/>
    <cellStyle name="60% - 강조색4 4" xfId="36660" hidden="1"/>
    <cellStyle name="60% - 강조색4 4" xfId="36702" hidden="1"/>
    <cellStyle name="60% - 강조색4 4" xfId="36744" hidden="1"/>
    <cellStyle name="60% - 강조색4 4" xfId="35817" hidden="1"/>
    <cellStyle name="60% - 강조색4 4" xfId="36772" hidden="1"/>
    <cellStyle name="60% - 강조색4 4" xfId="36812" hidden="1"/>
    <cellStyle name="60% - 강조색4 4" xfId="36852" hidden="1"/>
    <cellStyle name="60% - 강조색4 4" xfId="36892" hidden="1"/>
    <cellStyle name="60% - 강조색4 4" xfId="36932" hidden="1"/>
    <cellStyle name="60% - 강조색4 4" xfId="36972" hidden="1"/>
    <cellStyle name="60% - 강조색4 4" xfId="37012" hidden="1"/>
    <cellStyle name="60% - 강조색4 4" xfId="37052" hidden="1"/>
    <cellStyle name="60% - 강조색4 4" xfId="37092" hidden="1"/>
    <cellStyle name="60% - 강조색4 4" xfId="37132" hidden="1"/>
    <cellStyle name="60% - 강조색4 4" xfId="37172" hidden="1"/>
    <cellStyle name="60% - 강조색4 4" xfId="37212" hidden="1"/>
    <cellStyle name="60% - 강조색4 4" xfId="37223" hidden="1"/>
    <cellStyle name="60% - 강조색4 4" xfId="37263" hidden="1"/>
    <cellStyle name="60% - 강조색4 4" xfId="37304" hidden="1"/>
    <cellStyle name="60% - 강조색4 4" xfId="37344" hidden="1"/>
    <cellStyle name="60% - 강조색4 4" xfId="37384" hidden="1"/>
    <cellStyle name="60% - 강조색4 4" xfId="37424" hidden="1"/>
    <cellStyle name="60% - 강조색4 4" xfId="37464" hidden="1"/>
    <cellStyle name="60% - 강조색4 4" xfId="37504" hidden="1"/>
    <cellStyle name="60% - 강조색4 4" xfId="37544" hidden="1"/>
    <cellStyle name="60% - 강조색4 4" xfId="37584" hidden="1"/>
    <cellStyle name="60% - 강조색4 4" xfId="37624" hidden="1"/>
    <cellStyle name="60% - 강조색4 4" xfId="37664" hidden="1"/>
    <cellStyle name="60% - 강조색4 4" xfId="37748" hidden="1"/>
    <cellStyle name="60% - 강조색4 4" xfId="37789" hidden="1"/>
    <cellStyle name="60% - 강조색4 4" xfId="37831" hidden="1"/>
    <cellStyle name="60% - 강조색4 4" xfId="37873" hidden="1"/>
    <cellStyle name="60% - 강조색4 4" xfId="37915" hidden="1"/>
    <cellStyle name="60% - 강조색4 4" xfId="37957" hidden="1"/>
    <cellStyle name="60% - 강조색4 4" xfId="37999" hidden="1"/>
    <cellStyle name="60% - 강조색4 4" xfId="38041" hidden="1"/>
    <cellStyle name="60% - 강조색4 4" xfId="38083" hidden="1"/>
    <cellStyle name="60% - 강조색4 4" xfId="38125" hidden="1"/>
    <cellStyle name="60% - 강조색4 4" xfId="38167" hidden="1"/>
    <cellStyle name="60% - 강조색4 4" xfId="38209" hidden="1"/>
    <cellStyle name="60% - 강조색4 4" xfId="37705" hidden="1"/>
    <cellStyle name="60% - 강조색4 4" xfId="38388" hidden="1"/>
    <cellStyle name="60% - 강조색4 4" xfId="38428" hidden="1"/>
    <cellStyle name="60% - 강조색4 4" xfId="38468" hidden="1"/>
    <cellStyle name="60% - 강조색4 4" xfId="38508" hidden="1"/>
    <cellStyle name="60% - 강조색4 4" xfId="38548" hidden="1"/>
    <cellStyle name="60% - 강조색4 4" xfId="38588" hidden="1"/>
    <cellStyle name="60% - 강조색4 4" xfId="38628" hidden="1"/>
    <cellStyle name="60% - 강조색4 4" xfId="38668" hidden="1"/>
    <cellStyle name="60% - 강조색4 4" xfId="38708" hidden="1"/>
    <cellStyle name="60% - 강조색4 4" xfId="38748" hidden="1"/>
    <cellStyle name="60% - 강조색4 4" xfId="38788" hidden="1"/>
    <cellStyle name="60% - 강조색4 4" xfId="38828" hidden="1"/>
    <cellStyle name="60% - 강조색4 4" xfId="38268" hidden="1"/>
    <cellStyle name="60% - 강조색4 4" xfId="38220" hidden="1"/>
    <cellStyle name="60% - 강조색4 4" xfId="38870" hidden="1"/>
    <cellStyle name="60% - 강조색4 4" xfId="38912" hidden="1"/>
    <cellStyle name="60% - 강조색4 4" xfId="38954" hidden="1"/>
    <cellStyle name="60% - 강조색4 4" xfId="38996" hidden="1"/>
    <cellStyle name="60% - 강조색4 4" xfId="39038" hidden="1"/>
    <cellStyle name="60% - 강조색4 4" xfId="39080" hidden="1"/>
    <cellStyle name="60% - 강조색4 4" xfId="39122" hidden="1"/>
    <cellStyle name="60% - 강조색4 4" xfId="39164" hidden="1"/>
    <cellStyle name="60% - 강조색4 4" xfId="39206" hidden="1"/>
    <cellStyle name="60% - 강조색4 4" xfId="39248" hidden="1"/>
    <cellStyle name="60% - 강조색4 4" xfId="38321" hidden="1"/>
    <cellStyle name="60% - 강조색4 4" xfId="39276" hidden="1"/>
    <cellStyle name="60% - 강조색4 4" xfId="39316" hidden="1"/>
    <cellStyle name="60% - 강조색4 4" xfId="39356" hidden="1"/>
    <cellStyle name="60% - 강조색4 4" xfId="39396" hidden="1"/>
    <cellStyle name="60% - 강조색4 4" xfId="39436" hidden="1"/>
    <cellStyle name="60% - 강조색4 4" xfId="39476" hidden="1"/>
    <cellStyle name="60% - 강조색4 4" xfId="39516" hidden="1"/>
    <cellStyle name="60% - 강조색4 4" xfId="39556" hidden="1"/>
    <cellStyle name="60% - 강조색4 4" xfId="39596" hidden="1"/>
    <cellStyle name="60% - 강조색4 4" xfId="39636" hidden="1"/>
    <cellStyle name="60% - 강조색4 4" xfId="39676" hidden="1"/>
    <cellStyle name="60% - 강조색4 4" xfId="39716" hidden="1"/>
    <cellStyle name="60% - 강조색4 4" xfId="39726" hidden="1"/>
    <cellStyle name="60% - 강조색4 4" xfId="39766" hidden="1"/>
    <cellStyle name="60% - 강조색4 4" xfId="39806" hidden="1"/>
    <cellStyle name="60% - 강조색4 4" xfId="39846" hidden="1"/>
    <cellStyle name="60% - 강조색4 4" xfId="39886" hidden="1"/>
    <cellStyle name="60% - 강조색4 4" xfId="39926" hidden="1"/>
    <cellStyle name="60% - 강조색4 4" xfId="39966" hidden="1"/>
    <cellStyle name="60% - 강조색4 4" xfId="40006" hidden="1"/>
    <cellStyle name="60% - 강조색4 4" xfId="40046" hidden="1"/>
    <cellStyle name="60% - 강조색4 4" xfId="40086" hidden="1"/>
    <cellStyle name="60% - 강조색4 4" xfId="40126" hidden="1"/>
    <cellStyle name="60% - 강조색4 4" xfId="40166" hidden="1"/>
    <cellStyle name="60% - 강조색4 4" xfId="40250" hidden="1"/>
    <cellStyle name="60% - 강조색4 4" xfId="40291" hidden="1"/>
    <cellStyle name="60% - 강조색4 4" xfId="40333" hidden="1"/>
    <cellStyle name="60% - 강조색4 4" xfId="40375" hidden="1"/>
    <cellStyle name="60% - 강조색4 4" xfId="40417" hidden="1"/>
    <cellStyle name="60% - 강조색4 4" xfId="40459" hidden="1"/>
    <cellStyle name="60% - 강조색4 4" xfId="40501" hidden="1"/>
    <cellStyle name="60% - 강조색4 4" xfId="40543" hidden="1"/>
    <cellStyle name="60% - 강조색4 4" xfId="40585" hidden="1"/>
    <cellStyle name="60% - 강조색4 4" xfId="40627" hidden="1"/>
    <cellStyle name="60% - 강조색4 4" xfId="40669" hidden="1"/>
    <cellStyle name="60% - 강조색4 4" xfId="40711" hidden="1"/>
    <cellStyle name="60% - 강조색4 4" xfId="40207" hidden="1"/>
    <cellStyle name="60% - 강조색4 4" xfId="40890" hidden="1"/>
    <cellStyle name="60% - 강조색4 4" xfId="40930" hidden="1"/>
    <cellStyle name="60% - 강조색4 4" xfId="40970" hidden="1"/>
    <cellStyle name="60% - 강조색4 4" xfId="41010" hidden="1"/>
    <cellStyle name="60% - 강조색4 4" xfId="41050" hidden="1"/>
    <cellStyle name="60% - 강조색4 4" xfId="41090" hidden="1"/>
    <cellStyle name="60% - 강조색4 4" xfId="41130" hidden="1"/>
    <cellStyle name="60% - 강조색4 4" xfId="41170" hidden="1"/>
    <cellStyle name="60% - 강조색4 4" xfId="41210" hidden="1"/>
    <cellStyle name="60% - 강조색4 4" xfId="41250" hidden="1"/>
    <cellStyle name="60% - 강조색4 4" xfId="41290" hidden="1"/>
    <cellStyle name="60% - 강조색4 4" xfId="41330" hidden="1"/>
    <cellStyle name="60% - 강조색4 4" xfId="40770" hidden="1"/>
    <cellStyle name="60% - 강조색4 4" xfId="40722" hidden="1"/>
    <cellStyle name="60% - 강조색4 4" xfId="41372" hidden="1"/>
    <cellStyle name="60% - 강조색4 4" xfId="41414" hidden="1"/>
    <cellStyle name="60% - 강조색4 4" xfId="41456" hidden="1"/>
    <cellStyle name="60% - 강조색4 4" xfId="41498" hidden="1"/>
    <cellStyle name="60% - 강조색4 4" xfId="41540" hidden="1"/>
    <cellStyle name="60% - 강조색4 4" xfId="41582" hidden="1"/>
    <cellStyle name="60% - 강조색4 4" xfId="41624" hidden="1"/>
    <cellStyle name="60% - 강조색4 4" xfId="41666" hidden="1"/>
    <cellStyle name="60% - 강조색4 4" xfId="41708" hidden="1"/>
    <cellStyle name="60% - 강조색4 4" xfId="41750" hidden="1"/>
    <cellStyle name="60% - 강조색4 4" xfId="40823" hidden="1"/>
    <cellStyle name="60% - 강조색4 4" xfId="41778" hidden="1"/>
    <cellStyle name="60% - 강조색4 4" xfId="41818" hidden="1"/>
    <cellStyle name="60% - 강조색4 4" xfId="41858" hidden="1"/>
    <cellStyle name="60% - 강조색4 4" xfId="41898" hidden="1"/>
    <cellStyle name="60% - 강조색4 4" xfId="41938" hidden="1"/>
    <cellStyle name="60% - 강조색4 4" xfId="41978" hidden="1"/>
    <cellStyle name="60% - 강조색4 4" xfId="42018" hidden="1"/>
    <cellStyle name="60% - 강조색4 4" xfId="42058" hidden="1"/>
    <cellStyle name="60% - 강조색4 4" xfId="42098" hidden="1"/>
    <cellStyle name="60% - 강조색4 4" xfId="42138" hidden="1"/>
    <cellStyle name="60% - 강조색4 4" xfId="42178" hidden="1"/>
    <cellStyle name="60% - 강조색4 4" xfId="42218" hidden="1"/>
    <cellStyle name="60% - 강조색4 4" xfId="42261" hidden="1"/>
    <cellStyle name="60% - 강조색4 4" xfId="42301" hidden="1"/>
    <cellStyle name="60% - 강조색4 4" xfId="42341" hidden="1"/>
    <cellStyle name="60% - 강조색4 4" xfId="42381" hidden="1"/>
    <cellStyle name="60% - 강조색4 4" xfId="42421" hidden="1"/>
    <cellStyle name="60% - 강조색4 4" xfId="42461" hidden="1"/>
    <cellStyle name="60% - 강조색4 4" xfId="42501" hidden="1"/>
    <cellStyle name="60% - 강조색4 4" xfId="42541" hidden="1"/>
    <cellStyle name="60% - 강조색4 4" xfId="42581" hidden="1"/>
    <cellStyle name="60% - 강조색4 4" xfId="42621" hidden="1"/>
    <cellStyle name="60% - 강조색4 4" xfId="42661" hidden="1"/>
    <cellStyle name="60% - 강조색4 4" xfId="42701" hidden="1"/>
    <cellStyle name="60% - 강조색4 4" xfId="42785" hidden="1"/>
    <cellStyle name="60% - 강조색4 4" xfId="42826" hidden="1"/>
    <cellStyle name="60% - 강조색4 4" xfId="42868" hidden="1"/>
    <cellStyle name="60% - 강조색4 4" xfId="42910" hidden="1"/>
    <cellStyle name="60% - 강조색4 4" xfId="42952" hidden="1"/>
    <cellStyle name="60% - 강조색4 4" xfId="42994" hidden="1"/>
    <cellStyle name="60% - 강조색4 4" xfId="43036" hidden="1"/>
    <cellStyle name="60% - 강조색4 4" xfId="43078" hidden="1"/>
    <cellStyle name="60% - 강조색4 4" xfId="43120" hidden="1"/>
    <cellStyle name="60% - 강조색4 4" xfId="43162" hidden="1"/>
    <cellStyle name="60% - 강조색4 4" xfId="43204" hidden="1"/>
    <cellStyle name="60% - 강조색4 4" xfId="43246" hidden="1"/>
    <cellStyle name="60% - 강조색4 4" xfId="42742" hidden="1"/>
    <cellStyle name="60% - 강조색4 4" xfId="43425" hidden="1"/>
    <cellStyle name="60% - 강조색4 4" xfId="43465" hidden="1"/>
    <cellStyle name="60% - 강조색4 4" xfId="43505" hidden="1"/>
    <cellStyle name="60% - 강조색4 4" xfId="43545" hidden="1"/>
    <cellStyle name="60% - 강조색4 4" xfId="43585" hidden="1"/>
    <cellStyle name="60% - 강조색4 4" xfId="43625" hidden="1"/>
    <cellStyle name="60% - 강조색4 4" xfId="43665" hidden="1"/>
    <cellStyle name="60% - 강조색4 4" xfId="43705" hidden="1"/>
    <cellStyle name="60% - 강조색4 4" xfId="43745" hidden="1"/>
    <cellStyle name="60% - 강조색4 4" xfId="43785" hidden="1"/>
    <cellStyle name="60% - 강조색4 4" xfId="43825" hidden="1"/>
    <cellStyle name="60% - 강조색4 4" xfId="43865" hidden="1"/>
    <cellStyle name="60% - 강조색4 4" xfId="43305" hidden="1"/>
    <cellStyle name="60% - 강조색4 4" xfId="43257" hidden="1"/>
    <cellStyle name="60% - 강조색4 4" xfId="43907" hidden="1"/>
    <cellStyle name="60% - 강조색4 4" xfId="43949" hidden="1"/>
    <cellStyle name="60% - 강조색4 4" xfId="43991" hidden="1"/>
    <cellStyle name="60% - 강조색4 4" xfId="44033" hidden="1"/>
    <cellStyle name="60% - 강조색4 4" xfId="44075" hidden="1"/>
    <cellStyle name="60% - 강조색4 4" xfId="44117" hidden="1"/>
    <cellStyle name="60% - 강조색4 4" xfId="44159" hidden="1"/>
    <cellStyle name="60% - 강조색4 4" xfId="44201" hidden="1"/>
    <cellStyle name="60% - 강조색4 4" xfId="44243" hidden="1"/>
    <cellStyle name="60% - 강조색4 4" xfId="44285" hidden="1"/>
    <cellStyle name="60% - 강조색4 4" xfId="43358" hidden="1"/>
    <cellStyle name="60% - 강조색4 4" xfId="44313" hidden="1"/>
    <cellStyle name="60% - 강조색4 4" xfId="44353" hidden="1"/>
    <cellStyle name="60% - 강조색4 4" xfId="44393" hidden="1"/>
    <cellStyle name="60% - 강조색4 4" xfId="44433" hidden="1"/>
    <cellStyle name="60% - 강조색4 4" xfId="44473" hidden="1"/>
    <cellStyle name="60% - 강조색4 4" xfId="44513" hidden="1"/>
    <cellStyle name="60% - 강조색4 4" xfId="44553" hidden="1"/>
    <cellStyle name="60% - 강조색4 4" xfId="44593" hidden="1"/>
    <cellStyle name="60% - 강조색4 4" xfId="44633" hidden="1"/>
    <cellStyle name="60% - 강조색4 4" xfId="44673" hidden="1"/>
    <cellStyle name="60% - 강조색4 4" xfId="44713" hidden="1"/>
    <cellStyle name="60% - 강조색4 4" xfId="44753" hidden="1"/>
    <cellStyle name="60% - 강조색4 4" xfId="44849" hidden="1"/>
    <cellStyle name="60% - 강조색4 4" xfId="44889" hidden="1"/>
    <cellStyle name="60% - 강조색4 4" xfId="44931" hidden="1"/>
    <cellStyle name="60% - 강조색4 4" xfId="44972" hidden="1"/>
    <cellStyle name="60% - 강조색4 4" xfId="45012" hidden="1"/>
    <cellStyle name="60% - 강조색4 4" xfId="45052" hidden="1"/>
    <cellStyle name="60% - 강조색4 4" xfId="45092" hidden="1"/>
    <cellStyle name="60% - 강조색4 4" xfId="45132" hidden="1"/>
    <cellStyle name="60% - 강조색4 4" xfId="45172" hidden="1"/>
    <cellStyle name="60% - 강조색4 4" xfId="45212" hidden="1"/>
    <cellStyle name="60% - 강조색4 4" xfId="45252" hidden="1"/>
    <cellStyle name="60% - 강조색4 4" xfId="45292" hidden="1"/>
    <cellStyle name="60% - 강조색4 4" xfId="45376" hidden="1"/>
    <cellStyle name="60% - 강조색4 4" xfId="45417" hidden="1"/>
    <cellStyle name="60% - 강조색4 4" xfId="45459" hidden="1"/>
    <cellStyle name="60% - 강조색4 4" xfId="45501" hidden="1"/>
    <cellStyle name="60% - 강조색4 4" xfId="45543" hidden="1"/>
    <cellStyle name="60% - 강조색4 4" xfId="45585" hidden="1"/>
    <cellStyle name="60% - 강조색4 4" xfId="45627" hidden="1"/>
    <cellStyle name="60% - 강조색4 4" xfId="45669" hidden="1"/>
    <cellStyle name="60% - 강조색4 4" xfId="45711" hidden="1"/>
    <cellStyle name="60% - 강조색4 4" xfId="45753" hidden="1"/>
    <cellStyle name="60% - 강조색4 4" xfId="45795" hidden="1"/>
    <cellStyle name="60% - 강조색4 4" xfId="45837" hidden="1"/>
    <cellStyle name="60% - 강조색4 4" xfId="45333" hidden="1"/>
    <cellStyle name="60% - 강조색4 4" xfId="46016" hidden="1"/>
    <cellStyle name="60% - 강조색4 4" xfId="46056" hidden="1"/>
    <cellStyle name="60% - 강조색4 4" xfId="46096" hidden="1"/>
    <cellStyle name="60% - 강조색4 4" xfId="46136" hidden="1"/>
    <cellStyle name="60% - 강조색4 4" xfId="46176" hidden="1"/>
    <cellStyle name="60% - 강조색4 4" xfId="46216" hidden="1"/>
    <cellStyle name="60% - 강조색4 4" xfId="46256" hidden="1"/>
    <cellStyle name="60% - 강조색4 4" xfId="46296" hidden="1"/>
    <cellStyle name="60% - 강조색4 4" xfId="46336" hidden="1"/>
    <cellStyle name="60% - 강조색4 4" xfId="46376" hidden="1"/>
    <cellStyle name="60% - 강조색4 4" xfId="46416" hidden="1"/>
    <cellStyle name="60% - 강조색4 4" xfId="46456" hidden="1"/>
    <cellStyle name="60% - 강조색4 4" xfId="45896" hidden="1"/>
    <cellStyle name="60% - 강조색4 4" xfId="45848" hidden="1"/>
    <cellStyle name="60% - 강조색4 4" xfId="46498" hidden="1"/>
    <cellStyle name="60% - 강조색4 4" xfId="46540" hidden="1"/>
    <cellStyle name="60% - 강조색4 4" xfId="46582" hidden="1"/>
    <cellStyle name="60% - 강조색4 4" xfId="46624" hidden="1"/>
    <cellStyle name="60% - 강조색4 4" xfId="46666" hidden="1"/>
    <cellStyle name="60% - 강조색4 4" xfId="46708" hidden="1"/>
    <cellStyle name="60% - 강조색4 4" xfId="46750" hidden="1"/>
    <cellStyle name="60% - 강조색4 4" xfId="46792" hidden="1"/>
    <cellStyle name="60% - 강조색4 4" xfId="46834" hidden="1"/>
    <cellStyle name="60% - 강조색4 4" xfId="46876" hidden="1"/>
    <cellStyle name="60% - 강조색4 4" xfId="45949" hidden="1"/>
    <cellStyle name="60% - 강조색4 4" xfId="46904" hidden="1"/>
    <cellStyle name="60% - 강조색4 4" xfId="46944" hidden="1"/>
    <cellStyle name="60% - 강조색4 4" xfId="46984" hidden="1"/>
    <cellStyle name="60% - 강조색4 4" xfId="47024" hidden="1"/>
    <cellStyle name="60% - 강조색4 4" xfId="47064" hidden="1"/>
    <cellStyle name="60% - 강조색4 4" xfId="47104" hidden="1"/>
    <cellStyle name="60% - 강조색4 4" xfId="47144" hidden="1"/>
    <cellStyle name="60% - 강조색4 4" xfId="47184" hidden="1"/>
    <cellStyle name="60% - 강조색4 4" xfId="47224" hidden="1"/>
    <cellStyle name="60% - 강조색4 4" xfId="47264" hidden="1"/>
    <cellStyle name="60% - 강조색4 4" xfId="47304" hidden="1"/>
    <cellStyle name="60% - 강조색4 4" xfId="47344" hidden="1"/>
    <cellStyle name="60% - 강조색4 4" xfId="47355" hidden="1"/>
    <cellStyle name="60% - 강조색4 4" xfId="47395" hidden="1"/>
    <cellStyle name="60% - 강조색4 4" xfId="47435" hidden="1"/>
    <cellStyle name="60% - 강조색4 4" xfId="47475" hidden="1"/>
    <cellStyle name="60% - 강조색4 4" xfId="47515" hidden="1"/>
    <cellStyle name="60% - 강조색4 4" xfId="47555" hidden="1"/>
    <cellStyle name="60% - 강조색4 4" xfId="47595" hidden="1"/>
    <cellStyle name="60% - 강조색4 4" xfId="47635" hidden="1"/>
    <cellStyle name="60% - 강조색4 4" xfId="47675" hidden="1"/>
    <cellStyle name="60% - 강조색4 4" xfId="47715" hidden="1"/>
    <cellStyle name="60% - 강조색4 4" xfId="47755" hidden="1"/>
    <cellStyle name="60% - 강조색4 4" xfId="47795" hidden="1"/>
    <cellStyle name="60% - 강조색4 4" xfId="47879" hidden="1"/>
    <cellStyle name="60% - 강조색4 4" xfId="47920" hidden="1"/>
    <cellStyle name="60% - 강조색4 4" xfId="47962" hidden="1"/>
    <cellStyle name="60% - 강조색4 4" xfId="48004" hidden="1"/>
    <cellStyle name="60% - 강조색4 4" xfId="48046" hidden="1"/>
    <cellStyle name="60% - 강조색4 4" xfId="48088" hidden="1"/>
    <cellStyle name="60% - 강조색4 4" xfId="48130" hidden="1"/>
    <cellStyle name="60% - 강조색4 4" xfId="48172" hidden="1"/>
    <cellStyle name="60% - 강조색4 4" xfId="48214" hidden="1"/>
    <cellStyle name="60% - 강조색4 4" xfId="48256" hidden="1"/>
    <cellStyle name="60% - 강조색4 4" xfId="48298" hidden="1"/>
    <cellStyle name="60% - 강조색4 4" xfId="48340" hidden="1"/>
    <cellStyle name="60% - 강조색4 4" xfId="47836" hidden="1"/>
    <cellStyle name="60% - 강조색4 4" xfId="48519" hidden="1"/>
    <cellStyle name="60% - 강조색4 4" xfId="48559" hidden="1"/>
    <cellStyle name="60% - 강조색4 4" xfId="48599" hidden="1"/>
    <cellStyle name="60% - 강조색4 4" xfId="48639" hidden="1"/>
    <cellStyle name="60% - 강조색4 4" xfId="48679" hidden="1"/>
    <cellStyle name="60% - 강조색4 4" xfId="48719" hidden="1"/>
    <cellStyle name="60% - 강조색4 4" xfId="48759" hidden="1"/>
    <cellStyle name="60% - 강조색4 4" xfId="48799" hidden="1"/>
    <cellStyle name="60% - 강조색4 4" xfId="48839" hidden="1"/>
    <cellStyle name="60% - 강조색4 4" xfId="48879" hidden="1"/>
    <cellStyle name="60% - 강조색4 4" xfId="48919" hidden="1"/>
    <cellStyle name="60% - 강조색4 4" xfId="48959" hidden="1"/>
    <cellStyle name="60% - 강조색4 4" xfId="48399" hidden="1"/>
    <cellStyle name="60% - 강조색4 4" xfId="48351" hidden="1"/>
    <cellStyle name="60% - 강조색4 4" xfId="49001" hidden="1"/>
    <cellStyle name="60% - 강조색4 4" xfId="49043" hidden="1"/>
    <cellStyle name="60% - 강조색4 4" xfId="49085" hidden="1"/>
    <cellStyle name="60% - 강조색4 4" xfId="49127" hidden="1"/>
    <cellStyle name="60% - 강조색4 4" xfId="49169" hidden="1"/>
    <cellStyle name="60% - 강조색4 4" xfId="49211" hidden="1"/>
    <cellStyle name="60% - 강조색4 4" xfId="49253" hidden="1"/>
    <cellStyle name="60% - 강조색4 4" xfId="49295" hidden="1"/>
    <cellStyle name="60% - 강조색4 4" xfId="49337" hidden="1"/>
    <cellStyle name="60% - 강조색4 4" xfId="49379" hidden="1"/>
    <cellStyle name="60% - 강조색4 4" xfId="48452" hidden="1"/>
    <cellStyle name="60% - 강조색4 4" xfId="49407" hidden="1"/>
    <cellStyle name="60% - 강조색4 4" xfId="49447" hidden="1"/>
    <cellStyle name="60% - 강조색4 4" xfId="49487" hidden="1"/>
    <cellStyle name="60% - 강조색4 4" xfId="49527" hidden="1"/>
    <cellStyle name="60% - 강조색4 4" xfId="49567" hidden="1"/>
    <cellStyle name="60% - 강조색4 4" xfId="49607" hidden="1"/>
    <cellStyle name="60% - 강조색4 4" xfId="49647" hidden="1"/>
    <cellStyle name="60% - 강조색4 4" xfId="49687" hidden="1"/>
    <cellStyle name="60% - 강조색4 4" xfId="49727" hidden="1"/>
    <cellStyle name="60% - 강조색4 4" xfId="49767" hidden="1"/>
    <cellStyle name="60% - 강조색4 4" xfId="49807" hidden="1"/>
    <cellStyle name="60% - 강조색4 4" xfId="49847" hidden="1"/>
    <cellStyle name="60% - 강조색4 4" xfId="49857" hidden="1"/>
    <cellStyle name="60% - 강조색4 4" xfId="49897" hidden="1"/>
    <cellStyle name="60% - 강조색4 4" xfId="49937" hidden="1"/>
    <cellStyle name="60% - 강조색4 4" xfId="49977" hidden="1"/>
    <cellStyle name="60% - 강조색4 4" xfId="50017" hidden="1"/>
    <cellStyle name="60% - 강조색4 4" xfId="50057" hidden="1"/>
    <cellStyle name="60% - 강조색4 4" xfId="50097" hidden="1"/>
    <cellStyle name="60% - 강조색4 4" xfId="50137" hidden="1"/>
    <cellStyle name="60% - 강조색4 4" xfId="50177" hidden="1"/>
    <cellStyle name="60% - 강조색4 4" xfId="50217" hidden="1"/>
    <cellStyle name="60% - 강조색4 4" xfId="50257" hidden="1"/>
    <cellStyle name="60% - 강조색4 4" xfId="50297" hidden="1"/>
    <cellStyle name="60% - 강조색4 4" xfId="50381" hidden="1"/>
    <cellStyle name="60% - 강조색4 4" xfId="50422" hidden="1"/>
    <cellStyle name="60% - 강조색4 4" xfId="50464" hidden="1"/>
    <cellStyle name="60% - 강조색4 4" xfId="50506" hidden="1"/>
    <cellStyle name="60% - 강조색4 4" xfId="50548" hidden="1"/>
    <cellStyle name="60% - 강조색4 4" xfId="50590" hidden="1"/>
    <cellStyle name="60% - 강조색4 4" xfId="50632" hidden="1"/>
    <cellStyle name="60% - 강조색4 4" xfId="50674" hidden="1"/>
    <cellStyle name="60% - 강조색4 4" xfId="50716" hidden="1"/>
    <cellStyle name="60% - 강조색4 4" xfId="50758" hidden="1"/>
    <cellStyle name="60% - 강조색4 4" xfId="50800" hidden="1"/>
    <cellStyle name="60% - 강조색4 4" xfId="50842" hidden="1"/>
    <cellStyle name="60% - 강조색4 4" xfId="50338" hidden="1"/>
    <cellStyle name="60% - 강조색4 4" xfId="51021" hidden="1"/>
    <cellStyle name="60% - 강조색4 4" xfId="51061" hidden="1"/>
    <cellStyle name="60% - 강조색4 4" xfId="51101" hidden="1"/>
    <cellStyle name="60% - 강조색4 4" xfId="51141" hidden="1"/>
    <cellStyle name="60% - 강조색4 4" xfId="51181" hidden="1"/>
    <cellStyle name="60% - 강조색4 4" xfId="51221" hidden="1"/>
    <cellStyle name="60% - 강조색4 4" xfId="51261" hidden="1"/>
    <cellStyle name="60% - 강조색4 4" xfId="51301" hidden="1"/>
    <cellStyle name="60% - 강조색4 4" xfId="51341" hidden="1"/>
    <cellStyle name="60% - 강조색4 4" xfId="51381" hidden="1"/>
    <cellStyle name="60% - 강조색4 4" xfId="51421" hidden="1"/>
    <cellStyle name="60% - 강조색4 4" xfId="51461" hidden="1"/>
    <cellStyle name="60% - 강조색4 4" xfId="50901" hidden="1"/>
    <cellStyle name="60% - 강조색4 4" xfId="50853" hidden="1"/>
    <cellStyle name="60% - 강조색4 4" xfId="51503" hidden="1"/>
    <cellStyle name="60% - 강조색4 4" xfId="51545" hidden="1"/>
    <cellStyle name="60% - 강조색4 4" xfId="51587" hidden="1"/>
    <cellStyle name="60% - 강조색4 4" xfId="51629" hidden="1"/>
    <cellStyle name="60% - 강조색4 4" xfId="51671" hidden="1"/>
    <cellStyle name="60% - 강조색4 4" xfId="51713" hidden="1"/>
    <cellStyle name="60% - 강조색4 4" xfId="51755" hidden="1"/>
    <cellStyle name="60% - 강조색4 4" xfId="51797" hidden="1"/>
    <cellStyle name="60% - 강조색4 4" xfId="51839" hidden="1"/>
    <cellStyle name="60% - 강조색4 4" xfId="51881" hidden="1"/>
    <cellStyle name="60% - 강조색4 4" xfId="50954" hidden="1"/>
    <cellStyle name="60% - 강조색4 4" xfId="51909" hidden="1"/>
    <cellStyle name="60% - 강조색4 4" xfId="51949" hidden="1"/>
    <cellStyle name="60% - 강조색4 4" xfId="51989" hidden="1"/>
    <cellStyle name="60% - 강조색4 4" xfId="52029" hidden="1"/>
    <cellStyle name="60% - 강조색4 4" xfId="52069" hidden="1"/>
    <cellStyle name="60% - 강조색4 4" xfId="52109" hidden="1"/>
    <cellStyle name="60% - 강조색4 4" xfId="52149" hidden="1"/>
    <cellStyle name="60% - 강조색4 4" xfId="52189" hidden="1"/>
    <cellStyle name="60% - 강조색4 4" xfId="52229" hidden="1"/>
    <cellStyle name="60% - 강조색4 4" xfId="52269" hidden="1"/>
    <cellStyle name="60% - 강조색4 4" xfId="52309" hidden="1"/>
    <cellStyle name="60% - 강조색4 4" xfId="52349" hidden="1"/>
    <cellStyle name="60% - 강조색4 4 2" xfId="3285"/>
    <cellStyle name="60% - 강조색4 4 3" xfId="3286"/>
    <cellStyle name="60% - 강조색4 4 4" xfId="3287"/>
    <cellStyle name="60% - 강조색4 4 5" xfId="3288"/>
    <cellStyle name="60% - 강조색4 40" xfId="3289"/>
    <cellStyle name="60% - 강조색4 41" xfId="3290"/>
    <cellStyle name="60% - 강조색4 42" xfId="3291"/>
    <cellStyle name="60% - 강조색4 43" xfId="3292"/>
    <cellStyle name="60% - 강조색4 44" xfId="3293"/>
    <cellStyle name="60% - 강조색4 45" xfId="3294"/>
    <cellStyle name="60% - 강조색4 46" xfId="3295"/>
    <cellStyle name="60% - 강조색4 47" xfId="3296"/>
    <cellStyle name="60% - 강조색4 48" xfId="3297"/>
    <cellStyle name="60% - 강조색4 49" xfId="3298"/>
    <cellStyle name="60% - 강조색4 5" xfId="3299"/>
    <cellStyle name="60% - 강조색4 50" xfId="3300"/>
    <cellStyle name="60% - 강조색4 51" xfId="3301"/>
    <cellStyle name="60% - 강조색4 52" xfId="3302"/>
    <cellStyle name="60% - 강조색4 6" xfId="3303"/>
    <cellStyle name="60% - 강조색4 7" xfId="3304"/>
    <cellStyle name="60% - 강조색4 8" xfId="3305"/>
    <cellStyle name="60% - 강조색4 9" xfId="3306"/>
    <cellStyle name="60% - 강조색5 10" xfId="3307"/>
    <cellStyle name="60% - 강조색5 11" xfId="3308"/>
    <cellStyle name="60% - 강조색5 12" xfId="3309"/>
    <cellStyle name="60% - 강조색5 13" xfId="3310"/>
    <cellStyle name="60% - 강조색5 14" xfId="3311"/>
    <cellStyle name="60% - 강조색5 15" xfId="3312"/>
    <cellStyle name="60% - 강조색5 16" xfId="3313"/>
    <cellStyle name="60% - 강조색5 17" xfId="3314"/>
    <cellStyle name="60% - 강조색5 18" xfId="3315"/>
    <cellStyle name="60% - 강조색5 19" xfId="3316"/>
    <cellStyle name="60% - 강조색5 2" xfId="142"/>
    <cellStyle name="60% - 강조색5 2 10" xfId="3317"/>
    <cellStyle name="60% - 강조색5 2 100" xfId="3318"/>
    <cellStyle name="60% - 강조색5 2 101" xfId="3319"/>
    <cellStyle name="60% - 강조색5 2 102" xfId="3320"/>
    <cellStyle name="60% - 강조색5 2 103" xfId="3321"/>
    <cellStyle name="60% - 강조색5 2 104" xfId="3322"/>
    <cellStyle name="60% - 강조색5 2 105" xfId="3323"/>
    <cellStyle name="60% - 강조색5 2 106" xfId="3324"/>
    <cellStyle name="60% - 강조색5 2 107" xfId="3325"/>
    <cellStyle name="60% - 강조색5 2 108" xfId="3326"/>
    <cellStyle name="60% - 강조색5 2 109" xfId="3327"/>
    <cellStyle name="60% - 강조색5 2 11" xfId="3328"/>
    <cellStyle name="60% - 강조색5 2 110" xfId="3329"/>
    <cellStyle name="60% - 강조색5 2 111" xfId="3330"/>
    <cellStyle name="60% - 강조색5 2 112" xfId="3331"/>
    <cellStyle name="60% - 강조색5 2 12" xfId="3332"/>
    <cellStyle name="60% - 강조색5 2 13" xfId="3333"/>
    <cellStyle name="60% - 강조색5 2 14" xfId="3334"/>
    <cellStyle name="60% - 강조색5 2 15" xfId="3335"/>
    <cellStyle name="60% - 강조색5 2 16" xfId="3336"/>
    <cellStyle name="60% - 강조색5 2 17" xfId="3337"/>
    <cellStyle name="60% - 강조색5 2 18" xfId="3338"/>
    <cellStyle name="60% - 강조색5 2 19" xfId="3339"/>
    <cellStyle name="60% - 강조색5 2 2" xfId="3340"/>
    <cellStyle name="60% - 강조색5 2 2 2" xfId="3341"/>
    <cellStyle name="60% - 강조색5 2 2 3" xfId="3342"/>
    <cellStyle name="60% - 강조색5 2 2 4" xfId="3343"/>
    <cellStyle name="60% - 강조색5 2 2 5" xfId="3344"/>
    <cellStyle name="60% - 강조색5 2 20" xfId="3345"/>
    <cellStyle name="60% - 강조색5 2 21" xfId="3346"/>
    <cellStyle name="60% - 강조색5 2 22" xfId="3347"/>
    <cellStyle name="60% - 강조색5 2 23" xfId="3348"/>
    <cellStyle name="60% - 강조색5 2 24" xfId="3349"/>
    <cellStyle name="60% - 강조색5 2 25" xfId="3350"/>
    <cellStyle name="60% - 강조색5 2 26" xfId="3351"/>
    <cellStyle name="60% - 강조색5 2 27" xfId="3352"/>
    <cellStyle name="60% - 강조색5 2 28" xfId="3353"/>
    <cellStyle name="60% - 강조색5 2 29" xfId="3354"/>
    <cellStyle name="60% - 강조색5 2 3" xfId="3355"/>
    <cellStyle name="60% - 강조색5 2 30" xfId="3356"/>
    <cellStyle name="60% - 강조색5 2 31" xfId="3357"/>
    <cellStyle name="60% - 강조색5 2 32" xfId="3358"/>
    <cellStyle name="60% - 강조색5 2 33" xfId="3359"/>
    <cellStyle name="60% - 강조색5 2 34" xfId="3360"/>
    <cellStyle name="60% - 강조색5 2 35" xfId="3361"/>
    <cellStyle name="60% - 강조색5 2 36" xfId="3362"/>
    <cellStyle name="60% - 강조색5 2 37" xfId="3363"/>
    <cellStyle name="60% - 강조색5 2 38" xfId="3364"/>
    <cellStyle name="60% - 강조색5 2 39" xfId="3365"/>
    <cellStyle name="60% - 강조색5 2 4" xfId="3366"/>
    <cellStyle name="60% - 강조색5 2 40" xfId="3367"/>
    <cellStyle name="60% - 강조색5 2 41" xfId="3368"/>
    <cellStyle name="60% - 강조색5 2 42" xfId="3369"/>
    <cellStyle name="60% - 강조색5 2 43" xfId="3370"/>
    <cellStyle name="60% - 강조색5 2 44" xfId="3371"/>
    <cellStyle name="60% - 강조색5 2 45" xfId="3372"/>
    <cellStyle name="60% - 강조색5 2 46" xfId="3373"/>
    <cellStyle name="60% - 강조색5 2 47" xfId="3374"/>
    <cellStyle name="60% - 강조색5 2 48" xfId="3375"/>
    <cellStyle name="60% - 강조색5 2 49" xfId="3376"/>
    <cellStyle name="60% - 강조색5 2 5" xfId="3377"/>
    <cellStyle name="60% - 강조색5 2 50" xfId="3378"/>
    <cellStyle name="60% - 강조색5 2 51" xfId="3379"/>
    <cellStyle name="60% - 강조색5 2 52" xfId="3380"/>
    <cellStyle name="60% - 강조색5 2 53" xfId="3381"/>
    <cellStyle name="60% - 강조색5 2 54" xfId="3382"/>
    <cellStyle name="60% - 강조색5 2 55" xfId="3383"/>
    <cellStyle name="60% - 강조색5 2 56" xfId="3384"/>
    <cellStyle name="60% - 강조색5 2 57" xfId="3385"/>
    <cellStyle name="60% - 강조색5 2 58" xfId="3386"/>
    <cellStyle name="60% - 강조색5 2 59" xfId="3387"/>
    <cellStyle name="60% - 강조색5 2 6" xfId="3388"/>
    <cellStyle name="60% - 강조색5 2 60" xfId="3389"/>
    <cellStyle name="60% - 강조색5 2 61" xfId="3390"/>
    <cellStyle name="60% - 강조색5 2 62" xfId="3391"/>
    <cellStyle name="60% - 강조색5 2 63" xfId="3392"/>
    <cellStyle name="60% - 강조색5 2 64" xfId="3393"/>
    <cellStyle name="60% - 강조색5 2 65" xfId="3394"/>
    <cellStyle name="60% - 강조색5 2 66" xfId="3395"/>
    <cellStyle name="60% - 강조색5 2 67" xfId="3396"/>
    <cellStyle name="60% - 강조색5 2 68" xfId="3397"/>
    <cellStyle name="60% - 강조색5 2 69" xfId="3398"/>
    <cellStyle name="60% - 강조색5 2 7" xfId="3399"/>
    <cellStyle name="60% - 강조색5 2 70" xfId="3400"/>
    <cellStyle name="60% - 강조색5 2 71" xfId="3401"/>
    <cellStyle name="60% - 강조색5 2 72" xfId="3402"/>
    <cellStyle name="60% - 강조색5 2 73" xfId="3403"/>
    <cellStyle name="60% - 강조색5 2 74" xfId="3404"/>
    <cellStyle name="60% - 강조색5 2 75" xfId="3405"/>
    <cellStyle name="60% - 강조색5 2 76" xfId="3406"/>
    <cellStyle name="60% - 강조색5 2 77" xfId="3407"/>
    <cellStyle name="60% - 강조색5 2 78" xfId="3408"/>
    <cellStyle name="60% - 강조색5 2 79" xfId="3409"/>
    <cellStyle name="60% - 강조색5 2 8" xfId="3410"/>
    <cellStyle name="60% - 강조색5 2 80" xfId="3411"/>
    <cellStyle name="60% - 강조색5 2 81" xfId="3412"/>
    <cellStyle name="60% - 강조색5 2 82" xfId="3413"/>
    <cellStyle name="60% - 강조색5 2 83" xfId="3414"/>
    <cellStyle name="60% - 강조색5 2 84" xfId="3415"/>
    <cellStyle name="60% - 강조색5 2 85" xfId="3416"/>
    <cellStyle name="60% - 강조색5 2 86" xfId="3417"/>
    <cellStyle name="60% - 강조색5 2 87" xfId="3418"/>
    <cellStyle name="60% - 강조색5 2 88" xfId="3419"/>
    <cellStyle name="60% - 강조색5 2 89" xfId="3420"/>
    <cellStyle name="60% - 강조색5 2 9" xfId="3421"/>
    <cellStyle name="60% - 강조색5 2 90" xfId="3422"/>
    <cellStyle name="60% - 강조색5 2 91" xfId="3423"/>
    <cellStyle name="60% - 강조색5 2 92" xfId="3424"/>
    <cellStyle name="60% - 강조색5 2 93" xfId="3425"/>
    <cellStyle name="60% - 강조색5 2 94" xfId="3426"/>
    <cellStyle name="60% - 강조색5 2 95" xfId="3427"/>
    <cellStyle name="60% - 강조색5 2 96" xfId="3428"/>
    <cellStyle name="60% - 강조색5 2 97" xfId="3429"/>
    <cellStyle name="60% - 강조색5 2 98" xfId="3430"/>
    <cellStyle name="60% - 강조색5 2 99" xfId="3431"/>
    <cellStyle name="60% - 강조색5 20" xfId="3432"/>
    <cellStyle name="60% - 강조색5 21" xfId="3433"/>
    <cellStyle name="60% - 강조색5 22" xfId="3434"/>
    <cellStyle name="60% - 강조색5 23" xfId="3435"/>
    <cellStyle name="60% - 강조색5 24" xfId="3436"/>
    <cellStyle name="60% - 강조색5 25" xfId="3437"/>
    <cellStyle name="60% - 강조색5 26" xfId="3438"/>
    <cellStyle name="60% - 강조색5 27" xfId="3439"/>
    <cellStyle name="60% - 강조색5 28" xfId="3440"/>
    <cellStyle name="60% - 강조색5 29" xfId="3441"/>
    <cellStyle name="60% - 강조색5 3" xfId="143"/>
    <cellStyle name="60% - 강조색5 30" xfId="3442"/>
    <cellStyle name="60% - 강조색5 31" xfId="3443"/>
    <cellStyle name="60% - 강조색5 32" xfId="3444"/>
    <cellStyle name="60% - 강조색5 33" xfId="3445"/>
    <cellStyle name="60% - 강조색5 34" xfId="3446"/>
    <cellStyle name="60% - 강조색5 35" xfId="3447"/>
    <cellStyle name="60% - 강조색5 36" xfId="3448"/>
    <cellStyle name="60% - 강조색5 37" xfId="3449"/>
    <cellStyle name="60% - 강조색5 38" xfId="3450"/>
    <cellStyle name="60% - 강조색5 39" xfId="3451"/>
    <cellStyle name="60% - 강조색5 4" xfId="11743" hidden="1"/>
    <cellStyle name="60% - 강조색5 4" xfId="11789" hidden="1"/>
    <cellStyle name="60% - 강조색5 4" xfId="11835" hidden="1"/>
    <cellStyle name="60% - 강조색5 4" xfId="11881" hidden="1"/>
    <cellStyle name="60% - 강조색5 4" xfId="11927" hidden="1"/>
    <cellStyle name="60% - 강조색5 4" xfId="11973" hidden="1"/>
    <cellStyle name="60% - 강조색5 4" xfId="12019" hidden="1"/>
    <cellStyle name="60% - 강조색5 4" xfId="12065" hidden="1"/>
    <cellStyle name="60% - 강조색5 4" xfId="12111" hidden="1"/>
    <cellStyle name="60% - 강조색5 4" xfId="12157" hidden="1"/>
    <cellStyle name="60% - 강조색5 4" xfId="12203" hidden="1"/>
    <cellStyle name="60% - 강조색5 4" xfId="12249" hidden="1"/>
    <cellStyle name="60% - 강조색5 4" xfId="12339" hidden="1"/>
    <cellStyle name="60% - 강조색5 4" xfId="12380" hidden="1"/>
    <cellStyle name="60% - 강조색5 4" xfId="12422" hidden="1"/>
    <cellStyle name="60% - 강조색5 4" xfId="12464" hidden="1"/>
    <cellStyle name="60% - 강조색5 4" xfId="12506" hidden="1"/>
    <cellStyle name="60% - 강조색5 4" xfId="12548" hidden="1"/>
    <cellStyle name="60% - 강조색5 4" xfId="12590" hidden="1"/>
    <cellStyle name="60% - 강조색5 4" xfId="12632" hidden="1"/>
    <cellStyle name="60% - 강조색5 4" xfId="12674" hidden="1"/>
    <cellStyle name="60% - 강조색5 4" xfId="12716" hidden="1"/>
    <cellStyle name="60% - 강조색5 4" xfId="12758" hidden="1"/>
    <cellStyle name="60% - 강조색5 4" xfId="12800" hidden="1"/>
    <cellStyle name="60% - 강조색5 4" xfId="12294" hidden="1"/>
    <cellStyle name="60% - 강조색5 4" xfId="12982" hidden="1"/>
    <cellStyle name="60% - 강조색5 4" xfId="13022" hidden="1"/>
    <cellStyle name="60% - 강조색5 4" xfId="13062" hidden="1"/>
    <cellStyle name="60% - 강조색5 4" xfId="13102" hidden="1"/>
    <cellStyle name="60% - 강조색5 4" xfId="13142" hidden="1"/>
    <cellStyle name="60% - 강조색5 4" xfId="13182" hidden="1"/>
    <cellStyle name="60% - 강조색5 4" xfId="13222" hidden="1"/>
    <cellStyle name="60% - 강조색5 4" xfId="13262" hidden="1"/>
    <cellStyle name="60% - 강조색5 4" xfId="13302" hidden="1"/>
    <cellStyle name="60% - 강조색5 4" xfId="13342" hidden="1"/>
    <cellStyle name="60% - 강조색5 4" xfId="13382" hidden="1"/>
    <cellStyle name="60% - 강조색5 4" xfId="13422" hidden="1"/>
    <cellStyle name="60% - 강조색5 4" xfId="12852" hidden="1"/>
    <cellStyle name="60% - 강조색5 4" xfId="12813" hidden="1"/>
    <cellStyle name="60% - 강조색5 4" xfId="13464" hidden="1"/>
    <cellStyle name="60% - 강조색5 4" xfId="13506" hidden="1"/>
    <cellStyle name="60% - 강조색5 4" xfId="13548" hidden="1"/>
    <cellStyle name="60% - 강조색5 4" xfId="13590" hidden="1"/>
    <cellStyle name="60% - 강조색5 4" xfId="13632" hidden="1"/>
    <cellStyle name="60% - 강조색5 4" xfId="13674" hidden="1"/>
    <cellStyle name="60% - 강조색5 4" xfId="13716" hidden="1"/>
    <cellStyle name="60% - 강조색5 4" xfId="13758" hidden="1"/>
    <cellStyle name="60% - 강조색5 4" xfId="13800" hidden="1"/>
    <cellStyle name="60% - 강조색5 4" xfId="13842" hidden="1"/>
    <cellStyle name="60% - 강조색5 4" xfId="12906" hidden="1"/>
    <cellStyle name="60% - 강조색5 4" xfId="13870" hidden="1"/>
    <cellStyle name="60% - 강조색5 4" xfId="13910" hidden="1"/>
    <cellStyle name="60% - 강조색5 4" xfId="13950" hidden="1"/>
    <cellStyle name="60% - 강조색5 4" xfId="13990" hidden="1"/>
    <cellStyle name="60% - 강조색5 4" xfId="14030" hidden="1"/>
    <cellStyle name="60% - 강조색5 4" xfId="14070" hidden="1"/>
    <cellStyle name="60% - 강조색5 4" xfId="14110" hidden="1"/>
    <cellStyle name="60% - 강조색5 4" xfId="14150" hidden="1"/>
    <cellStyle name="60% - 강조색5 4" xfId="14190" hidden="1"/>
    <cellStyle name="60% - 강조색5 4" xfId="14230" hidden="1"/>
    <cellStyle name="60% - 강조색5 4" xfId="14270" hidden="1"/>
    <cellStyle name="60% - 강조색5 4" xfId="14310" hidden="1"/>
    <cellStyle name="60% - 강조색5 4" xfId="14416" hidden="1"/>
    <cellStyle name="60% - 강조색5 4" xfId="14456" hidden="1"/>
    <cellStyle name="60% - 강조색5 4" xfId="14496" hidden="1"/>
    <cellStyle name="60% - 강조색5 4" xfId="14536" hidden="1"/>
    <cellStyle name="60% - 강조색5 4" xfId="14576" hidden="1"/>
    <cellStyle name="60% - 강조색5 4" xfId="14616" hidden="1"/>
    <cellStyle name="60% - 강조색5 4" xfId="14656" hidden="1"/>
    <cellStyle name="60% - 강조색5 4" xfId="14696" hidden="1"/>
    <cellStyle name="60% - 강조색5 4" xfId="14736" hidden="1"/>
    <cellStyle name="60% - 강조색5 4" xfId="14776" hidden="1"/>
    <cellStyle name="60% - 강조색5 4" xfId="14816" hidden="1"/>
    <cellStyle name="60% - 강조색5 4" xfId="14856" hidden="1"/>
    <cellStyle name="60% - 강조색5 4" xfId="14940" hidden="1"/>
    <cellStyle name="60% - 강조색5 4" xfId="14981" hidden="1"/>
    <cellStyle name="60% - 강조색5 4" xfId="15023" hidden="1"/>
    <cellStyle name="60% - 강조색5 4" xfId="15065" hidden="1"/>
    <cellStyle name="60% - 강조색5 4" xfId="15107" hidden="1"/>
    <cellStyle name="60% - 강조색5 4" xfId="15149" hidden="1"/>
    <cellStyle name="60% - 강조색5 4" xfId="15191" hidden="1"/>
    <cellStyle name="60% - 강조색5 4" xfId="15233" hidden="1"/>
    <cellStyle name="60% - 강조색5 4" xfId="15275" hidden="1"/>
    <cellStyle name="60% - 강조색5 4" xfId="15317" hidden="1"/>
    <cellStyle name="60% - 강조색5 4" xfId="15359" hidden="1"/>
    <cellStyle name="60% - 강조색5 4" xfId="15401" hidden="1"/>
    <cellStyle name="60% - 강조색5 4" xfId="14897" hidden="1"/>
    <cellStyle name="60% - 강조색5 4" xfId="15580" hidden="1"/>
    <cellStyle name="60% - 강조색5 4" xfId="15620" hidden="1"/>
    <cellStyle name="60% - 강조색5 4" xfId="15660" hidden="1"/>
    <cellStyle name="60% - 강조색5 4" xfId="15700" hidden="1"/>
    <cellStyle name="60% - 강조색5 4" xfId="15740" hidden="1"/>
    <cellStyle name="60% - 강조색5 4" xfId="15780" hidden="1"/>
    <cellStyle name="60% - 강조색5 4" xfId="15820" hidden="1"/>
    <cellStyle name="60% - 강조색5 4" xfId="15860" hidden="1"/>
    <cellStyle name="60% - 강조색5 4" xfId="15900" hidden="1"/>
    <cellStyle name="60% - 강조색5 4" xfId="15940" hidden="1"/>
    <cellStyle name="60% - 강조색5 4" xfId="15980" hidden="1"/>
    <cellStyle name="60% - 강조색5 4" xfId="16020" hidden="1"/>
    <cellStyle name="60% - 강조색5 4" xfId="15452" hidden="1"/>
    <cellStyle name="60% - 강조색5 4" xfId="15413" hidden="1"/>
    <cellStyle name="60% - 강조색5 4" xfId="16062" hidden="1"/>
    <cellStyle name="60% - 강조색5 4" xfId="16104" hidden="1"/>
    <cellStyle name="60% - 강조색5 4" xfId="16146" hidden="1"/>
    <cellStyle name="60% - 강조색5 4" xfId="16188" hidden="1"/>
    <cellStyle name="60% - 강조색5 4" xfId="16230" hidden="1"/>
    <cellStyle name="60% - 강조색5 4" xfId="16272" hidden="1"/>
    <cellStyle name="60% - 강조색5 4" xfId="16314" hidden="1"/>
    <cellStyle name="60% - 강조색5 4" xfId="16356" hidden="1"/>
    <cellStyle name="60% - 강조색5 4" xfId="16398" hidden="1"/>
    <cellStyle name="60% - 강조색5 4" xfId="16440" hidden="1"/>
    <cellStyle name="60% - 강조색5 4" xfId="15505" hidden="1"/>
    <cellStyle name="60% - 강조색5 4" xfId="16468" hidden="1"/>
    <cellStyle name="60% - 강조색5 4" xfId="16508" hidden="1"/>
    <cellStyle name="60% - 강조색5 4" xfId="16548" hidden="1"/>
    <cellStyle name="60% - 강조색5 4" xfId="16588" hidden="1"/>
    <cellStyle name="60% - 강조색5 4" xfId="16628" hidden="1"/>
    <cellStyle name="60% - 강조색5 4" xfId="16668" hidden="1"/>
    <cellStyle name="60% - 강조색5 4" xfId="16708" hidden="1"/>
    <cellStyle name="60% - 강조색5 4" xfId="16748" hidden="1"/>
    <cellStyle name="60% - 강조색5 4" xfId="16788" hidden="1"/>
    <cellStyle name="60% - 강조색5 4" xfId="16828" hidden="1"/>
    <cellStyle name="60% - 강조색5 4" xfId="16868" hidden="1"/>
    <cellStyle name="60% - 강조색5 4" xfId="16908" hidden="1"/>
    <cellStyle name="60% - 강조색5 4" xfId="16919" hidden="1"/>
    <cellStyle name="60% - 강조색5 4" xfId="16959" hidden="1"/>
    <cellStyle name="60% - 강조색5 4" xfId="17000" hidden="1"/>
    <cellStyle name="60% - 강조색5 4" xfId="17040" hidden="1"/>
    <cellStyle name="60% - 강조색5 4" xfId="17080" hidden="1"/>
    <cellStyle name="60% - 강조색5 4" xfId="17120" hidden="1"/>
    <cellStyle name="60% - 강조색5 4" xfId="17160" hidden="1"/>
    <cellStyle name="60% - 강조색5 4" xfId="17200" hidden="1"/>
    <cellStyle name="60% - 강조색5 4" xfId="17240" hidden="1"/>
    <cellStyle name="60% - 강조색5 4" xfId="17280" hidden="1"/>
    <cellStyle name="60% - 강조색5 4" xfId="17320" hidden="1"/>
    <cellStyle name="60% - 강조색5 4" xfId="17360" hidden="1"/>
    <cellStyle name="60% - 강조색5 4" xfId="17444" hidden="1"/>
    <cellStyle name="60% - 강조색5 4" xfId="17485" hidden="1"/>
    <cellStyle name="60% - 강조색5 4" xfId="17527" hidden="1"/>
    <cellStyle name="60% - 강조색5 4" xfId="17569" hidden="1"/>
    <cellStyle name="60% - 강조색5 4" xfId="17611" hidden="1"/>
    <cellStyle name="60% - 강조색5 4" xfId="17653" hidden="1"/>
    <cellStyle name="60% - 강조색5 4" xfId="17695" hidden="1"/>
    <cellStyle name="60% - 강조색5 4" xfId="17737" hidden="1"/>
    <cellStyle name="60% - 강조색5 4" xfId="17779" hidden="1"/>
    <cellStyle name="60% - 강조색5 4" xfId="17821" hidden="1"/>
    <cellStyle name="60% - 강조색5 4" xfId="17863" hidden="1"/>
    <cellStyle name="60% - 강조색5 4" xfId="17905" hidden="1"/>
    <cellStyle name="60% - 강조색5 4" xfId="17401" hidden="1"/>
    <cellStyle name="60% - 강조색5 4" xfId="18084" hidden="1"/>
    <cellStyle name="60% - 강조색5 4" xfId="18124" hidden="1"/>
    <cellStyle name="60% - 강조색5 4" xfId="18164" hidden="1"/>
    <cellStyle name="60% - 강조색5 4" xfId="18204" hidden="1"/>
    <cellStyle name="60% - 강조색5 4" xfId="18244" hidden="1"/>
    <cellStyle name="60% - 강조색5 4" xfId="18284" hidden="1"/>
    <cellStyle name="60% - 강조색5 4" xfId="18324" hidden="1"/>
    <cellStyle name="60% - 강조색5 4" xfId="18364" hidden="1"/>
    <cellStyle name="60% - 강조색5 4" xfId="18404" hidden="1"/>
    <cellStyle name="60% - 강조색5 4" xfId="18444" hidden="1"/>
    <cellStyle name="60% - 강조색5 4" xfId="18484" hidden="1"/>
    <cellStyle name="60% - 강조색5 4" xfId="18524" hidden="1"/>
    <cellStyle name="60% - 강조색5 4" xfId="17956" hidden="1"/>
    <cellStyle name="60% - 강조색5 4" xfId="17917" hidden="1"/>
    <cellStyle name="60% - 강조색5 4" xfId="18566" hidden="1"/>
    <cellStyle name="60% - 강조색5 4" xfId="18608" hidden="1"/>
    <cellStyle name="60% - 강조색5 4" xfId="18650" hidden="1"/>
    <cellStyle name="60% - 강조색5 4" xfId="18692" hidden="1"/>
    <cellStyle name="60% - 강조색5 4" xfId="18734" hidden="1"/>
    <cellStyle name="60% - 강조색5 4" xfId="18776" hidden="1"/>
    <cellStyle name="60% - 강조색5 4" xfId="18818" hidden="1"/>
    <cellStyle name="60% - 강조색5 4" xfId="18860" hidden="1"/>
    <cellStyle name="60% - 강조색5 4" xfId="18902" hidden="1"/>
    <cellStyle name="60% - 강조색5 4" xfId="18944" hidden="1"/>
    <cellStyle name="60% - 강조색5 4" xfId="18009" hidden="1"/>
    <cellStyle name="60% - 강조색5 4" xfId="18972" hidden="1"/>
    <cellStyle name="60% - 강조색5 4" xfId="19012" hidden="1"/>
    <cellStyle name="60% - 강조색5 4" xfId="19052" hidden="1"/>
    <cellStyle name="60% - 강조색5 4" xfId="19092" hidden="1"/>
    <cellStyle name="60% - 강조색5 4" xfId="19132" hidden="1"/>
    <cellStyle name="60% - 강조색5 4" xfId="19172" hidden="1"/>
    <cellStyle name="60% - 강조색5 4" xfId="19212" hidden="1"/>
    <cellStyle name="60% - 강조색5 4" xfId="19252" hidden="1"/>
    <cellStyle name="60% - 강조색5 4" xfId="19292" hidden="1"/>
    <cellStyle name="60% - 강조색5 4" xfId="19332" hidden="1"/>
    <cellStyle name="60% - 강조색5 4" xfId="19372" hidden="1"/>
    <cellStyle name="60% - 강조색5 4" xfId="19412" hidden="1"/>
    <cellStyle name="60% - 강조색5 4" xfId="19422" hidden="1"/>
    <cellStyle name="60% - 강조색5 4" xfId="19462" hidden="1"/>
    <cellStyle name="60% - 강조색5 4" xfId="19502" hidden="1"/>
    <cellStyle name="60% - 강조색5 4" xfId="19542" hidden="1"/>
    <cellStyle name="60% - 강조색5 4" xfId="19582" hidden="1"/>
    <cellStyle name="60% - 강조색5 4" xfId="19622" hidden="1"/>
    <cellStyle name="60% - 강조색5 4" xfId="19662" hidden="1"/>
    <cellStyle name="60% - 강조색5 4" xfId="19702" hidden="1"/>
    <cellStyle name="60% - 강조색5 4" xfId="19742" hidden="1"/>
    <cellStyle name="60% - 강조색5 4" xfId="19782" hidden="1"/>
    <cellStyle name="60% - 강조색5 4" xfId="19822" hidden="1"/>
    <cellStyle name="60% - 강조색5 4" xfId="19862" hidden="1"/>
    <cellStyle name="60% - 강조색5 4" xfId="19946" hidden="1"/>
    <cellStyle name="60% - 강조색5 4" xfId="19987" hidden="1"/>
    <cellStyle name="60% - 강조색5 4" xfId="20029" hidden="1"/>
    <cellStyle name="60% - 강조색5 4" xfId="20071" hidden="1"/>
    <cellStyle name="60% - 강조색5 4" xfId="20113" hidden="1"/>
    <cellStyle name="60% - 강조색5 4" xfId="20155" hidden="1"/>
    <cellStyle name="60% - 강조색5 4" xfId="20197" hidden="1"/>
    <cellStyle name="60% - 강조색5 4" xfId="20239" hidden="1"/>
    <cellStyle name="60% - 강조색5 4" xfId="20281" hidden="1"/>
    <cellStyle name="60% - 강조색5 4" xfId="20323" hidden="1"/>
    <cellStyle name="60% - 강조색5 4" xfId="20365" hidden="1"/>
    <cellStyle name="60% - 강조색5 4" xfId="20407" hidden="1"/>
    <cellStyle name="60% - 강조색5 4" xfId="19903" hidden="1"/>
    <cellStyle name="60% - 강조색5 4" xfId="20586" hidden="1"/>
    <cellStyle name="60% - 강조색5 4" xfId="20626" hidden="1"/>
    <cellStyle name="60% - 강조색5 4" xfId="20666" hidden="1"/>
    <cellStyle name="60% - 강조색5 4" xfId="20706" hidden="1"/>
    <cellStyle name="60% - 강조색5 4" xfId="20746" hidden="1"/>
    <cellStyle name="60% - 강조색5 4" xfId="20786" hidden="1"/>
    <cellStyle name="60% - 강조색5 4" xfId="20826" hidden="1"/>
    <cellStyle name="60% - 강조색5 4" xfId="20866" hidden="1"/>
    <cellStyle name="60% - 강조색5 4" xfId="20906" hidden="1"/>
    <cellStyle name="60% - 강조색5 4" xfId="20946" hidden="1"/>
    <cellStyle name="60% - 강조색5 4" xfId="20986" hidden="1"/>
    <cellStyle name="60% - 강조색5 4" xfId="21026" hidden="1"/>
    <cellStyle name="60% - 강조색5 4" xfId="20458" hidden="1"/>
    <cellStyle name="60% - 강조색5 4" xfId="20419" hidden="1"/>
    <cellStyle name="60% - 강조색5 4" xfId="21068" hidden="1"/>
    <cellStyle name="60% - 강조색5 4" xfId="21110" hidden="1"/>
    <cellStyle name="60% - 강조색5 4" xfId="21152" hidden="1"/>
    <cellStyle name="60% - 강조색5 4" xfId="21194" hidden="1"/>
    <cellStyle name="60% - 강조색5 4" xfId="21236" hidden="1"/>
    <cellStyle name="60% - 강조색5 4" xfId="21278" hidden="1"/>
    <cellStyle name="60% - 강조색5 4" xfId="21320" hidden="1"/>
    <cellStyle name="60% - 강조색5 4" xfId="21362" hidden="1"/>
    <cellStyle name="60% - 강조색5 4" xfId="21404" hidden="1"/>
    <cellStyle name="60% - 강조색5 4" xfId="21446" hidden="1"/>
    <cellStyle name="60% - 강조색5 4" xfId="20511" hidden="1"/>
    <cellStyle name="60% - 강조색5 4" xfId="21474" hidden="1"/>
    <cellStyle name="60% - 강조색5 4" xfId="21514" hidden="1"/>
    <cellStyle name="60% - 강조색5 4" xfId="21554" hidden="1"/>
    <cellStyle name="60% - 강조색5 4" xfId="21594" hidden="1"/>
    <cellStyle name="60% - 강조색5 4" xfId="21634" hidden="1"/>
    <cellStyle name="60% - 강조색5 4" xfId="21674" hidden="1"/>
    <cellStyle name="60% - 강조색5 4" xfId="21714" hidden="1"/>
    <cellStyle name="60% - 강조색5 4" xfId="21754" hidden="1"/>
    <cellStyle name="60% - 강조색5 4" xfId="21794" hidden="1"/>
    <cellStyle name="60% - 강조색5 4" xfId="21834" hidden="1"/>
    <cellStyle name="60% - 강조색5 4" xfId="21874" hidden="1"/>
    <cellStyle name="60% - 강조색5 4" xfId="21914" hidden="1"/>
    <cellStyle name="60% - 강조색5 4" xfId="21982" hidden="1"/>
    <cellStyle name="60% - 강조색5 4" xfId="22022" hidden="1"/>
    <cellStyle name="60% - 강조색5 4" xfId="22062" hidden="1"/>
    <cellStyle name="60% - 강조색5 4" xfId="22102" hidden="1"/>
    <cellStyle name="60% - 강조색5 4" xfId="22142" hidden="1"/>
    <cellStyle name="60% - 강조색5 4" xfId="22182" hidden="1"/>
    <cellStyle name="60% - 강조색5 4" xfId="22222" hidden="1"/>
    <cellStyle name="60% - 강조색5 4" xfId="22262" hidden="1"/>
    <cellStyle name="60% - 강조색5 4" xfId="22302" hidden="1"/>
    <cellStyle name="60% - 강조색5 4" xfId="22342" hidden="1"/>
    <cellStyle name="60% - 강조색5 4" xfId="22382" hidden="1"/>
    <cellStyle name="60% - 강조색5 4" xfId="22422" hidden="1"/>
    <cellStyle name="60% - 강조색5 4" xfId="22506" hidden="1"/>
    <cellStyle name="60% - 강조색5 4" xfId="22547" hidden="1"/>
    <cellStyle name="60% - 강조색5 4" xfId="22589" hidden="1"/>
    <cellStyle name="60% - 강조색5 4" xfId="22631" hidden="1"/>
    <cellStyle name="60% - 강조색5 4" xfId="22673" hidden="1"/>
    <cellStyle name="60% - 강조색5 4" xfId="22715" hidden="1"/>
    <cellStyle name="60% - 강조색5 4" xfId="22757" hidden="1"/>
    <cellStyle name="60% - 강조색5 4" xfId="22799" hidden="1"/>
    <cellStyle name="60% - 강조색5 4" xfId="22841" hidden="1"/>
    <cellStyle name="60% - 강조색5 4" xfId="22883" hidden="1"/>
    <cellStyle name="60% - 강조색5 4" xfId="22925" hidden="1"/>
    <cellStyle name="60% - 강조색5 4" xfId="22967" hidden="1"/>
    <cellStyle name="60% - 강조색5 4" xfId="22463" hidden="1"/>
    <cellStyle name="60% - 강조색5 4" xfId="23146" hidden="1"/>
    <cellStyle name="60% - 강조색5 4" xfId="23186" hidden="1"/>
    <cellStyle name="60% - 강조색5 4" xfId="23226" hidden="1"/>
    <cellStyle name="60% - 강조색5 4" xfId="23266" hidden="1"/>
    <cellStyle name="60% - 강조색5 4" xfId="23306" hidden="1"/>
    <cellStyle name="60% - 강조색5 4" xfId="23346" hidden="1"/>
    <cellStyle name="60% - 강조색5 4" xfId="23386" hidden="1"/>
    <cellStyle name="60% - 강조색5 4" xfId="23426" hidden="1"/>
    <cellStyle name="60% - 강조색5 4" xfId="23466" hidden="1"/>
    <cellStyle name="60% - 강조색5 4" xfId="23506" hidden="1"/>
    <cellStyle name="60% - 강조색5 4" xfId="23546" hidden="1"/>
    <cellStyle name="60% - 강조색5 4" xfId="23586" hidden="1"/>
    <cellStyle name="60% - 강조색5 4" xfId="23018" hidden="1"/>
    <cellStyle name="60% - 강조색5 4" xfId="22979" hidden="1"/>
    <cellStyle name="60% - 강조색5 4" xfId="23628" hidden="1"/>
    <cellStyle name="60% - 강조색5 4" xfId="23670" hidden="1"/>
    <cellStyle name="60% - 강조색5 4" xfId="23712" hidden="1"/>
    <cellStyle name="60% - 강조색5 4" xfId="23754" hidden="1"/>
    <cellStyle name="60% - 강조색5 4" xfId="23796" hidden="1"/>
    <cellStyle name="60% - 강조색5 4" xfId="23838" hidden="1"/>
    <cellStyle name="60% - 강조색5 4" xfId="23880" hidden="1"/>
    <cellStyle name="60% - 강조색5 4" xfId="23922" hidden="1"/>
    <cellStyle name="60% - 강조색5 4" xfId="23964" hidden="1"/>
    <cellStyle name="60% - 강조색5 4" xfId="24006" hidden="1"/>
    <cellStyle name="60% - 강조색5 4" xfId="23071" hidden="1"/>
    <cellStyle name="60% - 강조색5 4" xfId="24034" hidden="1"/>
    <cellStyle name="60% - 강조색5 4" xfId="24074" hidden="1"/>
    <cellStyle name="60% - 강조색5 4" xfId="24114" hidden="1"/>
    <cellStyle name="60% - 강조색5 4" xfId="24154" hidden="1"/>
    <cellStyle name="60% - 강조색5 4" xfId="24194" hidden="1"/>
    <cellStyle name="60% - 강조색5 4" xfId="24234" hidden="1"/>
    <cellStyle name="60% - 강조색5 4" xfId="24274" hidden="1"/>
    <cellStyle name="60% - 강조색5 4" xfId="24314" hidden="1"/>
    <cellStyle name="60% - 강조색5 4" xfId="24354" hidden="1"/>
    <cellStyle name="60% - 강조색5 4" xfId="24394" hidden="1"/>
    <cellStyle name="60% - 강조색5 4" xfId="24434" hidden="1"/>
    <cellStyle name="60% - 강조색5 4" xfId="24474" hidden="1"/>
    <cellStyle name="60% - 강조색5 4" xfId="24572" hidden="1"/>
    <cellStyle name="60% - 강조색5 4" xfId="24612" hidden="1"/>
    <cellStyle name="60% - 강조색5 4" xfId="24654" hidden="1"/>
    <cellStyle name="60% - 강조색5 4" xfId="24695" hidden="1"/>
    <cellStyle name="60% - 강조색5 4" xfId="24735" hidden="1"/>
    <cellStyle name="60% - 강조색5 4" xfId="24775" hidden="1"/>
    <cellStyle name="60% - 강조색5 4" xfId="24815" hidden="1"/>
    <cellStyle name="60% - 강조색5 4" xfId="24855" hidden="1"/>
    <cellStyle name="60% - 강조색5 4" xfId="24895" hidden="1"/>
    <cellStyle name="60% - 강조색5 4" xfId="24935" hidden="1"/>
    <cellStyle name="60% - 강조색5 4" xfId="24975" hidden="1"/>
    <cellStyle name="60% - 강조색5 4" xfId="25015" hidden="1"/>
    <cellStyle name="60% - 강조색5 4" xfId="25099" hidden="1"/>
    <cellStyle name="60% - 강조색5 4" xfId="25140" hidden="1"/>
    <cellStyle name="60% - 강조색5 4" xfId="25182" hidden="1"/>
    <cellStyle name="60% - 강조색5 4" xfId="25224" hidden="1"/>
    <cellStyle name="60% - 강조색5 4" xfId="25266" hidden="1"/>
    <cellStyle name="60% - 강조색5 4" xfId="25308" hidden="1"/>
    <cellStyle name="60% - 강조색5 4" xfId="25350" hidden="1"/>
    <cellStyle name="60% - 강조색5 4" xfId="25392" hidden="1"/>
    <cellStyle name="60% - 강조색5 4" xfId="25434" hidden="1"/>
    <cellStyle name="60% - 강조색5 4" xfId="25476" hidden="1"/>
    <cellStyle name="60% - 강조색5 4" xfId="25518" hidden="1"/>
    <cellStyle name="60% - 강조색5 4" xfId="25560" hidden="1"/>
    <cellStyle name="60% - 강조색5 4" xfId="25056" hidden="1"/>
    <cellStyle name="60% - 강조색5 4" xfId="25739" hidden="1"/>
    <cellStyle name="60% - 강조색5 4" xfId="25779" hidden="1"/>
    <cellStyle name="60% - 강조색5 4" xfId="25819" hidden="1"/>
    <cellStyle name="60% - 강조색5 4" xfId="25859" hidden="1"/>
    <cellStyle name="60% - 강조색5 4" xfId="25899" hidden="1"/>
    <cellStyle name="60% - 강조색5 4" xfId="25939" hidden="1"/>
    <cellStyle name="60% - 강조색5 4" xfId="25979" hidden="1"/>
    <cellStyle name="60% - 강조색5 4" xfId="26019" hidden="1"/>
    <cellStyle name="60% - 강조색5 4" xfId="26059" hidden="1"/>
    <cellStyle name="60% - 강조색5 4" xfId="26099" hidden="1"/>
    <cellStyle name="60% - 강조색5 4" xfId="26139" hidden="1"/>
    <cellStyle name="60% - 강조색5 4" xfId="26179" hidden="1"/>
    <cellStyle name="60% - 강조색5 4" xfId="25611" hidden="1"/>
    <cellStyle name="60% - 강조색5 4" xfId="25572" hidden="1"/>
    <cellStyle name="60% - 강조색5 4" xfId="26221" hidden="1"/>
    <cellStyle name="60% - 강조색5 4" xfId="26263" hidden="1"/>
    <cellStyle name="60% - 강조색5 4" xfId="26305" hidden="1"/>
    <cellStyle name="60% - 강조색5 4" xfId="26347" hidden="1"/>
    <cellStyle name="60% - 강조색5 4" xfId="26389" hidden="1"/>
    <cellStyle name="60% - 강조색5 4" xfId="26431" hidden="1"/>
    <cellStyle name="60% - 강조색5 4" xfId="26473" hidden="1"/>
    <cellStyle name="60% - 강조색5 4" xfId="26515" hidden="1"/>
    <cellStyle name="60% - 강조색5 4" xfId="26557" hidden="1"/>
    <cellStyle name="60% - 강조색5 4" xfId="26599" hidden="1"/>
    <cellStyle name="60% - 강조색5 4" xfId="25664" hidden="1"/>
    <cellStyle name="60% - 강조색5 4" xfId="26627" hidden="1"/>
    <cellStyle name="60% - 강조색5 4" xfId="26667" hidden="1"/>
    <cellStyle name="60% - 강조색5 4" xfId="26707" hidden="1"/>
    <cellStyle name="60% - 강조색5 4" xfId="26747" hidden="1"/>
    <cellStyle name="60% - 강조색5 4" xfId="26787" hidden="1"/>
    <cellStyle name="60% - 강조색5 4" xfId="26827" hidden="1"/>
    <cellStyle name="60% - 강조색5 4" xfId="26867" hidden="1"/>
    <cellStyle name="60% - 강조색5 4" xfId="26907" hidden="1"/>
    <cellStyle name="60% - 강조색5 4" xfId="26947" hidden="1"/>
    <cellStyle name="60% - 강조색5 4" xfId="26987" hidden="1"/>
    <cellStyle name="60% - 강조색5 4" xfId="27027" hidden="1"/>
    <cellStyle name="60% - 강조색5 4" xfId="27067" hidden="1"/>
    <cellStyle name="60% - 강조색5 4" xfId="27078" hidden="1"/>
    <cellStyle name="60% - 강조색5 4" xfId="27118" hidden="1"/>
    <cellStyle name="60% - 강조색5 4" xfId="27158" hidden="1"/>
    <cellStyle name="60% - 강조색5 4" xfId="27198" hidden="1"/>
    <cellStyle name="60% - 강조색5 4" xfId="27238" hidden="1"/>
    <cellStyle name="60% - 강조색5 4" xfId="27278" hidden="1"/>
    <cellStyle name="60% - 강조색5 4" xfId="27318" hidden="1"/>
    <cellStyle name="60% - 강조색5 4" xfId="27358" hidden="1"/>
    <cellStyle name="60% - 강조색5 4" xfId="27398" hidden="1"/>
    <cellStyle name="60% - 강조색5 4" xfId="27438" hidden="1"/>
    <cellStyle name="60% - 강조색5 4" xfId="27478" hidden="1"/>
    <cellStyle name="60% - 강조색5 4" xfId="27518" hidden="1"/>
    <cellStyle name="60% - 강조색5 4" xfId="27602" hidden="1"/>
    <cellStyle name="60% - 강조색5 4" xfId="27643" hidden="1"/>
    <cellStyle name="60% - 강조색5 4" xfId="27685" hidden="1"/>
    <cellStyle name="60% - 강조색5 4" xfId="27727" hidden="1"/>
    <cellStyle name="60% - 강조색5 4" xfId="27769" hidden="1"/>
    <cellStyle name="60% - 강조색5 4" xfId="27811" hidden="1"/>
    <cellStyle name="60% - 강조색5 4" xfId="27853" hidden="1"/>
    <cellStyle name="60% - 강조색5 4" xfId="27895" hidden="1"/>
    <cellStyle name="60% - 강조색5 4" xfId="27937" hidden="1"/>
    <cellStyle name="60% - 강조색5 4" xfId="27979" hidden="1"/>
    <cellStyle name="60% - 강조색5 4" xfId="28021" hidden="1"/>
    <cellStyle name="60% - 강조색5 4" xfId="28063" hidden="1"/>
    <cellStyle name="60% - 강조색5 4" xfId="27559" hidden="1"/>
    <cellStyle name="60% - 강조색5 4" xfId="28242" hidden="1"/>
    <cellStyle name="60% - 강조색5 4" xfId="28282" hidden="1"/>
    <cellStyle name="60% - 강조색5 4" xfId="28322" hidden="1"/>
    <cellStyle name="60% - 강조색5 4" xfId="28362" hidden="1"/>
    <cellStyle name="60% - 강조색5 4" xfId="28402" hidden="1"/>
    <cellStyle name="60% - 강조색5 4" xfId="28442" hidden="1"/>
    <cellStyle name="60% - 강조색5 4" xfId="28482" hidden="1"/>
    <cellStyle name="60% - 강조색5 4" xfId="28522" hidden="1"/>
    <cellStyle name="60% - 강조색5 4" xfId="28562" hidden="1"/>
    <cellStyle name="60% - 강조색5 4" xfId="28602" hidden="1"/>
    <cellStyle name="60% - 강조색5 4" xfId="28642" hidden="1"/>
    <cellStyle name="60% - 강조색5 4" xfId="28682" hidden="1"/>
    <cellStyle name="60% - 강조색5 4" xfId="28114" hidden="1"/>
    <cellStyle name="60% - 강조색5 4" xfId="28075" hidden="1"/>
    <cellStyle name="60% - 강조색5 4" xfId="28724" hidden="1"/>
    <cellStyle name="60% - 강조색5 4" xfId="28766" hidden="1"/>
    <cellStyle name="60% - 강조색5 4" xfId="28808" hidden="1"/>
    <cellStyle name="60% - 강조색5 4" xfId="28850" hidden="1"/>
    <cellStyle name="60% - 강조색5 4" xfId="28892" hidden="1"/>
    <cellStyle name="60% - 강조색5 4" xfId="28934" hidden="1"/>
    <cellStyle name="60% - 강조색5 4" xfId="28976" hidden="1"/>
    <cellStyle name="60% - 강조색5 4" xfId="29018" hidden="1"/>
    <cellStyle name="60% - 강조색5 4" xfId="29060" hidden="1"/>
    <cellStyle name="60% - 강조색5 4" xfId="29102" hidden="1"/>
    <cellStyle name="60% - 강조색5 4" xfId="28167" hidden="1"/>
    <cellStyle name="60% - 강조색5 4" xfId="29130" hidden="1"/>
    <cellStyle name="60% - 강조색5 4" xfId="29170" hidden="1"/>
    <cellStyle name="60% - 강조색5 4" xfId="29210" hidden="1"/>
    <cellStyle name="60% - 강조색5 4" xfId="29250" hidden="1"/>
    <cellStyle name="60% - 강조색5 4" xfId="29290" hidden="1"/>
    <cellStyle name="60% - 강조색5 4" xfId="29330" hidden="1"/>
    <cellStyle name="60% - 강조색5 4" xfId="29370" hidden="1"/>
    <cellStyle name="60% - 강조색5 4" xfId="29410" hidden="1"/>
    <cellStyle name="60% - 강조색5 4" xfId="29450" hidden="1"/>
    <cellStyle name="60% - 강조색5 4" xfId="29490" hidden="1"/>
    <cellStyle name="60% - 강조색5 4" xfId="29530" hidden="1"/>
    <cellStyle name="60% - 강조색5 4" xfId="29570" hidden="1"/>
    <cellStyle name="60% - 강조색5 4" xfId="29580" hidden="1"/>
    <cellStyle name="60% - 강조색5 4" xfId="29620" hidden="1"/>
    <cellStyle name="60% - 강조색5 4" xfId="29660" hidden="1"/>
    <cellStyle name="60% - 강조색5 4" xfId="29700" hidden="1"/>
    <cellStyle name="60% - 강조색5 4" xfId="29740" hidden="1"/>
    <cellStyle name="60% - 강조색5 4" xfId="29780" hidden="1"/>
    <cellStyle name="60% - 강조색5 4" xfId="29820" hidden="1"/>
    <cellStyle name="60% - 강조색5 4" xfId="29860" hidden="1"/>
    <cellStyle name="60% - 강조색5 4" xfId="29900" hidden="1"/>
    <cellStyle name="60% - 강조색5 4" xfId="29940" hidden="1"/>
    <cellStyle name="60% - 강조색5 4" xfId="29980" hidden="1"/>
    <cellStyle name="60% - 강조색5 4" xfId="30020" hidden="1"/>
    <cellStyle name="60% - 강조색5 4" xfId="30104" hidden="1"/>
    <cellStyle name="60% - 강조색5 4" xfId="30145" hidden="1"/>
    <cellStyle name="60% - 강조색5 4" xfId="30187" hidden="1"/>
    <cellStyle name="60% - 강조색5 4" xfId="30229" hidden="1"/>
    <cellStyle name="60% - 강조색5 4" xfId="30271" hidden="1"/>
    <cellStyle name="60% - 강조색5 4" xfId="30313" hidden="1"/>
    <cellStyle name="60% - 강조색5 4" xfId="30355" hidden="1"/>
    <cellStyle name="60% - 강조색5 4" xfId="30397" hidden="1"/>
    <cellStyle name="60% - 강조색5 4" xfId="30439" hidden="1"/>
    <cellStyle name="60% - 강조색5 4" xfId="30481" hidden="1"/>
    <cellStyle name="60% - 강조색5 4" xfId="30523" hidden="1"/>
    <cellStyle name="60% - 강조색5 4" xfId="30565" hidden="1"/>
    <cellStyle name="60% - 강조색5 4" xfId="30061" hidden="1"/>
    <cellStyle name="60% - 강조색5 4" xfId="30744" hidden="1"/>
    <cellStyle name="60% - 강조색5 4" xfId="30784" hidden="1"/>
    <cellStyle name="60% - 강조색5 4" xfId="30824" hidden="1"/>
    <cellStyle name="60% - 강조색5 4" xfId="30864" hidden="1"/>
    <cellStyle name="60% - 강조색5 4" xfId="30904" hidden="1"/>
    <cellStyle name="60% - 강조색5 4" xfId="30944" hidden="1"/>
    <cellStyle name="60% - 강조색5 4" xfId="30984" hidden="1"/>
    <cellStyle name="60% - 강조색5 4" xfId="31024" hidden="1"/>
    <cellStyle name="60% - 강조색5 4" xfId="31064" hidden="1"/>
    <cellStyle name="60% - 강조색5 4" xfId="31104" hidden="1"/>
    <cellStyle name="60% - 강조색5 4" xfId="31144" hidden="1"/>
    <cellStyle name="60% - 강조색5 4" xfId="31184" hidden="1"/>
    <cellStyle name="60% - 강조색5 4" xfId="30616" hidden="1"/>
    <cellStyle name="60% - 강조색5 4" xfId="30577" hidden="1"/>
    <cellStyle name="60% - 강조색5 4" xfId="31226" hidden="1"/>
    <cellStyle name="60% - 강조색5 4" xfId="31268" hidden="1"/>
    <cellStyle name="60% - 강조색5 4" xfId="31310" hidden="1"/>
    <cellStyle name="60% - 강조색5 4" xfId="31352" hidden="1"/>
    <cellStyle name="60% - 강조색5 4" xfId="31394" hidden="1"/>
    <cellStyle name="60% - 강조색5 4" xfId="31436" hidden="1"/>
    <cellStyle name="60% - 강조색5 4" xfId="31478" hidden="1"/>
    <cellStyle name="60% - 강조색5 4" xfId="31520" hidden="1"/>
    <cellStyle name="60% - 강조색5 4" xfId="31562" hidden="1"/>
    <cellStyle name="60% - 강조색5 4" xfId="31604" hidden="1"/>
    <cellStyle name="60% - 강조색5 4" xfId="30669" hidden="1"/>
    <cellStyle name="60% - 강조색5 4" xfId="31632" hidden="1"/>
    <cellStyle name="60% - 강조색5 4" xfId="31672" hidden="1"/>
    <cellStyle name="60% - 강조색5 4" xfId="31712" hidden="1"/>
    <cellStyle name="60% - 강조색5 4" xfId="31752" hidden="1"/>
    <cellStyle name="60% - 강조색5 4" xfId="31792" hidden="1"/>
    <cellStyle name="60% - 강조색5 4" xfId="31832" hidden="1"/>
    <cellStyle name="60% - 강조색5 4" xfId="31872" hidden="1"/>
    <cellStyle name="60% - 강조색5 4" xfId="31912" hidden="1"/>
    <cellStyle name="60% - 강조색5 4" xfId="31952" hidden="1"/>
    <cellStyle name="60% - 강조색5 4" xfId="31992" hidden="1"/>
    <cellStyle name="60% - 강조색5 4" xfId="32032" hidden="1"/>
    <cellStyle name="60% - 강조색5 4" xfId="32072" hidden="1"/>
    <cellStyle name="60% - 강조색5 4" xfId="32134" hidden="1"/>
    <cellStyle name="60% - 강조색5 4" xfId="32174" hidden="1"/>
    <cellStyle name="60% - 강조색5 4" xfId="32214" hidden="1"/>
    <cellStyle name="60% - 강조색5 4" xfId="32254" hidden="1"/>
    <cellStyle name="60% - 강조색5 4" xfId="32294" hidden="1"/>
    <cellStyle name="60% - 강조색5 4" xfId="32334" hidden="1"/>
    <cellStyle name="60% - 강조색5 4" xfId="32374" hidden="1"/>
    <cellStyle name="60% - 강조색5 4" xfId="32414" hidden="1"/>
    <cellStyle name="60% - 강조색5 4" xfId="32454" hidden="1"/>
    <cellStyle name="60% - 강조색5 4" xfId="32494" hidden="1"/>
    <cellStyle name="60% - 강조색5 4" xfId="32534" hidden="1"/>
    <cellStyle name="60% - 강조색5 4" xfId="32574" hidden="1"/>
    <cellStyle name="60% - 강조색5 4" xfId="32659" hidden="1"/>
    <cellStyle name="60% - 강조색5 4" xfId="32700" hidden="1"/>
    <cellStyle name="60% - 강조색5 4" xfId="32742" hidden="1"/>
    <cellStyle name="60% - 강조색5 4" xfId="32784" hidden="1"/>
    <cellStyle name="60% - 강조색5 4" xfId="32826" hidden="1"/>
    <cellStyle name="60% - 강조색5 4" xfId="32868" hidden="1"/>
    <cellStyle name="60% - 강조색5 4" xfId="32910" hidden="1"/>
    <cellStyle name="60% - 강조색5 4" xfId="32952" hidden="1"/>
    <cellStyle name="60% - 강조색5 4" xfId="32994" hidden="1"/>
    <cellStyle name="60% - 강조색5 4" xfId="33036" hidden="1"/>
    <cellStyle name="60% - 강조색5 4" xfId="33078" hidden="1"/>
    <cellStyle name="60% - 강조색5 4" xfId="33120" hidden="1"/>
    <cellStyle name="60% - 강조색5 4" xfId="32616" hidden="1"/>
    <cellStyle name="60% - 강조색5 4" xfId="33299" hidden="1"/>
    <cellStyle name="60% - 강조색5 4" xfId="33339" hidden="1"/>
    <cellStyle name="60% - 강조색5 4" xfId="33379" hidden="1"/>
    <cellStyle name="60% - 강조색5 4" xfId="33419" hidden="1"/>
    <cellStyle name="60% - 강조색5 4" xfId="33459" hidden="1"/>
    <cellStyle name="60% - 강조색5 4" xfId="33499" hidden="1"/>
    <cellStyle name="60% - 강조색5 4" xfId="33539" hidden="1"/>
    <cellStyle name="60% - 강조색5 4" xfId="33579" hidden="1"/>
    <cellStyle name="60% - 강조색5 4" xfId="33619" hidden="1"/>
    <cellStyle name="60% - 강조색5 4" xfId="33659" hidden="1"/>
    <cellStyle name="60% - 강조색5 4" xfId="33699" hidden="1"/>
    <cellStyle name="60% - 강조색5 4" xfId="33739" hidden="1"/>
    <cellStyle name="60% - 강조색5 4" xfId="33171" hidden="1"/>
    <cellStyle name="60% - 강조색5 4" xfId="33132" hidden="1"/>
    <cellStyle name="60% - 강조색5 4" xfId="33781" hidden="1"/>
    <cellStyle name="60% - 강조색5 4" xfId="33823" hidden="1"/>
    <cellStyle name="60% - 강조색5 4" xfId="33865" hidden="1"/>
    <cellStyle name="60% - 강조색5 4" xfId="33907" hidden="1"/>
    <cellStyle name="60% - 강조색5 4" xfId="33949" hidden="1"/>
    <cellStyle name="60% - 강조색5 4" xfId="33991" hidden="1"/>
    <cellStyle name="60% - 강조색5 4" xfId="34033" hidden="1"/>
    <cellStyle name="60% - 강조색5 4" xfId="34075" hidden="1"/>
    <cellStyle name="60% - 강조색5 4" xfId="34117" hidden="1"/>
    <cellStyle name="60% - 강조색5 4" xfId="34159" hidden="1"/>
    <cellStyle name="60% - 강조색5 4" xfId="33224" hidden="1"/>
    <cellStyle name="60% - 강조색5 4" xfId="34187" hidden="1"/>
    <cellStyle name="60% - 강조색5 4" xfId="34227" hidden="1"/>
    <cellStyle name="60% - 강조색5 4" xfId="34267" hidden="1"/>
    <cellStyle name="60% - 강조색5 4" xfId="34307" hidden="1"/>
    <cellStyle name="60% - 강조색5 4" xfId="34347" hidden="1"/>
    <cellStyle name="60% - 강조색5 4" xfId="34387" hidden="1"/>
    <cellStyle name="60% - 강조색5 4" xfId="34427" hidden="1"/>
    <cellStyle name="60% - 강조색5 4" xfId="34467" hidden="1"/>
    <cellStyle name="60% - 강조색5 4" xfId="34507" hidden="1"/>
    <cellStyle name="60% - 강조색5 4" xfId="34547" hidden="1"/>
    <cellStyle name="60% - 강조색5 4" xfId="34587" hidden="1"/>
    <cellStyle name="60% - 강조색5 4" xfId="34627" hidden="1"/>
    <cellStyle name="60% - 강조색5 4" xfId="34724" hidden="1"/>
    <cellStyle name="60% - 강조색5 4" xfId="34764" hidden="1"/>
    <cellStyle name="60% - 강조색5 4" xfId="34804" hidden="1"/>
    <cellStyle name="60% - 강조색5 4" xfId="34844" hidden="1"/>
    <cellStyle name="60% - 강조색5 4" xfId="34884" hidden="1"/>
    <cellStyle name="60% - 강조색5 4" xfId="34924" hidden="1"/>
    <cellStyle name="60% - 강조색5 4" xfId="34964" hidden="1"/>
    <cellStyle name="60% - 강조색5 4" xfId="35004" hidden="1"/>
    <cellStyle name="60% - 강조색5 4" xfId="35044" hidden="1"/>
    <cellStyle name="60% - 강조색5 4" xfId="35084" hidden="1"/>
    <cellStyle name="60% - 강조색5 4" xfId="35124" hidden="1"/>
    <cellStyle name="60% - 강조색5 4" xfId="35164" hidden="1"/>
    <cellStyle name="60% - 강조색5 4" xfId="35248" hidden="1"/>
    <cellStyle name="60% - 강조색5 4" xfId="35289" hidden="1"/>
    <cellStyle name="60% - 강조색5 4" xfId="35331" hidden="1"/>
    <cellStyle name="60% - 강조색5 4" xfId="35373" hidden="1"/>
    <cellStyle name="60% - 강조색5 4" xfId="35415" hidden="1"/>
    <cellStyle name="60% - 강조색5 4" xfId="35457" hidden="1"/>
    <cellStyle name="60% - 강조색5 4" xfId="35499" hidden="1"/>
    <cellStyle name="60% - 강조색5 4" xfId="35541" hidden="1"/>
    <cellStyle name="60% - 강조색5 4" xfId="35583" hidden="1"/>
    <cellStyle name="60% - 강조색5 4" xfId="35625" hidden="1"/>
    <cellStyle name="60% - 강조색5 4" xfId="35667" hidden="1"/>
    <cellStyle name="60% - 강조색5 4" xfId="35709" hidden="1"/>
    <cellStyle name="60% - 강조색5 4" xfId="35205" hidden="1"/>
    <cellStyle name="60% - 강조색5 4" xfId="35888" hidden="1"/>
    <cellStyle name="60% - 강조색5 4" xfId="35928" hidden="1"/>
    <cellStyle name="60% - 강조색5 4" xfId="35968" hidden="1"/>
    <cellStyle name="60% - 강조색5 4" xfId="36008" hidden="1"/>
    <cellStyle name="60% - 강조색5 4" xfId="36048" hidden="1"/>
    <cellStyle name="60% - 강조색5 4" xfId="36088" hidden="1"/>
    <cellStyle name="60% - 강조색5 4" xfId="36128" hidden="1"/>
    <cellStyle name="60% - 강조색5 4" xfId="36168" hidden="1"/>
    <cellStyle name="60% - 강조색5 4" xfId="36208" hidden="1"/>
    <cellStyle name="60% - 강조색5 4" xfId="36248" hidden="1"/>
    <cellStyle name="60% - 강조색5 4" xfId="36288" hidden="1"/>
    <cellStyle name="60% - 강조색5 4" xfId="36328" hidden="1"/>
    <cellStyle name="60% - 강조색5 4" xfId="35760" hidden="1"/>
    <cellStyle name="60% - 강조색5 4" xfId="35721" hidden="1"/>
    <cellStyle name="60% - 강조색5 4" xfId="36370" hidden="1"/>
    <cellStyle name="60% - 강조색5 4" xfId="36412" hidden="1"/>
    <cellStyle name="60% - 강조색5 4" xfId="36454" hidden="1"/>
    <cellStyle name="60% - 강조색5 4" xfId="36496" hidden="1"/>
    <cellStyle name="60% - 강조색5 4" xfId="36538" hidden="1"/>
    <cellStyle name="60% - 강조색5 4" xfId="36580" hidden="1"/>
    <cellStyle name="60% - 강조색5 4" xfId="36622" hidden="1"/>
    <cellStyle name="60% - 강조색5 4" xfId="36664" hidden="1"/>
    <cellStyle name="60% - 강조색5 4" xfId="36706" hidden="1"/>
    <cellStyle name="60% - 강조색5 4" xfId="36748" hidden="1"/>
    <cellStyle name="60% - 강조색5 4" xfId="35813" hidden="1"/>
    <cellStyle name="60% - 강조색5 4" xfId="36776" hidden="1"/>
    <cellStyle name="60% - 강조색5 4" xfId="36816" hidden="1"/>
    <cellStyle name="60% - 강조색5 4" xfId="36856" hidden="1"/>
    <cellStyle name="60% - 강조색5 4" xfId="36896" hidden="1"/>
    <cellStyle name="60% - 강조색5 4" xfId="36936" hidden="1"/>
    <cellStyle name="60% - 강조색5 4" xfId="36976" hidden="1"/>
    <cellStyle name="60% - 강조색5 4" xfId="37016" hidden="1"/>
    <cellStyle name="60% - 강조색5 4" xfId="37056" hidden="1"/>
    <cellStyle name="60% - 강조색5 4" xfId="37096" hidden="1"/>
    <cellStyle name="60% - 강조색5 4" xfId="37136" hidden="1"/>
    <cellStyle name="60% - 강조색5 4" xfId="37176" hidden="1"/>
    <cellStyle name="60% - 강조색5 4" xfId="37216" hidden="1"/>
    <cellStyle name="60% - 강조색5 4" xfId="37227" hidden="1"/>
    <cellStyle name="60% - 강조색5 4" xfId="37267" hidden="1"/>
    <cellStyle name="60% - 강조색5 4" xfId="37308" hidden="1"/>
    <cellStyle name="60% - 강조색5 4" xfId="37348" hidden="1"/>
    <cellStyle name="60% - 강조색5 4" xfId="37388" hidden="1"/>
    <cellStyle name="60% - 강조색5 4" xfId="37428" hidden="1"/>
    <cellStyle name="60% - 강조색5 4" xfId="37468" hidden="1"/>
    <cellStyle name="60% - 강조색5 4" xfId="37508" hidden="1"/>
    <cellStyle name="60% - 강조색5 4" xfId="37548" hidden="1"/>
    <cellStyle name="60% - 강조색5 4" xfId="37588" hidden="1"/>
    <cellStyle name="60% - 강조색5 4" xfId="37628" hidden="1"/>
    <cellStyle name="60% - 강조색5 4" xfId="37668" hidden="1"/>
    <cellStyle name="60% - 강조색5 4" xfId="37752" hidden="1"/>
    <cellStyle name="60% - 강조색5 4" xfId="37793" hidden="1"/>
    <cellStyle name="60% - 강조색5 4" xfId="37835" hidden="1"/>
    <cellStyle name="60% - 강조색5 4" xfId="37877" hidden="1"/>
    <cellStyle name="60% - 강조색5 4" xfId="37919" hidden="1"/>
    <cellStyle name="60% - 강조색5 4" xfId="37961" hidden="1"/>
    <cellStyle name="60% - 강조색5 4" xfId="38003" hidden="1"/>
    <cellStyle name="60% - 강조색5 4" xfId="38045" hidden="1"/>
    <cellStyle name="60% - 강조색5 4" xfId="38087" hidden="1"/>
    <cellStyle name="60% - 강조색5 4" xfId="38129" hidden="1"/>
    <cellStyle name="60% - 강조색5 4" xfId="38171" hidden="1"/>
    <cellStyle name="60% - 강조색5 4" xfId="38213" hidden="1"/>
    <cellStyle name="60% - 강조색5 4" xfId="37709" hidden="1"/>
    <cellStyle name="60% - 강조색5 4" xfId="38392" hidden="1"/>
    <cellStyle name="60% - 강조색5 4" xfId="38432" hidden="1"/>
    <cellStyle name="60% - 강조색5 4" xfId="38472" hidden="1"/>
    <cellStyle name="60% - 강조색5 4" xfId="38512" hidden="1"/>
    <cellStyle name="60% - 강조색5 4" xfId="38552" hidden="1"/>
    <cellStyle name="60% - 강조색5 4" xfId="38592" hidden="1"/>
    <cellStyle name="60% - 강조색5 4" xfId="38632" hidden="1"/>
    <cellStyle name="60% - 강조색5 4" xfId="38672" hidden="1"/>
    <cellStyle name="60% - 강조색5 4" xfId="38712" hidden="1"/>
    <cellStyle name="60% - 강조색5 4" xfId="38752" hidden="1"/>
    <cellStyle name="60% - 강조색5 4" xfId="38792" hidden="1"/>
    <cellStyle name="60% - 강조색5 4" xfId="38832" hidden="1"/>
    <cellStyle name="60% - 강조색5 4" xfId="38264" hidden="1"/>
    <cellStyle name="60% - 강조색5 4" xfId="38225" hidden="1"/>
    <cellStyle name="60% - 강조색5 4" xfId="38874" hidden="1"/>
    <cellStyle name="60% - 강조색5 4" xfId="38916" hidden="1"/>
    <cellStyle name="60% - 강조색5 4" xfId="38958" hidden="1"/>
    <cellStyle name="60% - 강조색5 4" xfId="39000" hidden="1"/>
    <cellStyle name="60% - 강조색5 4" xfId="39042" hidden="1"/>
    <cellStyle name="60% - 강조색5 4" xfId="39084" hidden="1"/>
    <cellStyle name="60% - 강조색5 4" xfId="39126" hidden="1"/>
    <cellStyle name="60% - 강조색5 4" xfId="39168" hidden="1"/>
    <cellStyle name="60% - 강조색5 4" xfId="39210" hidden="1"/>
    <cellStyle name="60% - 강조색5 4" xfId="39252" hidden="1"/>
    <cellStyle name="60% - 강조색5 4" xfId="38317" hidden="1"/>
    <cellStyle name="60% - 강조색5 4" xfId="39280" hidden="1"/>
    <cellStyle name="60% - 강조색5 4" xfId="39320" hidden="1"/>
    <cellStyle name="60% - 강조색5 4" xfId="39360" hidden="1"/>
    <cellStyle name="60% - 강조색5 4" xfId="39400" hidden="1"/>
    <cellStyle name="60% - 강조색5 4" xfId="39440" hidden="1"/>
    <cellStyle name="60% - 강조색5 4" xfId="39480" hidden="1"/>
    <cellStyle name="60% - 강조색5 4" xfId="39520" hidden="1"/>
    <cellStyle name="60% - 강조색5 4" xfId="39560" hidden="1"/>
    <cellStyle name="60% - 강조색5 4" xfId="39600" hidden="1"/>
    <cellStyle name="60% - 강조색5 4" xfId="39640" hidden="1"/>
    <cellStyle name="60% - 강조색5 4" xfId="39680" hidden="1"/>
    <cellStyle name="60% - 강조색5 4" xfId="39720" hidden="1"/>
    <cellStyle name="60% - 강조색5 4" xfId="39730" hidden="1"/>
    <cellStyle name="60% - 강조색5 4" xfId="39770" hidden="1"/>
    <cellStyle name="60% - 강조색5 4" xfId="39810" hidden="1"/>
    <cellStyle name="60% - 강조색5 4" xfId="39850" hidden="1"/>
    <cellStyle name="60% - 강조색5 4" xfId="39890" hidden="1"/>
    <cellStyle name="60% - 강조색5 4" xfId="39930" hidden="1"/>
    <cellStyle name="60% - 강조색5 4" xfId="39970" hidden="1"/>
    <cellStyle name="60% - 강조색5 4" xfId="40010" hidden="1"/>
    <cellStyle name="60% - 강조색5 4" xfId="40050" hidden="1"/>
    <cellStyle name="60% - 강조색5 4" xfId="40090" hidden="1"/>
    <cellStyle name="60% - 강조색5 4" xfId="40130" hidden="1"/>
    <cellStyle name="60% - 강조색5 4" xfId="40170" hidden="1"/>
    <cellStyle name="60% - 강조색5 4" xfId="40254" hidden="1"/>
    <cellStyle name="60% - 강조색5 4" xfId="40295" hidden="1"/>
    <cellStyle name="60% - 강조색5 4" xfId="40337" hidden="1"/>
    <cellStyle name="60% - 강조색5 4" xfId="40379" hidden="1"/>
    <cellStyle name="60% - 강조색5 4" xfId="40421" hidden="1"/>
    <cellStyle name="60% - 강조색5 4" xfId="40463" hidden="1"/>
    <cellStyle name="60% - 강조색5 4" xfId="40505" hidden="1"/>
    <cellStyle name="60% - 강조색5 4" xfId="40547" hidden="1"/>
    <cellStyle name="60% - 강조색5 4" xfId="40589" hidden="1"/>
    <cellStyle name="60% - 강조색5 4" xfId="40631" hidden="1"/>
    <cellStyle name="60% - 강조색5 4" xfId="40673" hidden="1"/>
    <cellStyle name="60% - 강조색5 4" xfId="40715" hidden="1"/>
    <cellStyle name="60% - 강조색5 4" xfId="40211" hidden="1"/>
    <cellStyle name="60% - 강조색5 4" xfId="40894" hidden="1"/>
    <cellStyle name="60% - 강조색5 4" xfId="40934" hidden="1"/>
    <cellStyle name="60% - 강조색5 4" xfId="40974" hidden="1"/>
    <cellStyle name="60% - 강조색5 4" xfId="41014" hidden="1"/>
    <cellStyle name="60% - 강조색5 4" xfId="41054" hidden="1"/>
    <cellStyle name="60% - 강조색5 4" xfId="41094" hidden="1"/>
    <cellStyle name="60% - 강조색5 4" xfId="41134" hidden="1"/>
    <cellStyle name="60% - 강조색5 4" xfId="41174" hidden="1"/>
    <cellStyle name="60% - 강조색5 4" xfId="41214" hidden="1"/>
    <cellStyle name="60% - 강조색5 4" xfId="41254" hidden="1"/>
    <cellStyle name="60% - 강조색5 4" xfId="41294" hidden="1"/>
    <cellStyle name="60% - 강조색5 4" xfId="41334" hidden="1"/>
    <cellStyle name="60% - 강조색5 4" xfId="40766" hidden="1"/>
    <cellStyle name="60% - 강조색5 4" xfId="40727" hidden="1"/>
    <cellStyle name="60% - 강조색5 4" xfId="41376" hidden="1"/>
    <cellStyle name="60% - 강조색5 4" xfId="41418" hidden="1"/>
    <cellStyle name="60% - 강조색5 4" xfId="41460" hidden="1"/>
    <cellStyle name="60% - 강조색5 4" xfId="41502" hidden="1"/>
    <cellStyle name="60% - 강조색5 4" xfId="41544" hidden="1"/>
    <cellStyle name="60% - 강조색5 4" xfId="41586" hidden="1"/>
    <cellStyle name="60% - 강조색5 4" xfId="41628" hidden="1"/>
    <cellStyle name="60% - 강조색5 4" xfId="41670" hidden="1"/>
    <cellStyle name="60% - 강조색5 4" xfId="41712" hidden="1"/>
    <cellStyle name="60% - 강조색5 4" xfId="41754" hidden="1"/>
    <cellStyle name="60% - 강조색5 4" xfId="40819" hidden="1"/>
    <cellStyle name="60% - 강조색5 4" xfId="41782" hidden="1"/>
    <cellStyle name="60% - 강조색5 4" xfId="41822" hidden="1"/>
    <cellStyle name="60% - 강조색5 4" xfId="41862" hidden="1"/>
    <cellStyle name="60% - 강조색5 4" xfId="41902" hidden="1"/>
    <cellStyle name="60% - 강조색5 4" xfId="41942" hidden="1"/>
    <cellStyle name="60% - 강조색5 4" xfId="41982" hidden="1"/>
    <cellStyle name="60% - 강조색5 4" xfId="42022" hidden="1"/>
    <cellStyle name="60% - 강조색5 4" xfId="42062" hidden="1"/>
    <cellStyle name="60% - 강조색5 4" xfId="42102" hidden="1"/>
    <cellStyle name="60% - 강조색5 4" xfId="42142" hidden="1"/>
    <cellStyle name="60% - 강조색5 4" xfId="42182" hidden="1"/>
    <cellStyle name="60% - 강조색5 4" xfId="42222" hidden="1"/>
    <cellStyle name="60% - 강조색5 4" xfId="42265" hidden="1"/>
    <cellStyle name="60% - 강조색5 4" xfId="42305" hidden="1"/>
    <cellStyle name="60% - 강조색5 4" xfId="42345" hidden="1"/>
    <cellStyle name="60% - 강조색5 4" xfId="42385" hidden="1"/>
    <cellStyle name="60% - 강조색5 4" xfId="42425" hidden="1"/>
    <cellStyle name="60% - 강조색5 4" xfId="42465" hidden="1"/>
    <cellStyle name="60% - 강조색5 4" xfId="42505" hidden="1"/>
    <cellStyle name="60% - 강조색5 4" xfId="42545" hidden="1"/>
    <cellStyle name="60% - 강조색5 4" xfId="42585" hidden="1"/>
    <cellStyle name="60% - 강조색5 4" xfId="42625" hidden="1"/>
    <cellStyle name="60% - 강조색5 4" xfId="42665" hidden="1"/>
    <cellStyle name="60% - 강조색5 4" xfId="42705" hidden="1"/>
    <cellStyle name="60% - 강조색5 4" xfId="42789" hidden="1"/>
    <cellStyle name="60% - 강조색5 4" xfId="42830" hidden="1"/>
    <cellStyle name="60% - 강조색5 4" xfId="42872" hidden="1"/>
    <cellStyle name="60% - 강조색5 4" xfId="42914" hidden="1"/>
    <cellStyle name="60% - 강조색5 4" xfId="42956" hidden="1"/>
    <cellStyle name="60% - 강조색5 4" xfId="42998" hidden="1"/>
    <cellStyle name="60% - 강조색5 4" xfId="43040" hidden="1"/>
    <cellStyle name="60% - 강조색5 4" xfId="43082" hidden="1"/>
    <cellStyle name="60% - 강조색5 4" xfId="43124" hidden="1"/>
    <cellStyle name="60% - 강조색5 4" xfId="43166" hidden="1"/>
    <cellStyle name="60% - 강조색5 4" xfId="43208" hidden="1"/>
    <cellStyle name="60% - 강조색5 4" xfId="43250" hidden="1"/>
    <cellStyle name="60% - 강조색5 4" xfId="42746" hidden="1"/>
    <cellStyle name="60% - 강조색5 4" xfId="43429" hidden="1"/>
    <cellStyle name="60% - 강조색5 4" xfId="43469" hidden="1"/>
    <cellStyle name="60% - 강조색5 4" xfId="43509" hidden="1"/>
    <cellStyle name="60% - 강조색5 4" xfId="43549" hidden="1"/>
    <cellStyle name="60% - 강조색5 4" xfId="43589" hidden="1"/>
    <cellStyle name="60% - 강조색5 4" xfId="43629" hidden="1"/>
    <cellStyle name="60% - 강조색5 4" xfId="43669" hidden="1"/>
    <cellStyle name="60% - 강조색5 4" xfId="43709" hidden="1"/>
    <cellStyle name="60% - 강조색5 4" xfId="43749" hidden="1"/>
    <cellStyle name="60% - 강조색5 4" xfId="43789" hidden="1"/>
    <cellStyle name="60% - 강조색5 4" xfId="43829" hidden="1"/>
    <cellStyle name="60% - 강조색5 4" xfId="43869" hidden="1"/>
    <cellStyle name="60% - 강조색5 4" xfId="43301" hidden="1"/>
    <cellStyle name="60% - 강조색5 4" xfId="43262" hidden="1"/>
    <cellStyle name="60% - 강조색5 4" xfId="43911" hidden="1"/>
    <cellStyle name="60% - 강조색5 4" xfId="43953" hidden="1"/>
    <cellStyle name="60% - 강조색5 4" xfId="43995" hidden="1"/>
    <cellStyle name="60% - 강조색5 4" xfId="44037" hidden="1"/>
    <cellStyle name="60% - 강조색5 4" xfId="44079" hidden="1"/>
    <cellStyle name="60% - 강조색5 4" xfId="44121" hidden="1"/>
    <cellStyle name="60% - 강조색5 4" xfId="44163" hidden="1"/>
    <cellStyle name="60% - 강조색5 4" xfId="44205" hidden="1"/>
    <cellStyle name="60% - 강조색5 4" xfId="44247" hidden="1"/>
    <cellStyle name="60% - 강조색5 4" xfId="44289" hidden="1"/>
    <cellStyle name="60% - 강조색5 4" xfId="43354" hidden="1"/>
    <cellStyle name="60% - 강조색5 4" xfId="44317" hidden="1"/>
    <cellStyle name="60% - 강조색5 4" xfId="44357" hidden="1"/>
    <cellStyle name="60% - 강조색5 4" xfId="44397" hidden="1"/>
    <cellStyle name="60% - 강조색5 4" xfId="44437" hidden="1"/>
    <cellStyle name="60% - 강조색5 4" xfId="44477" hidden="1"/>
    <cellStyle name="60% - 강조색5 4" xfId="44517" hidden="1"/>
    <cellStyle name="60% - 강조색5 4" xfId="44557" hidden="1"/>
    <cellStyle name="60% - 강조색5 4" xfId="44597" hidden="1"/>
    <cellStyle name="60% - 강조색5 4" xfId="44637" hidden="1"/>
    <cellStyle name="60% - 강조색5 4" xfId="44677" hidden="1"/>
    <cellStyle name="60% - 강조색5 4" xfId="44717" hidden="1"/>
    <cellStyle name="60% - 강조색5 4" xfId="44757" hidden="1"/>
    <cellStyle name="60% - 강조색5 4" xfId="44853" hidden="1"/>
    <cellStyle name="60% - 강조색5 4" xfId="44893" hidden="1"/>
    <cellStyle name="60% - 강조색5 4" xfId="44935" hidden="1"/>
    <cellStyle name="60% - 강조색5 4" xfId="44976" hidden="1"/>
    <cellStyle name="60% - 강조색5 4" xfId="45016" hidden="1"/>
    <cellStyle name="60% - 강조색5 4" xfId="45056" hidden="1"/>
    <cellStyle name="60% - 강조색5 4" xfId="45096" hidden="1"/>
    <cellStyle name="60% - 강조색5 4" xfId="45136" hidden="1"/>
    <cellStyle name="60% - 강조색5 4" xfId="45176" hidden="1"/>
    <cellStyle name="60% - 강조색5 4" xfId="45216" hidden="1"/>
    <cellStyle name="60% - 강조색5 4" xfId="45256" hidden="1"/>
    <cellStyle name="60% - 강조색5 4" xfId="45296" hidden="1"/>
    <cellStyle name="60% - 강조색5 4" xfId="45380" hidden="1"/>
    <cellStyle name="60% - 강조색5 4" xfId="45421" hidden="1"/>
    <cellStyle name="60% - 강조색5 4" xfId="45463" hidden="1"/>
    <cellStyle name="60% - 강조색5 4" xfId="45505" hidden="1"/>
    <cellStyle name="60% - 강조색5 4" xfId="45547" hidden="1"/>
    <cellStyle name="60% - 강조색5 4" xfId="45589" hidden="1"/>
    <cellStyle name="60% - 강조색5 4" xfId="45631" hidden="1"/>
    <cellStyle name="60% - 강조색5 4" xfId="45673" hidden="1"/>
    <cellStyle name="60% - 강조색5 4" xfId="45715" hidden="1"/>
    <cellStyle name="60% - 강조색5 4" xfId="45757" hidden="1"/>
    <cellStyle name="60% - 강조색5 4" xfId="45799" hidden="1"/>
    <cellStyle name="60% - 강조색5 4" xfId="45841" hidden="1"/>
    <cellStyle name="60% - 강조색5 4" xfId="45337" hidden="1"/>
    <cellStyle name="60% - 강조색5 4" xfId="46020" hidden="1"/>
    <cellStyle name="60% - 강조색5 4" xfId="46060" hidden="1"/>
    <cellStyle name="60% - 강조색5 4" xfId="46100" hidden="1"/>
    <cellStyle name="60% - 강조색5 4" xfId="46140" hidden="1"/>
    <cellStyle name="60% - 강조색5 4" xfId="46180" hidden="1"/>
    <cellStyle name="60% - 강조색5 4" xfId="46220" hidden="1"/>
    <cellStyle name="60% - 강조색5 4" xfId="46260" hidden="1"/>
    <cellStyle name="60% - 강조색5 4" xfId="46300" hidden="1"/>
    <cellStyle name="60% - 강조색5 4" xfId="46340" hidden="1"/>
    <cellStyle name="60% - 강조색5 4" xfId="46380" hidden="1"/>
    <cellStyle name="60% - 강조색5 4" xfId="46420" hidden="1"/>
    <cellStyle name="60% - 강조색5 4" xfId="46460" hidden="1"/>
    <cellStyle name="60% - 강조색5 4" xfId="45892" hidden="1"/>
    <cellStyle name="60% - 강조색5 4" xfId="45853" hidden="1"/>
    <cellStyle name="60% - 강조색5 4" xfId="46502" hidden="1"/>
    <cellStyle name="60% - 강조색5 4" xfId="46544" hidden="1"/>
    <cellStyle name="60% - 강조색5 4" xfId="46586" hidden="1"/>
    <cellStyle name="60% - 강조색5 4" xfId="46628" hidden="1"/>
    <cellStyle name="60% - 강조색5 4" xfId="46670" hidden="1"/>
    <cellStyle name="60% - 강조색5 4" xfId="46712" hidden="1"/>
    <cellStyle name="60% - 강조색5 4" xfId="46754" hidden="1"/>
    <cellStyle name="60% - 강조색5 4" xfId="46796" hidden="1"/>
    <cellStyle name="60% - 강조색5 4" xfId="46838" hidden="1"/>
    <cellStyle name="60% - 강조색5 4" xfId="46880" hidden="1"/>
    <cellStyle name="60% - 강조색5 4" xfId="45945" hidden="1"/>
    <cellStyle name="60% - 강조색5 4" xfId="46908" hidden="1"/>
    <cellStyle name="60% - 강조색5 4" xfId="46948" hidden="1"/>
    <cellStyle name="60% - 강조색5 4" xfId="46988" hidden="1"/>
    <cellStyle name="60% - 강조색5 4" xfId="47028" hidden="1"/>
    <cellStyle name="60% - 강조색5 4" xfId="47068" hidden="1"/>
    <cellStyle name="60% - 강조색5 4" xfId="47108" hidden="1"/>
    <cellStyle name="60% - 강조색5 4" xfId="47148" hidden="1"/>
    <cellStyle name="60% - 강조색5 4" xfId="47188" hidden="1"/>
    <cellStyle name="60% - 강조색5 4" xfId="47228" hidden="1"/>
    <cellStyle name="60% - 강조색5 4" xfId="47268" hidden="1"/>
    <cellStyle name="60% - 강조색5 4" xfId="47308" hidden="1"/>
    <cellStyle name="60% - 강조색5 4" xfId="47348" hidden="1"/>
    <cellStyle name="60% - 강조색5 4" xfId="47359" hidden="1"/>
    <cellStyle name="60% - 강조색5 4" xfId="47399" hidden="1"/>
    <cellStyle name="60% - 강조색5 4" xfId="47439" hidden="1"/>
    <cellStyle name="60% - 강조색5 4" xfId="47479" hidden="1"/>
    <cellStyle name="60% - 강조색5 4" xfId="47519" hidden="1"/>
    <cellStyle name="60% - 강조색5 4" xfId="47559" hidden="1"/>
    <cellStyle name="60% - 강조색5 4" xfId="47599" hidden="1"/>
    <cellStyle name="60% - 강조색5 4" xfId="47639" hidden="1"/>
    <cellStyle name="60% - 강조색5 4" xfId="47679" hidden="1"/>
    <cellStyle name="60% - 강조색5 4" xfId="47719" hidden="1"/>
    <cellStyle name="60% - 강조색5 4" xfId="47759" hidden="1"/>
    <cellStyle name="60% - 강조색5 4" xfId="47799" hidden="1"/>
    <cellStyle name="60% - 강조색5 4" xfId="47883" hidden="1"/>
    <cellStyle name="60% - 강조색5 4" xfId="47924" hidden="1"/>
    <cellStyle name="60% - 강조색5 4" xfId="47966" hidden="1"/>
    <cellStyle name="60% - 강조색5 4" xfId="48008" hidden="1"/>
    <cellStyle name="60% - 강조색5 4" xfId="48050" hidden="1"/>
    <cellStyle name="60% - 강조색5 4" xfId="48092" hidden="1"/>
    <cellStyle name="60% - 강조색5 4" xfId="48134" hidden="1"/>
    <cellStyle name="60% - 강조색5 4" xfId="48176" hidden="1"/>
    <cellStyle name="60% - 강조색5 4" xfId="48218" hidden="1"/>
    <cellStyle name="60% - 강조색5 4" xfId="48260" hidden="1"/>
    <cellStyle name="60% - 강조색5 4" xfId="48302" hidden="1"/>
    <cellStyle name="60% - 강조색5 4" xfId="48344" hidden="1"/>
    <cellStyle name="60% - 강조색5 4" xfId="47840" hidden="1"/>
    <cellStyle name="60% - 강조색5 4" xfId="48523" hidden="1"/>
    <cellStyle name="60% - 강조색5 4" xfId="48563" hidden="1"/>
    <cellStyle name="60% - 강조색5 4" xfId="48603" hidden="1"/>
    <cellStyle name="60% - 강조색5 4" xfId="48643" hidden="1"/>
    <cellStyle name="60% - 강조색5 4" xfId="48683" hidden="1"/>
    <cellStyle name="60% - 강조색5 4" xfId="48723" hidden="1"/>
    <cellStyle name="60% - 강조색5 4" xfId="48763" hidden="1"/>
    <cellStyle name="60% - 강조색5 4" xfId="48803" hidden="1"/>
    <cellStyle name="60% - 강조색5 4" xfId="48843" hidden="1"/>
    <cellStyle name="60% - 강조색5 4" xfId="48883" hidden="1"/>
    <cellStyle name="60% - 강조색5 4" xfId="48923" hidden="1"/>
    <cellStyle name="60% - 강조색5 4" xfId="48963" hidden="1"/>
    <cellStyle name="60% - 강조색5 4" xfId="48395" hidden="1"/>
    <cellStyle name="60% - 강조색5 4" xfId="48356" hidden="1"/>
    <cellStyle name="60% - 강조색5 4" xfId="49005" hidden="1"/>
    <cellStyle name="60% - 강조색5 4" xfId="49047" hidden="1"/>
    <cellStyle name="60% - 강조색5 4" xfId="49089" hidden="1"/>
    <cellStyle name="60% - 강조색5 4" xfId="49131" hidden="1"/>
    <cellStyle name="60% - 강조색5 4" xfId="49173" hidden="1"/>
    <cellStyle name="60% - 강조색5 4" xfId="49215" hidden="1"/>
    <cellStyle name="60% - 강조색5 4" xfId="49257" hidden="1"/>
    <cellStyle name="60% - 강조색5 4" xfId="49299" hidden="1"/>
    <cellStyle name="60% - 강조색5 4" xfId="49341" hidden="1"/>
    <cellStyle name="60% - 강조색5 4" xfId="49383" hidden="1"/>
    <cellStyle name="60% - 강조색5 4" xfId="48448" hidden="1"/>
    <cellStyle name="60% - 강조색5 4" xfId="49411" hidden="1"/>
    <cellStyle name="60% - 강조색5 4" xfId="49451" hidden="1"/>
    <cellStyle name="60% - 강조색5 4" xfId="49491" hidden="1"/>
    <cellStyle name="60% - 강조색5 4" xfId="49531" hidden="1"/>
    <cellStyle name="60% - 강조색5 4" xfId="49571" hidden="1"/>
    <cellStyle name="60% - 강조색5 4" xfId="49611" hidden="1"/>
    <cellStyle name="60% - 강조색5 4" xfId="49651" hidden="1"/>
    <cellStyle name="60% - 강조색5 4" xfId="49691" hidden="1"/>
    <cellStyle name="60% - 강조색5 4" xfId="49731" hidden="1"/>
    <cellStyle name="60% - 강조색5 4" xfId="49771" hidden="1"/>
    <cellStyle name="60% - 강조색5 4" xfId="49811" hidden="1"/>
    <cellStyle name="60% - 강조색5 4" xfId="49851" hidden="1"/>
    <cellStyle name="60% - 강조색5 4" xfId="49861" hidden="1"/>
    <cellStyle name="60% - 강조색5 4" xfId="49901" hidden="1"/>
    <cellStyle name="60% - 강조색5 4" xfId="49941" hidden="1"/>
    <cellStyle name="60% - 강조색5 4" xfId="49981" hidden="1"/>
    <cellStyle name="60% - 강조색5 4" xfId="50021" hidden="1"/>
    <cellStyle name="60% - 강조색5 4" xfId="50061" hidden="1"/>
    <cellStyle name="60% - 강조색5 4" xfId="50101" hidden="1"/>
    <cellStyle name="60% - 강조색5 4" xfId="50141" hidden="1"/>
    <cellStyle name="60% - 강조색5 4" xfId="50181" hidden="1"/>
    <cellStyle name="60% - 강조색5 4" xfId="50221" hidden="1"/>
    <cellStyle name="60% - 강조색5 4" xfId="50261" hidden="1"/>
    <cellStyle name="60% - 강조색5 4" xfId="50301" hidden="1"/>
    <cellStyle name="60% - 강조색5 4" xfId="50385" hidden="1"/>
    <cellStyle name="60% - 강조색5 4" xfId="50426" hidden="1"/>
    <cellStyle name="60% - 강조색5 4" xfId="50468" hidden="1"/>
    <cellStyle name="60% - 강조색5 4" xfId="50510" hidden="1"/>
    <cellStyle name="60% - 강조색5 4" xfId="50552" hidden="1"/>
    <cellStyle name="60% - 강조색5 4" xfId="50594" hidden="1"/>
    <cellStyle name="60% - 강조색5 4" xfId="50636" hidden="1"/>
    <cellStyle name="60% - 강조색5 4" xfId="50678" hidden="1"/>
    <cellStyle name="60% - 강조색5 4" xfId="50720" hidden="1"/>
    <cellStyle name="60% - 강조색5 4" xfId="50762" hidden="1"/>
    <cellStyle name="60% - 강조색5 4" xfId="50804" hidden="1"/>
    <cellStyle name="60% - 강조색5 4" xfId="50846" hidden="1"/>
    <cellStyle name="60% - 강조색5 4" xfId="50342" hidden="1"/>
    <cellStyle name="60% - 강조색5 4" xfId="51025" hidden="1"/>
    <cellStyle name="60% - 강조색5 4" xfId="51065" hidden="1"/>
    <cellStyle name="60% - 강조색5 4" xfId="51105" hidden="1"/>
    <cellStyle name="60% - 강조색5 4" xfId="51145" hidden="1"/>
    <cellStyle name="60% - 강조색5 4" xfId="51185" hidden="1"/>
    <cellStyle name="60% - 강조색5 4" xfId="51225" hidden="1"/>
    <cellStyle name="60% - 강조색5 4" xfId="51265" hidden="1"/>
    <cellStyle name="60% - 강조색5 4" xfId="51305" hidden="1"/>
    <cellStyle name="60% - 강조색5 4" xfId="51345" hidden="1"/>
    <cellStyle name="60% - 강조색5 4" xfId="51385" hidden="1"/>
    <cellStyle name="60% - 강조색5 4" xfId="51425" hidden="1"/>
    <cellStyle name="60% - 강조색5 4" xfId="51465" hidden="1"/>
    <cellStyle name="60% - 강조색5 4" xfId="50897" hidden="1"/>
    <cellStyle name="60% - 강조색5 4" xfId="50858" hidden="1"/>
    <cellStyle name="60% - 강조색5 4" xfId="51507" hidden="1"/>
    <cellStyle name="60% - 강조색5 4" xfId="51549" hidden="1"/>
    <cellStyle name="60% - 강조색5 4" xfId="51591" hidden="1"/>
    <cellStyle name="60% - 강조색5 4" xfId="51633" hidden="1"/>
    <cellStyle name="60% - 강조색5 4" xfId="51675" hidden="1"/>
    <cellStyle name="60% - 강조색5 4" xfId="51717" hidden="1"/>
    <cellStyle name="60% - 강조색5 4" xfId="51759" hidden="1"/>
    <cellStyle name="60% - 강조색5 4" xfId="51801" hidden="1"/>
    <cellStyle name="60% - 강조색5 4" xfId="51843" hidden="1"/>
    <cellStyle name="60% - 강조색5 4" xfId="51885" hidden="1"/>
    <cellStyle name="60% - 강조색5 4" xfId="50950" hidden="1"/>
    <cellStyle name="60% - 강조색5 4" xfId="51913" hidden="1"/>
    <cellStyle name="60% - 강조색5 4" xfId="51953" hidden="1"/>
    <cellStyle name="60% - 강조색5 4" xfId="51993" hidden="1"/>
    <cellStyle name="60% - 강조색5 4" xfId="52033" hidden="1"/>
    <cellStyle name="60% - 강조색5 4" xfId="52073" hidden="1"/>
    <cellStyle name="60% - 강조색5 4" xfId="52113" hidden="1"/>
    <cellStyle name="60% - 강조색5 4" xfId="52153" hidden="1"/>
    <cellStyle name="60% - 강조색5 4" xfId="52193" hidden="1"/>
    <cellStyle name="60% - 강조색5 4" xfId="52233" hidden="1"/>
    <cellStyle name="60% - 강조색5 4" xfId="52273" hidden="1"/>
    <cellStyle name="60% - 강조색5 4" xfId="52313" hidden="1"/>
    <cellStyle name="60% - 강조색5 4" xfId="52353" hidden="1"/>
    <cellStyle name="60% - 강조색5 4 2" xfId="3452"/>
    <cellStyle name="60% - 강조색5 4 3" xfId="3453"/>
    <cellStyle name="60% - 강조색5 4 4" xfId="3454"/>
    <cellStyle name="60% - 강조색5 4 5" xfId="3455"/>
    <cellStyle name="60% - 강조색5 40" xfId="3456"/>
    <cellStyle name="60% - 강조색5 41" xfId="3457"/>
    <cellStyle name="60% - 강조색5 42" xfId="3458"/>
    <cellStyle name="60% - 강조색5 43" xfId="3459"/>
    <cellStyle name="60% - 강조색5 44" xfId="3460"/>
    <cellStyle name="60% - 강조색5 45" xfId="3461"/>
    <cellStyle name="60% - 강조색5 46" xfId="3462"/>
    <cellStyle name="60% - 강조색5 47" xfId="3463"/>
    <cellStyle name="60% - 강조색5 48" xfId="3464"/>
    <cellStyle name="60% - 강조색5 49" xfId="3465"/>
    <cellStyle name="60% - 강조색5 5" xfId="3466"/>
    <cellStyle name="60% - 강조색5 50" xfId="3467"/>
    <cellStyle name="60% - 강조색5 51" xfId="3468"/>
    <cellStyle name="60% - 강조색5 52" xfId="3469"/>
    <cellStyle name="60% - 강조색5 6" xfId="3470"/>
    <cellStyle name="60% - 강조색5 7" xfId="3471"/>
    <cellStyle name="60% - 강조색5 8" xfId="3472"/>
    <cellStyle name="60% - 강조색5 9" xfId="3473"/>
    <cellStyle name="60% - 강조색6 10" xfId="3474"/>
    <cellStyle name="60% - 강조색6 11" xfId="3475"/>
    <cellStyle name="60% - 강조색6 12" xfId="3476"/>
    <cellStyle name="60% - 강조색6 13" xfId="3477"/>
    <cellStyle name="60% - 강조색6 14" xfId="3478"/>
    <cellStyle name="60% - 강조색6 15" xfId="3479"/>
    <cellStyle name="60% - 강조색6 16" xfId="3480"/>
    <cellStyle name="60% - 강조색6 17" xfId="3481"/>
    <cellStyle name="60% - 강조색6 18" xfId="3482"/>
    <cellStyle name="60% - 강조색6 19" xfId="3483"/>
    <cellStyle name="60% - 강조색6 2" xfId="144"/>
    <cellStyle name="60% - 강조색6 2 10" xfId="3484"/>
    <cellStyle name="60% - 강조색6 2 100" xfId="3485"/>
    <cellStyle name="60% - 강조색6 2 101" xfId="3486"/>
    <cellStyle name="60% - 강조색6 2 102" xfId="3487"/>
    <cellStyle name="60% - 강조색6 2 103" xfId="3488"/>
    <cellStyle name="60% - 강조색6 2 104" xfId="3489"/>
    <cellStyle name="60% - 강조색6 2 105" xfId="3490"/>
    <cellStyle name="60% - 강조색6 2 106" xfId="3491"/>
    <cellStyle name="60% - 강조색6 2 107" xfId="3492"/>
    <cellStyle name="60% - 강조색6 2 108" xfId="3493"/>
    <cellStyle name="60% - 강조색6 2 109" xfId="3494"/>
    <cellStyle name="60% - 강조색6 2 11" xfId="3495"/>
    <cellStyle name="60% - 강조색6 2 110" xfId="3496"/>
    <cellStyle name="60% - 강조색6 2 111" xfId="3497"/>
    <cellStyle name="60% - 강조색6 2 112" xfId="3498"/>
    <cellStyle name="60% - 강조색6 2 12" xfId="3499"/>
    <cellStyle name="60% - 강조색6 2 13" xfId="3500"/>
    <cellStyle name="60% - 강조색6 2 14" xfId="3501"/>
    <cellStyle name="60% - 강조색6 2 15" xfId="3502"/>
    <cellStyle name="60% - 강조색6 2 16" xfId="3503"/>
    <cellStyle name="60% - 강조색6 2 17" xfId="3504"/>
    <cellStyle name="60% - 강조색6 2 18" xfId="3505"/>
    <cellStyle name="60% - 강조색6 2 19" xfId="3506"/>
    <cellStyle name="60% - 강조색6 2 2" xfId="3507"/>
    <cellStyle name="60% - 강조색6 2 2 2" xfId="3508"/>
    <cellStyle name="60% - 강조색6 2 2 3" xfId="3509"/>
    <cellStyle name="60% - 강조색6 2 2 4" xfId="3510"/>
    <cellStyle name="60% - 강조색6 2 2 5" xfId="3511"/>
    <cellStyle name="60% - 강조색6 2 20" xfId="3512"/>
    <cellStyle name="60% - 강조색6 2 21" xfId="3513"/>
    <cellStyle name="60% - 강조색6 2 22" xfId="3514"/>
    <cellStyle name="60% - 강조색6 2 23" xfId="3515"/>
    <cellStyle name="60% - 강조색6 2 24" xfId="3516"/>
    <cellStyle name="60% - 강조색6 2 25" xfId="3517"/>
    <cellStyle name="60% - 강조색6 2 26" xfId="3518"/>
    <cellStyle name="60% - 강조색6 2 27" xfId="3519"/>
    <cellStyle name="60% - 강조색6 2 28" xfId="3520"/>
    <cellStyle name="60% - 강조색6 2 29" xfId="3521"/>
    <cellStyle name="60% - 강조색6 2 3" xfId="3522"/>
    <cellStyle name="60% - 강조색6 2 30" xfId="3523"/>
    <cellStyle name="60% - 강조색6 2 31" xfId="3524"/>
    <cellStyle name="60% - 강조색6 2 32" xfId="3525"/>
    <cellStyle name="60% - 강조색6 2 33" xfId="3526"/>
    <cellStyle name="60% - 강조색6 2 34" xfId="3527"/>
    <cellStyle name="60% - 강조색6 2 35" xfId="3528"/>
    <cellStyle name="60% - 강조색6 2 36" xfId="3529"/>
    <cellStyle name="60% - 강조색6 2 37" xfId="3530"/>
    <cellStyle name="60% - 강조색6 2 38" xfId="3531"/>
    <cellStyle name="60% - 강조색6 2 39" xfId="3532"/>
    <cellStyle name="60% - 강조색6 2 4" xfId="3533"/>
    <cellStyle name="60% - 강조색6 2 40" xfId="3534"/>
    <cellStyle name="60% - 강조색6 2 41" xfId="3535"/>
    <cellStyle name="60% - 강조색6 2 42" xfId="3536"/>
    <cellStyle name="60% - 강조색6 2 43" xfId="3537"/>
    <cellStyle name="60% - 강조색6 2 44" xfId="3538"/>
    <cellStyle name="60% - 강조색6 2 45" xfId="3539"/>
    <cellStyle name="60% - 강조색6 2 46" xfId="3540"/>
    <cellStyle name="60% - 강조색6 2 47" xfId="3541"/>
    <cellStyle name="60% - 강조색6 2 48" xfId="3542"/>
    <cellStyle name="60% - 강조색6 2 49" xfId="3543"/>
    <cellStyle name="60% - 강조색6 2 5" xfId="3544"/>
    <cellStyle name="60% - 강조색6 2 50" xfId="3545"/>
    <cellStyle name="60% - 강조색6 2 51" xfId="3546"/>
    <cellStyle name="60% - 강조색6 2 52" xfId="3547"/>
    <cellStyle name="60% - 강조색6 2 53" xfId="3548"/>
    <cellStyle name="60% - 강조색6 2 54" xfId="3549"/>
    <cellStyle name="60% - 강조색6 2 55" xfId="3550"/>
    <cellStyle name="60% - 강조색6 2 56" xfId="3551"/>
    <cellStyle name="60% - 강조색6 2 57" xfId="3552"/>
    <cellStyle name="60% - 강조색6 2 58" xfId="3553"/>
    <cellStyle name="60% - 강조색6 2 59" xfId="3554"/>
    <cellStyle name="60% - 강조색6 2 6" xfId="3555"/>
    <cellStyle name="60% - 강조색6 2 60" xfId="3556"/>
    <cellStyle name="60% - 강조색6 2 61" xfId="3557"/>
    <cellStyle name="60% - 강조색6 2 62" xfId="3558"/>
    <cellStyle name="60% - 강조색6 2 63" xfId="3559"/>
    <cellStyle name="60% - 강조색6 2 64" xfId="3560"/>
    <cellStyle name="60% - 강조색6 2 65" xfId="3561"/>
    <cellStyle name="60% - 강조색6 2 66" xfId="3562"/>
    <cellStyle name="60% - 강조색6 2 67" xfId="3563"/>
    <cellStyle name="60% - 강조색6 2 68" xfId="3564"/>
    <cellStyle name="60% - 강조색6 2 69" xfId="3565"/>
    <cellStyle name="60% - 강조색6 2 7" xfId="3566"/>
    <cellStyle name="60% - 강조색6 2 70" xfId="3567"/>
    <cellStyle name="60% - 강조색6 2 71" xfId="3568"/>
    <cellStyle name="60% - 강조색6 2 72" xfId="3569"/>
    <cellStyle name="60% - 강조색6 2 73" xfId="3570"/>
    <cellStyle name="60% - 강조색6 2 74" xfId="3571"/>
    <cellStyle name="60% - 강조색6 2 75" xfId="3572"/>
    <cellStyle name="60% - 강조색6 2 76" xfId="3573"/>
    <cellStyle name="60% - 강조색6 2 77" xfId="3574"/>
    <cellStyle name="60% - 강조색6 2 78" xfId="3575"/>
    <cellStyle name="60% - 강조색6 2 79" xfId="3576"/>
    <cellStyle name="60% - 강조색6 2 8" xfId="3577"/>
    <cellStyle name="60% - 강조색6 2 80" xfId="3578"/>
    <cellStyle name="60% - 강조색6 2 81" xfId="3579"/>
    <cellStyle name="60% - 강조색6 2 82" xfId="3580"/>
    <cellStyle name="60% - 강조색6 2 83" xfId="3581"/>
    <cellStyle name="60% - 강조색6 2 84" xfId="3582"/>
    <cellStyle name="60% - 강조색6 2 85" xfId="3583"/>
    <cellStyle name="60% - 강조색6 2 86" xfId="3584"/>
    <cellStyle name="60% - 강조색6 2 87" xfId="3585"/>
    <cellStyle name="60% - 강조색6 2 88" xfId="3586"/>
    <cellStyle name="60% - 강조색6 2 89" xfId="3587"/>
    <cellStyle name="60% - 강조색6 2 9" xfId="3588"/>
    <cellStyle name="60% - 강조색6 2 90" xfId="3589"/>
    <cellStyle name="60% - 강조색6 2 91" xfId="3590"/>
    <cellStyle name="60% - 강조색6 2 92" xfId="3591"/>
    <cellStyle name="60% - 강조색6 2 93" xfId="3592"/>
    <cellStyle name="60% - 강조색6 2 94" xfId="3593"/>
    <cellStyle name="60% - 강조색6 2 95" xfId="3594"/>
    <cellStyle name="60% - 강조색6 2 96" xfId="3595"/>
    <cellStyle name="60% - 강조색6 2 97" xfId="3596"/>
    <cellStyle name="60% - 강조색6 2 98" xfId="3597"/>
    <cellStyle name="60% - 강조색6 2 99" xfId="3598"/>
    <cellStyle name="60% - 강조색6 20" xfId="3599"/>
    <cellStyle name="60% - 강조색6 21" xfId="3600"/>
    <cellStyle name="60% - 강조색6 22" xfId="3601"/>
    <cellStyle name="60% - 강조색6 23" xfId="3602"/>
    <cellStyle name="60% - 강조색6 24" xfId="3603"/>
    <cellStyle name="60% - 강조색6 25" xfId="3604"/>
    <cellStyle name="60% - 강조색6 26" xfId="3605"/>
    <cellStyle name="60% - 강조색6 27" xfId="3606"/>
    <cellStyle name="60% - 강조색6 28" xfId="3607"/>
    <cellStyle name="60% - 강조색6 29" xfId="3608"/>
    <cellStyle name="60% - 강조색6 3" xfId="145"/>
    <cellStyle name="60% - 강조색6 30" xfId="3609"/>
    <cellStyle name="60% - 강조색6 31" xfId="3610"/>
    <cellStyle name="60% - 강조색6 32" xfId="3611"/>
    <cellStyle name="60% - 강조색6 33" xfId="3612"/>
    <cellStyle name="60% - 강조색6 34" xfId="3613"/>
    <cellStyle name="60% - 강조색6 35" xfId="3614"/>
    <cellStyle name="60% - 강조색6 36" xfId="3615"/>
    <cellStyle name="60% - 강조색6 37" xfId="3616"/>
    <cellStyle name="60% - 강조색6 38" xfId="3617"/>
    <cellStyle name="60% - 강조색6 39" xfId="3618"/>
    <cellStyle name="60% - 강조색6 4" xfId="11747" hidden="1"/>
    <cellStyle name="60% - 강조색6 4" xfId="11793" hidden="1"/>
    <cellStyle name="60% - 강조색6 4" xfId="11839" hidden="1"/>
    <cellStyle name="60% - 강조색6 4" xfId="11885" hidden="1"/>
    <cellStyle name="60% - 강조색6 4" xfId="11931" hidden="1"/>
    <cellStyle name="60% - 강조색6 4" xfId="11977" hidden="1"/>
    <cellStyle name="60% - 강조색6 4" xfId="12023" hidden="1"/>
    <cellStyle name="60% - 강조색6 4" xfId="12069" hidden="1"/>
    <cellStyle name="60% - 강조색6 4" xfId="12115" hidden="1"/>
    <cellStyle name="60% - 강조색6 4" xfId="12161" hidden="1"/>
    <cellStyle name="60% - 강조색6 4" xfId="12207" hidden="1"/>
    <cellStyle name="60% - 강조색6 4" xfId="12253" hidden="1"/>
    <cellStyle name="60% - 강조색6 4" xfId="12343" hidden="1"/>
    <cellStyle name="60% - 강조색6 4" xfId="12384" hidden="1"/>
    <cellStyle name="60% - 강조색6 4" xfId="12426" hidden="1"/>
    <cellStyle name="60% - 강조색6 4" xfId="12468" hidden="1"/>
    <cellStyle name="60% - 강조색6 4" xfId="12510" hidden="1"/>
    <cellStyle name="60% - 강조색6 4" xfId="12552" hidden="1"/>
    <cellStyle name="60% - 강조색6 4" xfId="12594" hidden="1"/>
    <cellStyle name="60% - 강조색6 4" xfId="12636" hidden="1"/>
    <cellStyle name="60% - 강조색6 4" xfId="12678" hidden="1"/>
    <cellStyle name="60% - 강조색6 4" xfId="12720" hidden="1"/>
    <cellStyle name="60% - 강조색6 4" xfId="12762" hidden="1"/>
    <cellStyle name="60% - 강조색6 4" xfId="12804" hidden="1"/>
    <cellStyle name="60% - 강조색6 4" xfId="12298" hidden="1"/>
    <cellStyle name="60% - 강조색6 4" xfId="12986" hidden="1"/>
    <cellStyle name="60% - 강조색6 4" xfId="13026" hidden="1"/>
    <cellStyle name="60% - 강조색6 4" xfId="13066" hidden="1"/>
    <cellStyle name="60% - 강조색6 4" xfId="13106" hidden="1"/>
    <cellStyle name="60% - 강조색6 4" xfId="13146" hidden="1"/>
    <cellStyle name="60% - 강조색6 4" xfId="13186" hidden="1"/>
    <cellStyle name="60% - 강조색6 4" xfId="13226" hidden="1"/>
    <cellStyle name="60% - 강조색6 4" xfId="13266" hidden="1"/>
    <cellStyle name="60% - 강조색6 4" xfId="13306" hidden="1"/>
    <cellStyle name="60% - 강조색6 4" xfId="13346" hidden="1"/>
    <cellStyle name="60% - 강조색6 4" xfId="13386" hidden="1"/>
    <cellStyle name="60% - 강조색6 4" xfId="13426" hidden="1"/>
    <cellStyle name="60% - 강조색6 4" xfId="12849" hidden="1"/>
    <cellStyle name="60% - 강조색6 4" xfId="12807" hidden="1"/>
    <cellStyle name="60% - 강조색6 4" xfId="13468" hidden="1"/>
    <cellStyle name="60% - 강조색6 4" xfId="13510" hidden="1"/>
    <cellStyle name="60% - 강조색6 4" xfId="13552" hidden="1"/>
    <cellStyle name="60% - 강조색6 4" xfId="13594" hidden="1"/>
    <cellStyle name="60% - 강조색6 4" xfId="13636" hidden="1"/>
    <cellStyle name="60% - 강조색6 4" xfId="13678" hidden="1"/>
    <cellStyle name="60% - 강조색6 4" xfId="13720" hidden="1"/>
    <cellStyle name="60% - 강조색6 4" xfId="13762" hidden="1"/>
    <cellStyle name="60% - 강조색6 4" xfId="13804" hidden="1"/>
    <cellStyle name="60% - 강조색6 4" xfId="13846" hidden="1"/>
    <cellStyle name="60% - 강조색6 4" xfId="12902" hidden="1"/>
    <cellStyle name="60% - 강조색6 4" xfId="13874" hidden="1"/>
    <cellStyle name="60% - 강조색6 4" xfId="13914" hidden="1"/>
    <cellStyle name="60% - 강조색6 4" xfId="13954" hidden="1"/>
    <cellStyle name="60% - 강조색6 4" xfId="13994" hidden="1"/>
    <cellStyle name="60% - 강조색6 4" xfId="14034" hidden="1"/>
    <cellStyle name="60% - 강조색6 4" xfId="14074" hidden="1"/>
    <cellStyle name="60% - 강조색6 4" xfId="14114" hidden="1"/>
    <cellStyle name="60% - 강조색6 4" xfId="14154" hidden="1"/>
    <cellStyle name="60% - 강조색6 4" xfId="14194" hidden="1"/>
    <cellStyle name="60% - 강조색6 4" xfId="14234" hidden="1"/>
    <cellStyle name="60% - 강조색6 4" xfId="14274" hidden="1"/>
    <cellStyle name="60% - 강조색6 4" xfId="14314" hidden="1"/>
    <cellStyle name="60% - 강조색6 4" xfId="14420" hidden="1"/>
    <cellStyle name="60% - 강조색6 4" xfId="14460" hidden="1"/>
    <cellStyle name="60% - 강조색6 4" xfId="14500" hidden="1"/>
    <cellStyle name="60% - 강조색6 4" xfId="14540" hidden="1"/>
    <cellStyle name="60% - 강조색6 4" xfId="14580" hidden="1"/>
    <cellStyle name="60% - 강조색6 4" xfId="14620" hidden="1"/>
    <cellStyle name="60% - 강조색6 4" xfId="14660" hidden="1"/>
    <cellStyle name="60% - 강조색6 4" xfId="14700" hidden="1"/>
    <cellStyle name="60% - 강조색6 4" xfId="14740" hidden="1"/>
    <cellStyle name="60% - 강조색6 4" xfId="14780" hidden="1"/>
    <cellStyle name="60% - 강조색6 4" xfId="14820" hidden="1"/>
    <cellStyle name="60% - 강조색6 4" xfId="14860" hidden="1"/>
    <cellStyle name="60% - 강조색6 4" xfId="14944" hidden="1"/>
    <cellStyle name="60% - 강조색6 4" xfId="14985" hidden="1"/>
    <cellStyle name="60% - 강조색6 4" xfId="15027" hidden="1"/>
    <cellStyle name="60% - 강조색6 4" xfId="15069" hidden="1"/>
    <cellStyle name="60% - 강조색6 4" xfId="15111" hidden="1"/>
    <cellStyle name="60% - 강조색6 4" xfId="15153" hidden="1"/>
    <cellStyle name="60% - 강조색6 4" xfId="15195" hidden="1"/>
    <cellStyle name="60% - 강조색6 4" xfId="15237" hidden="1"/>
    <cellStyle name="60% - 강조색6 4" xfId="15279" hidden="1"/>
    <cellStyle name="60% - 강조색6 4" xfId="15321" hidden="1"/>
    <cellStyle name="60% - 강조색6 4" xfId="15363" hidden="1"/>
    <cellStyle name="60% - 강조색6 4" xfId="15405" hidden="1"/>
    <cellStyle name="60% - 강조색6 4" xfId="14901" hidden="1"/>
    <cellStyle name="60% - 강조색6 4" xfId="15584" hidden="1"/>
    <cellStyle name="60% - 강조색6 4" xfId="15624" hidden="1"/>
    <cellStyle name="60% - 강조색6 4" xfId="15664" hidden="1"/>
    <cellStyle name="60% - 강조색6 4" xfId="15704" hidden="1"/>
    <cellStyle name="60% - 강조색6 4" xfId="15744" hidden="1"/>
    <cellStyle name="60% - 강조색6 4" xfId="15784" hidden="1"/>
    <cellStyle name="60% - 강조색6 4" xfId="15824" hidden="1"/>
    <cellStyle name="60% - 강조색6 4" xfId="15864" hidden="1"/>
    <cellStyle name="60% - 강조색6 4" xfId="15904" hidden="1"/>
    <cellStyle name="60% - 강조색6 4" xfId="15944" hidden="1"/>
    <cellStyle name="60% - 강조색6 4" xfId="15984" hidden="1"/>
    <cellStyle name="60% - 강조색6 4" xfId="16024" hidden="1"/>
    <cellStyle name="60% - 강조색6 4" xfId="15449" hidden="1"/>
    <cellStyle name="60% - 강조색6 4" xfId="15407" hidden="1"/>
    <cellStyle name="60% - 강조색6 4" xfId="16066" hidden="1"/>
    <cellStyle name="60% - 강조색6 4" xfId="16108" hidden="1"/>
    <cellStyle name="60% - 강조색6 4" xfId="16150" hidden="1"/>
    <cellStyle name="60% - 강조색6 4" xfId="16192" hidden="1"/>
    <cellStyle name="60% - 강조색6 4" xfId="16234" hidden="1"/>
    <cellStyle name="60% - 강조색6 4" xfId="16276" hidden="1"/>
    <cellStyle name="60% - 강조색6 4" xfId="16318" hidden="1"/>
    <cellStyle name="60% - 강조색6 4" xfId="16360" hidden="1"/>
    <cellStyle name="60% - 강조색6 4" xfId="16402" hidden="1"/>
    <cellStyle name="60% - 강조색6 4" xfId="16444" hidden="1"/>
    <cellStyle name="60% - 강조색6 4" xfId="15501" hidden="1"/>
    <cellStyle name="60% - 강조색6 4" xfId="16472" hidden="1"/>
    <cellStyle name="60% - 강조색6 4" xfId="16512" hidden="1"/>
    <cellStyle name="60% - 강조색6 4" xfId="16552" hidden="1"/>
    <cellStyle name="60% - 강조색6 4" xfId="16592" hidden="1"/>
    <cellStyle name="60% - 강조색6 4" xfId="16632" hidden="1"/>
    <cellStyle name="60% - 강조색6 4" xfId="16672" hidden="1"/>
    <cellStyle name="60% - 강조색6 4" xfId="16712" hidden="1"/>
    <cellStyle name="60% - 강조색6 4" xfId="16752" hidden="1"/>
    <cellStyle name="60% - 강조색6 4" xfId="16792" hidden="1"/>
    <cellStyle name="60% - 강조색6 4" xfId="16832" hidden="1"/>
    <cellStyle name="60% - 강조색6 4" xfId="16872" hidden="1"/>
    <cellStyle name="60% - 강조색6 4" xfId="16912" hidden="1"/>
    <cellStyle name="60% - 강조색6 4" xfId="16923" hidden="1"/>
    <cellStyle name="60% - 강조색6 4" xfId="16963" hidden="1"/>
    <cellStyle name="60% - 강조색6 4" xfId="17004" hidden="1"/>
    <cellStyle name="60% - 강조색6 4" xfId="17044" hidden="1"/>
    <cellStyle name="60% - 강조색6 4" xfId="17084" hidden="1"/>
    <cellStyle name="60% - 강조색6 4" xfId="17124" hidden="1"/>
    <cellStyle name="60% - 강조색6 4" xfId="17164" hidden="1"/>
    <cellStyle name="60% - 강조색6 4" xfId="17204" hidden="1"/>
    <cellStyle name="60% - 강조색6 4" xfId="17244" hidden="1"/>
    <cellStyle name="60% - 강조색6 4" xfId="17284" hidden="1"/>
    <cellStyle name="60% - 강조색6 4" xfId="17324" hidden="1"/>
    <cellStyle name="60% - 강조색6 4" xfId="17364" hidden="1"/>
    <cellStyle name="60% - 강조색6 4" xfId="17448" hidden="1"/>
    <cellStyle name="60% - 강조색6 4" xfId="17489" hidden="1"/>
    <cellStyle name="60% - 강조색6 4" xfId="17531" hidden="1"/>
    <cellStyle name="60% - 강조색6 4" xfId="17573" hidden="1"/>
    <cellStyle name="60% - 강조색6 4" xfId="17615" hidden="1"/>
    <cellStyle name="60% - 강조색6 4" xfId="17657" hidden="1"/>
    <cellStyle name="60% - 강조색6 4" xfId="17699" hidden="1"/>
    <cellStyle name="60% - 강조색6 4" xfId="17741" hidden="1"/>
    <cellStyle name="60% - 강조색6 4" xfId="17783" hidden="1"/>
    <cellStyle name="60% - 강조색6 4" xfId="17825" hidden="1"/>
    <cellStyle name="60% - 강조색6 4" xfId="17867" hidden="1"/>
    <cellStyle name="60% - 강조색6 4" xfId="17909" hidden="1"/>
    <cellStyle name="60% - 강조색6 4" xfId="17405" hidden="1"/>
    <cellStyle name="60% - 강조색6 4" xfId="18088" hidden="1"/>
    <cellStyle name="60% - 강조색6 4" xfId="18128" hidden="1"/>
    <cellStyle name="60% - 강조색6 4" xfId="18168" hidden="1"/>
    <cellStyle name="60% - 강조색6 4" xfId="18208" hidden="1"/>
    <cellStyle name="60% - 강조색6 4" xfId="18248" hidden="1"/>
    <cellStyle name="60% - 강조색6 4" xfId="18288" hidden="1"/>
    <cellStyle name="60% - 강조색6 4" xfId="18328" hidden="1"/>
    <cellStyle name="60% - 강조색6 4" xfId="18368" hidden="1"/>
    <cellStyle name="60% - 강조색6 4" xfId="18408" hidden="1"/>
    <cellStyle name="60% - 강조색6 4" xfId="18448" hidden="1"/>
    <cellStyle name="60% - 강조색6 4" xfId="18488" hidden="1"/>
    <cellStyle name="60% - 강조색6 4" xfId="18528" hidden="1"/>
    <cellStyle name="60% - 강조색6 4" xfId="17953" hidden="1"/>
    <cellStyle name="60% - 강조색6 4" xfId="17911" hidden="1"/>
    <cellStyle name="60% - 강조색6 4" xfId="18570" hidden="1"/>
    <cellStyle name="60% - 강조색6 4" xfId="18612" hidden="1"/>
    <cellStyle name="60% - 강조색6 4" xfId="18654" hidden="1"/>
    <cellStyle name="60% - 강조색6 4" xfId="18696" hidden="1"/>
    <cellStyle name="60% - 강조색6 4" xfId="18738" hidden="1"/>
    <cellStyle name="60% - 강조색6 4" xfId="18780" hidden="1"/>
    <cellStyle name="60% - 강조색6 4" xfId="18822" hidden="1"/>
    <cellStyle name="60% - 강조색6 4" xfId="18864" hidden="1"/>
    <cellStyle name="60% - 강조색6 4" xfId="18906" hidden="1"/>
    <cellStyle name="60% - 강조색6 4" xfId="18948" hidden="1"/>
    <cellStyle name="60% - 강조색6 4" xfId="18005" hidden="1"/>
    <cellStyle name="60% - 강조색6 4" xfId="18976" hidden="1"/>
    <cellStyle name="60% - 강조색6 4" xfId="19016" hidden="1"/>
    <cellStyle name="60% - 강조색6 4" xfId="19056" hidden="1"/>
    <cellStyle name="60% - 강조색6 4" xfId="19096" hidden="1"/>
    <cellStyle name="60% - 강조색6 4" xfId="19136" hidden="1"/>
    <cellStyle name="60% - 강조색6 4" xfId="19176" hidden="1"/>
    <cellStyle name="60% - 강조색6 4" xfId="19216" hidden="1"/>
    <cellStyle name="60% - 강조색6 4" xfId="19256" hidden="1"/>
    <cellStyle name="60% - 강조색6 4" xfId="19296" hidden="1"/>
    <cellStyle name="60% - 강조색6 4" xfId="19336" hidden="1"/>
    <cellStyle name="60% - 강조색6 4" xfId="19376" hidden="1"/>
    <cellStyle name="60% - 강조색6 4" xfId="19416" hidden="1"/>
    <cellStyle name="60% - 강조색6 4" xfId="19426" hidden="1"/>
    <cellStyle name="60% - 강조색6 4" xfId="19466" hidden="1"/>
    <cellStyle name="60% - 강조색6 4" xfId="19506" hidden="1"/>
    <cellStyle name="60% - 강조색6 4" xfId="19546" hidden="1"/>
    <cellStyle name="60% - 강조색6 4" xfId="19586" hidden="1"/>
    <cellStyle name="60% - 강조색6 4" xfId="19626" hidden="1"/>
    <cellStyle name="60% - 강조색6 4" xfId="19666" hidden="1"/>
    <cellStyle name="60% - 강조색6 4" xfId="19706" hidden="1"/>
    <cellStyle name="60% - 강조색6 4" xfId="19746" hidden="1"/>
    <cellStyle name="60% - 강조색6 4" xfId="19786" hidden="1"/>
    <cellStyle name="60% - 강조색6 4" xfId="19826" hidden="1"/>
    <cellStyle name="60% - 강조색6 4" xfId="19866" hidden="1"/>
    <cellStyle name="60% - 강조색6 4" xfId="19950" hidden="1"/>
    <cellStyle name="60% - 강조색6 4" xfId="19991" hidden="1"/>
    <cellStyle name="60% - 강조색6 4" xfId="20033" hidden="1"/>
    <cellStyle name="60% - 강조색6 4" xfId="20075" hidden="1"/>
    <cellStyle name="60% - 강조색6 4" xfId="20117" hidden="1"/>
    <cellStyle name="60% - 강조색6 4" xfId="20159" hidden="1"/>
    <cellStyle name="60% - 강조색6 4" xfId="20201" hidden="1"/>
    <cellStyle name="60% - 강조색6 4" xfId="20243" hidden="1"/>
    <cellStyle name="60% - 강조색6 4" xfId="20285" hidden="1"/>
    <cellStyle name="60% - 강조색6 4" xfId="20327" hidden="1"/>
    <cellStyle name="60% - 강조색6 4" xfId="20369" hidden="1"/>
    <cellStyle name="60% - 강조색6 4" xfId="20411" hidden="1"/>
    <cellStyle name="60% - 강조색6 4" xfId="19907" hidden="1"/>
    <cellStyle name="60% - 강조색6 4" xfId="20590" hidden="1"/>
    <cellStyle name="60% - 강조색6 4" xfId="20630" hidden="1"/>
    <cellStyle name="60% - 강조색6 4" xfId="20670" hidden="1"/>
    <cellStyle name="60% - 강조색6 4" xfId="20710" hidden="1"/>
    <cellStyle name="60% - 강조색6 4" xfId="20750" hidden="1"/>
    <cellStyle name="60% - 강조색6 4" xfId="20790" hidden="1"/>
    <cellStyle name="60% - 강조색6 4" xfId="20830" hidden="1"/>
    <cellStyle name="60% - 강조색6 4" xfId="20870" hidden="1"/>
    <cellStyle name="60% - 강조색6 4" xfId="20910" hidden="1"/>
    <cellStyle name="60% - 강조색6 4" xfId="20950" hidden="1"/>
    <cellStyle name="60% - 강조색6 4" xfId="20990" hidden="1"/>
    <cellStyle name="60% - 강조색6 4" xfId="21030" hidden="1"/>
    <cellStyle name="60% - 강조색6 4" xfId="20455" hidden="1"/>
    <cellStyle name="60% - 강조색6 4" xfId="20413" hidden="1"/>
    <cellStyle name="60% - 강조색6 4" xfId="21072" hidden="1"/>
    <cellStyle name="60% - 강조색6 4" xfId="21114" hidden="1"/>
    <cellStyle name="60% - 강조색6 4" xfId="21156" hidden="1"/>
    <cellStyle name="60% - 강조색6 4" xfId="21198" hidden="1"/>
    <cellStyle name="60% - 강조색6 4" xfId="21240" hidden="1"/>
    <cellStyle name="60% - 강조색6 4" xfId="21282" hidden="1"/>
    <cellStyle name="60% - 강조색6 4" xfId="21324" hidden="1"/>
    <cellStyle name="60% - 강조색6 4" xfId="21366" hidden="1"/>
    <cellStyle name="60% - 강조색6 4" xfId="21408" hidden="1"/>
    <cellStyle name="60% - 강조색6 4" xfId="21450" hidden="1"/>
    <cellStyle name="60% - 강조색6 4" xfId="20507" hidden="1"/>
    <cellStyle name="60% - 강조색6 4" xfId="21478" hidden="1"/>
    <cellStyle name="60% - 강조색6 4" xfId="21518" hidden="1"/>
    <cellStyle name="60% - 강조색6 4" xfId="21558" hidden="1"/>
    <cellStyle name="60% - 강조색6 4" xfId="21598" hidden="1"/>
    <cellStyle name="60% - 강조색6 4" xfId="21638" hidden="1"/>
    <cellStyle name="60% - 강조색6 4" xfId="21678" hidden="1"/>
    <cellStyle name="60% - 강조색6 4" xfId="21718" hidden="1"/>
    <cellStyle name="60% - 강조색6 4" xfId="21758" hidden="1"/>
    <cellStyle name="60% - 강조색6 4" xfId="21798" hidden="1"/>
    <cellStyle name="60% - 강조색6 4" xfId="21838" hidden="1"/>
    <cellStyle name="60% - 강조색6 4" xfId="21878" hidden="1"/>
    <cellStyle name="60% - 강조색6 4" xfId="21918" hidden="1"/>
    <cellStyle name="60% - 강조색6 4" xfId="21986" hidden="1"/>
    <cellStyle name="60% - 강조색6 4" xfId="22026" hidden="1"/>
    <cellStyle name="60% - 강조색6 4" xfId="22066" hidden="1"/>
    <cellStyle name="60% - 강조색6 4" xfId="22106" hidden="1"/>
    <cellStyle name="60% - 강조색6 4" xfId="22146" hidden="1"/>
    <cellStyle name="60% - 강조색6 4" xfId="22186" hidden="1"/>
    <cellStyle name="60% - 강조색6 4" xfId="22226" hidden="1"/>
    <cellStyle name="60% - 강조색6 4" xfId="22266" hidden="1"/>
    <cellStyle name="60% - 강조색6 4" xfId="22306" hidden="1"/>
    <cellStyle name="60% - 강조색6 4" xfId="22346" hidden="1"/>
    <cellStyle name="60% - 강조색6 4" xfId="22386" hidden="1"/>
    <cellStyle name="60% - 강조색6 4" xfId="22426" hidden="1"/>
    <cellStyle name="60% - 강조색6 4" xfId="22510" hidden="1"/>
    <cellStyle name="60% - 강조색6 4" xfId="22551" hidden="1"/>
    <cellStyle name="60% - 강조색6 4" xfId="22593" hidden="1"/>
    <cellStyle name="60% - 강조색6 4" xfId="22635" hidden="1"/>
    <cellStyle name="60% - 강조색6 4" xfId="22677" hidden="1"/>
    <cellStyle name="60% - 강조색6 4" xfId="22719" hidden="1"/>
    <cellStyle name="60% - 강조색6 4" xfId="22761" hidden="1"/>
    <cellStyle name="60% - 강조색6 4" xfId="22803" hidden="1"/>
    <cellStyle name="60% - 강조색6 4" xfId="22845" hidden="1"/>
    <cellStyle name="60% - 강조색6 4" xfId="22887" hidden="1"/>
    <cellStyle name="60% - 강조색6 4" xfId="22929" hidden="1"/>
    <cellStyle name="60% - 강조색6 4" xfId="22971" hidden="1"/>
    <cellStyle name="60% - 강조색6 4" xfId="22467" hidden="1"/>
    <cellStyle name="60% - 강조색6 4" xfId="23150" hidden="1"/>
    <cellStyle name="60% - 강조색6 4" xfId="23190" hidden="1"/>
    <cellStyle name="60% - 강조색6 4" xfId="23230" hidden="1"/>
    <cellStyle name="60% - 강조색6 4" xfId="23270" hidden="1"/>
    <cellStyle name="60% - 강조색6 4" xfId="23310" hidden="1"/>
    <cellStyle name="60% - 강조색6 4" xfId="23350" hidden="1"/>
    <cellStyle name="60% - 강조색6 4" xfId="23390" hidden="1"/>
    <cellStyle name="60% - 강조색6 4" xfId="23430" hidden="1"/>
    <cellStyle name="60% - 강조색6 4" xfId="23470" hidden="1"/>
    <cellStyle name="60% - 강조색6 4" xfId="23510" hidden="1"/>
    <cellStyle name="60% - 강조색6 4" xfId="23550" hidden="1"/>
    <cellStyle name="60% - 강조색6 4" xfId="23590" hidden="1"/>
    <cellStyle name="60% - 강조색6 4" xfId="23015" hidden="1"/>
    <cellStyle name="60% - 강조색6 4" xfId="22973" hidden="1"/>
    <cellStyle name="60% - 강조색6 4" xfId="23632" hidden="1"/>
    <cellStyle name="60% - 강조색6 4" xfId="23674" hidden="1"/>
    <cellStyle name="60% - 강조색6 4" xfId="23716" hidden="1"/>
    <cellStyle name="60% - 강조색6 4" xfId="23758" hidden="1"/>
    <cellStyle name="60% - 강조색6 4" xfId="23800" hidden="1"/>
    <cellStyle name="60% - 강조색6 4" xfId="23842" hidden="1"/>
    <cellStyle name="60% - 강조색6 4" xfId="23884" hidden="1"/>
    <cellStyle name="60% - 강조색6 4" xfId="23926" hidden="1"/>
    <cellStyle name="60% - 강조색6 4" xfId="23968" hidden="1"/>
    <cellStyle name="60% - 강조색6 4" xfId="24010" hidden="1"/>
    <cellStyle name="60% - 강조색6 4" xfId="23067" hidden="1"/>
    <cellStyle name="60% - 강조색6 4" xfId="24038" hidden="1"/>
    <cellStyle name="60% - 강조색6 4" xfId="24078" hidden="1"/>
    <cellStyle name="60% - 강조색6 4" xfId="24118" hidden="1"/>
    <cellStyle name="60% - 강조색6 4" xfId="24158" hidden="1"/>
    <cellStyle name="60% - 강조색6 4" xfId="24198" hidden="1"/>
    <cellStyle name="60% - 강조색6 4" xfId="24238" hidden="1"/>
    <cellStyle name="60% - 강조색6 4" xfId="24278" hidden="1"/>
    <cellStyle name="60% - 강조색6 4" xfId="24318" hidden="1"/>
    <cellStyle name="60% - 강조색6 4" xfId="24358" hidden="1"/>
    <cellStyle name="60% - 강조색6 4" xfId="24398" hidden="1"/>
    <cellStyle name="60% - 강조색6 4" xfId="24438" hidden="1"/>
    <cellStyle name="60% - 강조색6 4" xfId="24478" hidden="1"/>
    <cellStyle name="60% - 강조색6 4" xfId="24576" hidden="1"/>
    <cellStyle name="60% - 강조색6 4" xfId="24616" hidden="1"/>
    <cellStyle name="60% - 강조색6 4" xfId="24658" hidden="1"/>
    <cellStyle name="60% - 강조색6 4" xfId="24699" hidden="1"/>
    <cellStyle name="60% - 강조색6 4" xfId="24739" hidden="1"/>
    <cellStyle name="60% - 강조색6 4" xfId="24779" hidden="1"/>
    <cellStyle name="60% - 강조색6 4" xfId="24819" hidden="1"/>
    <cellStyle name="60% - 강조색6 4" xfId="24859" hidden="1"/>
    <cellStyle name="60% - 강조색6 4" xfId="24899" hidden="1"/>
    <cellStyle name="60% - 강조색6 4" xfId="24939" hidden="1"/>
    <cellStyle name="60% - 강조색6 4" xfId="24979" hidden="1"/>
    <cellStyle name="60% - 강조색6 4" xfId="25019" hidden="1"/>
    <cellStyle name="60% - 강조색6 4" xfId="25103" hidden="1"/>
    <cellStyle name="60% - 강조색6 4" xfId="25144" hidden="1"/>
    <cellStyle name="60% - 강조색6 4" xfId="25186" hidden="1"/>
    <cellStyle name="60% - 강조색6 4" xfId="25228" hidden="1"/>
    <cellStyle name="60% - 강조색6 4" xfId="25270" hidden="1"/>
    <cellStyle name="60% - 강조색6 4" xfId="25312" hidden="1"/>
    <cellStyle name="60% - 강조색6 4" xfId="25354" hidden="1"/>
    <cellStyle name="60% - 강조색6 4" xfId="25396" hidden="1"/>
    <cellStyle name="60% - 강조색6 4" xfId="25438" hidden="1"/>
    <cellStyle name="60% - 강조색6 4" xfId="25480" hidden="1"/>
    <cellStyle name="60% - 강조색6 4" xfId="25522" hidden="1"/>
    <cellStyle name="60% - 강조색6 4" xfId="25564" hidden="1"/>
    <cellStyle name="60% - 강조색6 4" xfId="25060" hidden="1"/>
    <cellStyle name="60% - 강조색6 4" xfId="25743" hidden="1"/>
    <cellStyle name="60% - 강조색6 4" xfId="25783" hidden="1"/>
    <cellStyle name="60% - 강조색6 4" xfId="25823" hidden="1"/>
    <cellStyle name="60% - 강조색6 4" xfId="25863" hidden="1"/>
    <cellStyle name="60% - 강조색6 4" xfId="25903" hidden="1"/>
    <cellStyle name="60% - 강조색6 4" xfId="25943" hidden="1"/>
    <cellStyle name="60% - 강조색6 4" xfId="25983" hidden="1"/>
    <cellStyle name="60% - 강조색6 4" xfId="26023" hidden="1"/>
    <cellStyle name="60% - 강조색6 4" xfId="26063" hidden="1"/>
    <cellStyle name="60% - 강조색6 4" xfId="26103" hidden="1"/>
    <cellStyle name="60% - 강조색6 4" xfId="26143" hidden="1"/>
    <cellStyle name="60% - 강조색6 4" xfId="26183" hidden="1"/>
    <cellStyle name="60% - 강조색6 4" xfId="25608" hidden="1"/>
    <cellStyle name="60% - 강조색6 4" xfId="25566" hidden="1"/>
    <cellStyle name="60% - 강조색6 4" xfId="26225" hidden="1"/>
    <cellStyle name="60% - 강조색6 4" xfId="26267" hidden="1"/>
    <cellStyle name="60% - 강조색6 4" xfId="26309" hidden="1"/>
    <cellStyle name="60% - 강조색6 4" xfId="26351" hidden="1"/>
    <cellStyle name="60% - 강조색6 4" xfId="26393" hidden="1"/>
    <cellStyle name="60% - 강조색6 4" xfId="26435" hidden="1"/>
    <cellStyle name="60% - 강조색6 4" xfId="26477" hidden="1"/>
    <cellStyle name="60% - 강조색6 4" xfId="26519" hidden="1"/>
    <cellStyle name="60% - 강조색6 4" xfId="26561" hidden="1"/>
    <cellStyle name="60% - 강조색6 4" xfId="26603" hidden="1"/>
    <cellStyle name="60% - 강조색6 4" xfId="25660" hidden="1"/>
    <cellStyle name="60% - 강조색6 4" xfId="26631" hidden="1"/>
    <cellStyle name="60% - 강조색6 4" xfId="26671" hidden="1"/>
    <cellStyle name="60% - 강조색6 4" xfId="26711" hidden="1"/>
    <cellStyle name="60% - 강조색6 4" xfId="26751" hidden="1"/>
    <cellStyle name="60% - 강조색6 4" xfId="26791" hidden="1"/>
    <cellStyle name="60% - 강조색6 4" xfId="26831" hidden="1"/>
    <cellStyle name="60% - 강조색6 4" xfId="26871" hidden="1"/>
    <cellStyle name="60% - 강조색6 4" xfId="26911" hidden="1"/>
    <cellStyle name="60% - 강조색6 4" xfId="26951" hidden="1"/>
    <cellStyle name="60% - 강조색6 4" xfId="26991" hidden="1"/>
    <cellStyle name="60% - 강조색6 4" xfId="27031" hidden="1"/>
    <cellStyle name="60% - 강조색6 4" xfId="27071" hidden="1"/>
    <cellStyle name="60% - 강조색6 4" xfId="27082" hidden="1"/>
    <cellStyle name="60% - 강조색6 4" xfId="27122" hidden="1"/>
    <cellStyle name="60% - 강조색6 4" xfId="27162" hidden="1"/>
    <cellStyle name="60% - 강조색6 4" xfId="27202" hidden="1"/>
    <cellStyle name="60% - 강조색6 4" xfId="27242" hidden="1"/>
    <cellStyle name="60% - 강조색6 4" xfId="27282" hidden="1"/>
    <cellStyle name="60% - 강조색6 4" xfId="27322" hidden="1"/>
    <cellStyle name="60% - 강조색6 4" xfId="27362" hidden="1"/>
    <cellStyle name="60% - 강조색6 4" xfId="27402" hidden="1"/>
    <cellStyle name="60% - 강조색6 4" xfId="27442" hidden="1"/>
    <cellStyle name="60% - 강조색6 4" xfId="27482" hidden="1"/>
    <cellStyle name="60% - 강조색6 4" xfId="27522" hidden="1"/>
    <cellStyle name="60% - 강조색6 4" xfId="27606" hidden="1"/>
    <cellStyle name="60% - 강조색6 4" xfId="27647" hidden="1"/>
    <cellStyle name="60% - 강조색6 4" xfId="27689" hidden="1"/>
    <cellStyle name="60% - 강조색6 4" xfId="27731" hidden="1"/>
    <cellStyle name="60% - 강조색6 4" xfId="27773" hidden="1"/>
    <cellStyle name="60% - 강조색6 4" xfId="27815" hidden="1"/>
    <cellStyle name="60% - 강조색6 4" xfId="27857" hidden="1"/>
    <cellStyle name="60% - 강조색6 4" xfId="27899" hidden="1"/>
    <cellStyle name="60% - 강조색6 4" xfId="27941" hidden="1"/>
    <cellStyle name="60% - 강조색6 4" xfId="27983" hidden="1"/>
    <cellStyle name="60% - 강조색6 4" xfId="28025" hidden="1"/>
    <cellStyle name="60% - 강조색6 4" xfId="28067" hidden="1"/>
    <cellStyle name="60% - 강조색6 4" xfId="27563" hidden="1"/>
    <cellStyle name="60% - 강조색6 4" xfId="28246" hidden="1"/>
    <cellStyle name="60% - 강조색6 4" xfId="28286" hidden="1"/>
    <cellStyle name="60% - 강조색6 4" xfId="28326" hidden="1"/>
    <cellStyle name="60% - 강조색6 4" xfId="28366" hidden="1"/>
    <cellStyle name="60% - 강조색6 4" xfId="28406" hidden="1"/>
    <cellStyle name="60% - 강조색6 4" xfId="28446" hidden="1"/>
    <cellStyle name="60% - 강조색6 4" xfId="28486" hidden="1"/>
    <cellStyle name="60% - 강조색6 4" xfId="28526" hidden="1"/>
    <cellStyle name="60% - 강조색6 4" xfId="28566" hidden="1"/>
    <cellStyle name="60% - 강조색6 4" xfId="28606" hidden="1"/>
    <cellStyle name="60% - 강조색6 4" xfId="28646" hidden="1"/>
    <cellStyle name="60% - 강조색6 4" xfId="28686" hidden="1"/>
    <cellStyle name="60% - 강조색6 4" xfId="28111" hidden="1"/>
    <cellStyle name="60% - 강조색6 4" xfId="28069" hidden="1"/>
    <cellStyle name="60% - 강조색6 4" xfId="28728" hidden="1"/>
    <cellStyle name="60% - 강조색6 4" xfId="28770" hidden="1"/>
    <cellStyle name="60% - 강조색6 4" xfId="28812" hidden="1"/>
    <cellStyle name="60% - 강조색6 4" xfId="28854" hidden="1"/>
    <cellStyle name="60% - 강조색6 4" xfId="28896" hidden="1"/>
    <cellStyle name="60% - 강조색6 4" xfId="28938" hidden="1"/>
    <cellStyle name="60% - 강조색6 4" xfId="28980" hidden="1"/>
    <cellStyle name="60% - 강조색6 4" xfId="29022" hidden="1"/>
    <cellStyle name="60% - 강조색6 4" xfId="29064" hidden="1"/>
    <cellStyle name="60% - 강조색6 4" xfId="29106" hidden="1"/>
    <cellStyle name="60% - 강조색6 4" xfId="28163" hidden="1"/>
    <cellStyle name="60% - 강조색6 4" xfId="29134" hidden="1"/>
    <cellStyle name="60% - 강조색6 4" xfId="29174" hidden="1"/>
    <cellStyle name="60% - 강조색6 4" xfId="29214" hidden="1"/>
    <cellStyle name="60% - 강조색6 4" xfId="29254" hidden="1"/>
    <cellStyle name="60% - 강조색6 4" xfId="29294" hidden="1"/>
    <cellStyle name="60% - 강조색6 4" xfId="29334" hidden="1"/>
    <cellStyle name="60% - 강조색6 4" xfId="29374" hidden="1"/>
    <cellStyle name="60% - 강조색6 4" xfId="29414" hidden="1"/>
    <cellStyle name="60% - 강조색6 4" xfId="29454" hidden="1"/>
    <cellStyle name="60% - 강조색6 4" xfId="29494" hidden="1"/>
    <cellStyle name="60% - 강조색6 4" xfId="29534" hidden="1"/>
    <cellStyle name="60% - 강조색6 4" xfId="29574" hidden="1"/>
    <cellStyle name="60% - 강조색6 4" xfId="29584" hidden="1"/>
    <cellStyle name="60% - 강조색6 4" xfId="29624" hidden="1"/>
    <cellStyle name="60% - 강조색6 4" xfId="29664" hidden="1"/>
    <cellStyle name="60% - 강조색6 4" xfId="29704" hidden="1"/>
    <cellStyle name="60% - 강조색6 4" xfId="29744" hidden="1"/>
    <cellStyle name="60% - 강조색6 4" xfId="29784" hidden="1"/>
    <cellStyle name="60% - 강조색6 4" xfId="29824" hidden="1"/>
    <cellStyle name="60% - 강조색6 4" xfId="29864" hidden="1"/>
    <cellStyle name="60% - 강조색6 4" xfId="29904" hidden="1"/>
    <cellStyle name="60% - 강조색6 4" xfId="29944" hidden="1"/>
    <cellStyle name="60% - 강조색6 4" xfId="29984" hidden="1"/>
    <cellStyle name="60% - 강조색6 4" xfId="30024" hidden="1"/>
    <cellStyle name="60% - 강조색6 4" xfId="30108" hidden="1"/>
    <cellStyle name="60% - 강조색6 4" xfId="30149" hidden="1"/>
    <cellStyle name="60% - 강조색6 4" xfId="30191" hidden="1"/>
    <cellStyle name="60% - 강조색6 4" xfId="30233" hidden="1"/>
    <cellStyle name="60% - 강조색6 4" xfId="30275" hidden="1"/>
    <cellStyle name="60% - 강조색6 4" xfId="30317" hidden="1"/>
    <cellStyle name="60% - 강조색6 4" xfId="30359" hidden="1"/>
    <cellStyle name="60% - 강조색6 4" xfId="30401" hidden="1"/>
    <cellStyle name="60% - 강조색6 4" xfId="30443" hidden="1"/>
    <cellStyle name="60% - 강조색6 4" xfId="30485" hidden="1"/>
    <cellStyle name="60% - 강조색6 4" xfId="30527" hidden="1"/>
    <cellStyle name="60% - 강조색6 4" xfId="30569" hidden="1"/>
    <cellStyle name="60% - 강조색6 4" xfId="30065" hidden="1"/>
    <cellStyle name="60% - 강조색6 4" xfId="30748" hidden="1"/>
    <cellStyle name="60% - 강조색6 4" xfId="30788" hidden="1"/>
    <cellStyle name="60% - 강조색6 4" xfId="30828" hidden="1"/>
    <cellStyle name="60% - 강조색6 4" xfId="30868" hidden="1"/>
    <cellStyle name="60% - 강조색6 4" xfId="30908" hidden="1"/>
    <cellStyle name="60% - 강조색6 4" xfId="30948" hidden="1"/>
    <cellStyle name="60% - 강조색6 4" xfId="30988" hidden="1"/>
    <cellStyle name="60% - 강조색6 4" xfId="31028" hidden="1"/>
    <cellStyle name="60% - 강조색6 4" xfId="31068" hidden="1"/>
    <cellStyle name="60% - 강조색6 4" xfId="31108" hidden="1"/>
    <cellStyle name="60% - 강조색6 4" xfId="31148" hidden="1"/>
    <cellStyle name="60% - 강조색6 4" xfId="31188" hidden="1"/>
    <cellStyle name="60% - 강조색6 4" xfId="30613" hidden="1"/>
    <cellStyle name="60% - 강조색6 4" xfId="30571" hidden="1"/>
    <cellStyle name="60% - 강조색6 4" xfId="31230" hidden="1"/>
    <cellStyle name="60% - 강조색6 4" xfId="31272" hidden="1"/>
    <cellStyle name="60% - 강조색6 4" xfId="31314" hidden="1"/>
    <cellStyle name="60% - 강조색6 4" xfId="31356" hidden="1"/>
    <cellStyle name="60% - 강조색6 4" xfId="31398" hidden="1"/>
    <cellStyle name="60% - 강조색6 4" xfId="31440" hidden="1"/>
    <cellStyle name="60% - 강조색6 4" xfId="31482" hidden="1"/>
    <cellStyle name="60% - 강조색6 4" xfId="31524" hidden="1"/>
    <cellStyle name="60% - 강조색6 4" xfId="31566" hidden="1"/>
    <cellStyle name="60% - 강조색6 4" xfId="31608" hidden="1"/>
    <cellStyle name="60% - 강조색6 4" xfId="30665" hidden="1"/>
    <cellStyle name="60% - 강조색6 4" xfId="31636" hidden="1"/>
    <cellStyle name="60% - 강조색6 4" xfId="31676" hidden="1"/>
    <cellStyle name="60% - 강조색6 4" xfId="31716" hidden="1"/>
    <cellStyle name="60% - 강조색6 4" xfId="31756" hidden="1"/>
    <cellStyle name="60% - 강조색6 4" xfId="31796" hidden="1"/>
    <cellStyle name="60% - 강조색6 4" xfId="31836" hidden="1"/>
    <cellStyle name="60% - 강조색6 4" xfId="31876" hidden="1"/>
    <cellStyle name="60% - 강조색6 4" xfId="31916" hidden="1"/>
    <cellStyle name="60% - 강조색6 4" xfId="31956" hidden="1"/>
    <cellStyle name="60% - 강조색6 4" xfId="31996" hidden="1"/>
    <cellStyle name="60% - 강조색6 4" xfId="32036" hidden="1"/>
    <cellStyle name="60% - 강조색6 4" xfId="32076" hidden="1"/>
    <cellStyle name="60% - 강조색6 4" xfId="32138" hidden="1"/>
    <cellStyle name="60% - 강조색6 4" xfId="32178" hidden="1"/>
    <cellStyle name="60% - 강조색6 4" xfId="32218" hidden="1"/>
    <cellStyle name="60% - 강조색6 4" xfId="32258" hidden="1"/>
    <cellStyle name="60% - 강조색6 4" xfId="32298" hidden="1"/>
    <cellStyle name="60% - 강조색6 4" xfId="32338" hidden="1"/>
    <cellStyle name="60% - 강조색6 4" xfId="32378" hidden="1"/>
    <cellStyle name="60% - 강조색6 4" xfId="32418" hidden="1"/>
    <cellStyle name="60% - 강조색6 4" xfId="32458" hidden="1"/>
    <cellStyle name="60% - 강조색6 4" xfId="32498" hidden="1"/>
    <cellStyle name="60% - 강조색6 4" xfId="32538" hidden="1"/>
    <cellStyle name="60% - 강조색6 4" xfId="32578" hidden="1"/>
    <cellStyle name="60% - 강조색6 4" xfId="32663" hidden="1"/>
    <cellStyle name="60% - 강조색6 4" xfId="32704" hidden="1"/>
    <cellStyle name="60% - 강조색6 4" xfId="32746" hidden="1"/>
    <cellStyle name="60% - 강조색6 4" xfId="32788" hidden="1"/>
    <cellStyle name="60% - 강조색6 4" xfId="32830" hidden="1"/>
    <cellStyle name="60% - 강조색6 4" xfId="32872" hidden="1"/>
    <cellStyle name="60% - 강조색6 4" xfId="32914" hidden="1"/>
    <cellStyle name="60% - 강조색6 4" xfId="32956" hidden="1"/>
    <cellStyle name="60% - 강조색6 4" xfId="32998" hidden="1"/>
    <cellStyle name="60% - 강조색6 4" xfId="33040" hidden="1"/>
    <cellStyle name="60% - 강조색6 4" xfId="33082" hidden="1"/>
    <cellStyle name="60% - 강조색6 4" xfId="33124" hidden="1"/>
    <cellStyle name="60% - 강조색6 4" xfId="32620" hidden="1"/>
    <cellStyle name="60% - 강조색6 4" xfId="33303" hidden="1"/>
    <cellStyle name="60% - 강조색6 4" xfId="33343" hidden="1"/>
    <cellStyle name="60% - 강조색6 4" xfId="33383" hidden="1"/>
    <cellStyle name="60% - 강조색6 4" xfId="33423" hidden="1"/>
    <cellStyle name="60% - 강조색6 4" xfId="33463" hidden="1"/>
    <cellStyle name="60% - 강조색6 4" xfId="33503" hidden="1"/>
    <cellStyle name="60% - 강조색6 4" xfId="33543" hidden="1"/>
    <cellStyle name="60% - 강조색6 4" xfId="33583" hidden="1"/>
    <cellStyle name="60% - 강조색6 4" xfId="33623" hidden="1"/>
    <cellStyle name="60% - 강조색6 4" xfId="33663" hidden="1"/>
    <cellStyle name="60% - 강조색6 4" xfId="33703" hidden="1"/>
    <cellStyle name="60% - 강조색6 4" xfId="33743" hidden="1"/>
    <cellStyle name="60% - 강조색6 4" xfId="33168" hidden="1"/>
    <cellStyle name="60% - 강조색6 4" xfId="33126" hidden="1"/>
    <cellStyle name="60% - 강조색6 4" xfId="33785" hidden="1"/>
    <cellStyle name="60% - 강조색6 4" xfId="33827" hidden="1"/>
    <cellStyle name="60% - 강조색6 4" xfId="33869" hidden="1"/>
    <cellStyle name="60% - 강조색6 4" xfId="33911" hidden="1"/>
    <cellStyle name="60% - 강조색6 4" xfId="33953" hidden="1"/>
    <cellStyle name="60% - 강조색6 4" xfId="33995" hidden="1"/>
    <cellStyle name="60% - 강조색6 4" xfId="34037" hidden="1"/>
    <cellStyle name="60% - 강조색6 4" xfId="34079" hidden="1"/>
    <cellStyle name="60% - 강조색6 4" xfId="34121" hidden="1"/>
    <cellStyle name="60% - 강조색6 4" xfId="34163" hidden="1"/>
    <cellStyle name="60% - 강조색6 4" xfId="33220" hidden="1"/>
    <cellStyle name="60% - 강조색6 4" xfId="34191" hidden="1"/>
    <cellStyle name="60% - 강조색6 4" xfId="34231" hidden="1"/>
    <cellStyle name="60% - 강조색6 4" xfId="34271" hidden="1"/>
    <cellStyle name="60% - 강조색6 4" xfId="34311" hidden="1"/>
    <cellStyle name="60% - 강조색6 4" xfId="34351" hidden="1"/>
    <cellStyle name="60% - 강조색6 4" xfId="34391" hidden="1"/>
    <cellStyle name="60% - 강조색6 4" xfId="34431" hidden="1"/>
    <cellStyle name="60% - 강조색6 4" xfId="34471" hidden="1"/>
    <cellStyle name="60% - 강조색6 4" xfId="34511" hidden="1"/>
    <cellStyle name="60% - 강조색6 4" xfId="34551" hidden="1"/>
    <cellStyle name="60% - 강조색6 4" xfId="34591" hidden="1"/>
    <cellStyle name="60% - 강조색6 4" xfId="34631" hidden="1"/>
    <cellStyle name="60% - 강조색6 4" xfId="34728" hidden="1"/>
    <cellStyle name="60% - 강조색6 4" xfId="34768" hidden="1"/>
    <cellStyle name="60% - 강조색6 4" xfId="34808" hidden="1"/>
    <cellStyle name="60% - 강조색6 4" xfId="34848" hidden="1"/>
    <cellStyle name="60% - 강조색6 4" xfId="34888" hidden="1"/>
    <cellStyle name="60% - 강조색6 4" xfId="34928" hidden="1"/>
    <cellStyle name="60% - 강조색6 4" xfId="34968" hidden="1"/>
    <cellStyle name="60% - 강조색6 4" xfId="35008" hidden="1"/>
    <cellStyle name="60% - 강조색6 4" xfId="35048" hidden="1"/>
    <cellStyle name="60% - 강조색6 4" xfId="35088" hidden="1"/>
    <cellStyle name="60% - 강조색6 4" xfId="35128" hidden="1"/>
    <cellStyle name="60% - 강조색6 4" xfId="35168" hidden="1"/>
    <cellStyle name="60% - 강조색6 4" xfId="35252" hidden="1"/>
    <cellStyle name="60% - 강조색6 4" xfId="35293" hidden="1"/>
    <cellStyle name="60% - 강조색6 4" xfId="35335" hidden="1"/>
    <cellStyle name="60% - 강조색6 4" xfId="35377" hidden="1"/>
    <cellStyle name="60% - 강조색6 4" xfId="35419" hidden="1"/>
    <cellStyle name="60% - 강조색6 4" xfId="35461" hidden="1"/>
    <cellStyle name="60% - 강조색6 4" xfId="35503" hidden="1"/>
    <cellStyle name="60% - 강조색6 4" xfId="35545" hidden="1"/>
    <cellStyle name="60% - 강조색6 4" xfId="35587" hidden="1"/>
    <cellStyle name="60% - 강조색6 4" xfId="35629" hidden="1"/>
    <cellStyle name="60% - 강조색6 4" xfId="35671" hidden="1"/>
    <cellStyle name="60% - 강조색6 4" xfId="35713" hidden="1"/>
    <cellStyle name="60% - 강조색6 4" xfId="35209" hidden="1"/>
    <cellStyle name="60% - 강조색6 4" xfId="35892" hidden="1"/>
    <cellStyle name="60% - 강조색6 4" xfId="35932" hidden="1"/>
    <cellStyle name="60% - 강조색6 4" xfId="35972" hidden="1"/>
    <cellStyle name="60% - 강조색6 4" xfId="36012" hidden="1"/>
    <cellStyle name="60% - 강조색6 4" xfId="36052" hidden="1"/>
    <cellStyle name="60% - 강조색6 4" xfId="36092" hidden="1"/>
    <cellStyle name="60% - 강조색6 4" xfId="36132" hidden="1"/>
    <cellStyle name="60% - 강조색6 4" xfId="36172" hidden="1"/>
    <cellStyle name="60% - 강조색6 4" xfId="36212" hidden="1"/>
    <cellStyle name="60% - 강조색6 4" xfId="36252" hidden="1"/>
    <cellStyle name="60% - 강조색6 4" xfId="36292" hidden="1"/>
    <cellStyle name="60% - 강조색6 4" xfId="36332" hidden="1"/>
    <cellStyle name="60% - 강조색6 4" xfId="35757" hidden="1"/>
    <cellStyle name="60% - 강조색6 4" xfId="35715" hidden="1"/>
    <cellStyle name="60% - 강조색6 4" xfId="36374" hidden="1"/>
    <cellStyle name="60% - 강조색6 4" xfId="36416" hidden="1"/>
    <cellStyle name="60% - 강조색6 4" xfId="36458" hidden="1"/>
    <cellStyle name="60% - 강조색6 4" xfId="36500" hidden="1"/>
    <cellStyle name="60% - 강조색6 4" xfId="36542" hidden="1"/>
    <cellStyle name="60% - 강조색6 4" xfId="36584" hidden="1"/>
    <cellStyle name="60% - 강조색6 4" xfId="36626" hidden="1"/>
    <cellStyle name="60% - 강조색6 4" xfId="36668" hidden="1"/>
    <cellStyle name="60% - 강조색6 4" xfId="36710" hidden="1"/>
    <cellStyle name="60% - 강조색6 4" xfId="36752" hidden="1"/>
    <cellStyle name="60% - 강조색6 4" xfId="35809" hidden="1"/>
    <cellStyle name="60% - 강조색6 4" xfId="36780" hidden="1"/>
    <cellStyle name="60% - 강조색6 4" xfId="36820" hidden="1"/>
    <cellStyle name="60% - 강조색6 4" xfId="36860" hidden="1"/>
    <cellStyle name="60% - 강조색6 4" xfId="36900" hidden="1"/>
    <cellStyle name="60% - 강조색6 4" xfId="36940" hidden="1"/>
    <cellStyle name="60% - 강조색6 4" xfId="36980" hidden="1"/>
    <cellStyle name="60% - 강조색6 4" xfId="37020" hidden="1"/>
    <cellStyle name="60% - 강조색6 4" xfId="37060" hidden="1"/>
    <cellStyle name="60% - 강조색6 4" xfId="37100" hidden="1"/>
    <cellStyle name="60% - 강조색6 4" xfId="37140" hidden="1"/>
    <cellStyle name="60% - 강조색6 4" xfId="37180" hidden="1"/>
    <cellStyle name="60% - 강조색6 4" xfId="37220" hidden="1"/>
    <cellStyle name="60% - 강조색6 4" xfId="37231" hidden="1"/>
    <cellStyle name="60% - 강조색6 4" xfId="37271" hidden="1"/>
    <cellStyle name="60% - 강조색6 4" xfId="37312" hidden="1"/>
    <cellStyle name="60% - 강조색6 4" xfId="37352" hidden="1"/>
    <cellStyle name="60% - 강조색6 4" xfId="37392" hidden="1"/>
    <cellStyle name="60% - 강조색6 4" xfId="37432" hidden="1"/>
    <cellStyle name="60% - 강조색6 4" xfId="37472" hidden="1"/>
    <cellStyle name="60% - 강조색6 4" xfId="37512" hidden="1"/>
    <cellStyle name="60% - 강조색6 4" xfId="37552" hidden="1"/>
    <cellStyle name="60% - 강조색6 4" xfId="37592" hidden="1"/>
    <cellStyle name="60% - 강조색6 4" xfId="37632" hidden="1"/>
    <cellStyle name="60% - 강조색6 4" xfId="37672" hidden="1"/>
    <cellStyle name="60% - 강조색6 4" xfId="37756" hidden="1"/>
    <cellStyle name="60% - 강조색6 4" xfId="37797" hidden="1"/>
    <cellStyle name="60% - 강조색6 4" xfId="37839" hidden="1"/>
    <cellStyle name="60% - 강조색6 4" xfId="37881" hidden="1"/>
    <cellStyle name="60% - 강조색6 4" xfId="37923" hidden="1"/>
    <cellStyle name="60% - 강조색6 4" xfId="37965" hidden="1"/>
    <cellStyle name="60% - 강조색6 4" xfId="38007" hidden="1"/>
    <cellStyle name="60% - 강조색6 4" xfId="38049" hidden="1"/>
    <cellStyle name="60% - 강조색6 4" xfId="38091" hidden="1"/>
    <cellStyle name="60% - 강조색6 4" xfId="38133" hidden="1"/>
    <cellStyle name="60% - 강조색6 4" xfId="38175" hidden="1"/>
    <cellStyle name="60% - 강조색6 4" xfId="38217" hidden="1"/>
    <cellStyle name="60% - 강조색6 4" xfId="37713" hidden="1"/>
    <cellStyle name="60% - 강조색6 4" xfId="38396" hidden="1"/>
    <cellStyle name="60% - 강조색6 4" xfId="38436" hidden="1"/>
    <cellStyle name="60% - 강조색6 4" xfId="38476" hidden="1"/>
    <cellStyle name="60% - 강조색6 4" xfId="38516" hidden="1"/>
    <cellStyle name="60% - 강조색6 4" xfId="38556" hidden="1"/>
    <cellStyle name="60% - 강조색6 4" xfId="38596" hidden="1"/>
    <cellStyle name="60% - 강조색6 4" xfId="38636" hidden="1"/>
    <cellStyle name="60% - 강조색6 4" xfId="38676" hidden="1"/>
    <cellStyle name="60% - 강조색6 4" xfId="38716" hidden="1"/>
    <cellStyle name="60% - 강조색6 4" xfId="38756" hidden="1"/>
    <cellStyle name="60% - 강조색6 4" xfId="38796" hidden="1"/>
    <cellStyle name="60% - 강조색6 4" xfId="38836" hidden="1"/>
    <cellStyle name="60% - 강조색6 4" xfId="38261" hidden="1"/>
    <cellStyle name="60% - 강조색6 4" xfId="38219" hidden="1"/>
    <cellStyle name="60% - 강조색6 4" xfId="38878" hidden="1"/>
    <cellStyle name="60% - 강조색6 4" xfId="38920" hidden="1"/>
    <cellStyle name="60% - 강조색6 4" xfId="38962" hidden="1"/>
    <cellStyle name="60% - 강조색6 4" xfId="39004" hidden="1"/>
    <cellStyle name="60% - 강조색6 4" xfId="39046" hidden="1"/>
    <cellStyle name="60% - 강조색6 4" xfId="39088" hidden="1"/>
    <cellStyle name="60% - 강조색6 4" xfId="39130" hidden="1"/>
    <cellStyle name="60% - 강조색6 4" xfId="39172" hidden="1"/>
    <cellStyle name="60% - 강조색6 4" xfId="39214" hidden="1"/>
    <cellStyle name="60% - 강조색6 4" xfId="39256" hidden="1"/>
    <cellStyle name="60% - 강조색6 4" xfId="38313" hidden="1"/>
    <cellStyle name="60% - 강조색6 4" xfId="39284" hidden="1"/>
    <cellStyle name="60% - 강조색6 4" xfId="39324" hidden="1"/>
    <cellStyle name="60% - 강조색6 4" xfId="39364" hidden="1"/>
    <cellStyle name="60% - 강조색6 4" xfId="39404" hidden="1"/>
    <cellStyle name="60% - 강조색6 4" xfId="39444" hidden="1"/>
    <cellStyle name="60% - 강조색6 4" xfId="39484" hidden="1"/>
    <cellStyle name="60% - 강조색6 4" xfId="39524" hidden="1"/>
    <cellStyle name="60% - 강조색6 4" xfId="39564" hidden="1"/>
    <cellStyle name="60% - 강조색6 4" xfId="39604" hidden="1"/>
    <cellStyle name="60% - 강조색6 4" xfId="39644" hidden="1"/>
    <cellStyle name="60% - 강조색6 4" xfId="39684" hidden="1"/>
    <cellStyle name="60% - 강조색6 4" xfId="39724" hidden="1"/>
    <cellStyle name="60% - 강조색6 4" xfId="39734" hidden="1"/>
    <cellStyle name="60% - 강조색6 4" xfId="39774" hidden="1"/>
    <cellStyle name="60% - 강조색6 4" xfId="39814" hidden="1"/>
    <cellStyle name="60% - 강조색6 4" xfId="39854" hidden="1"/>
    <cellStyle name="60% - 강조색6 4" xfId="39894" hidden="1"/>
    <cellStyle name="60% - 강조색6 4" xfId="39934" hidden="1"/>
    <cellStyle name="60% - 강조색6 4" xfId="39974" hidden="1"/>
    <cellStyle name="60% - 강조색6 4" xfId="40014" hidden="1"/>
    <cellStyle name="60% - 강조색6 4" xfId="40054" hidden="1"/>
    <cellStyle name="60% - 강조색6 4" xfId="40094" hidden="1"/>
    <cellStyle name="60% - 강조색6 4" xfId="40134" hidden="1"/>
    <cellStyle name="60% - 강조색6 4" xfId="40174" hidden="1"/>
    <cellStyle name="60% - 강조색6 4" xfId="40258" hidden="1"/>
    <cellStyle name="60% - 강조색6 4" xfId="40299" hidden="1"/>
    <cellStyle name="60% - 강조색6 4" xfId="40341" hidden="1"/>
    <cellStyle name="60% - 강조색6 4" xfId="40383" hidden="1"/>
    <cellStyle name="60% - 강조색6 4" xfId="40425" hidden="1"/>
    <cellStyle name="60% - 강조색6 4" xfId="40467" hidden="1"/>
    <cellStyle name="60% - 강조색6 4" xfId="40509" hidden="1"/>
    <cellStyle name="60% - 강조색6 4" xfId="40551" hidden="1"/>
    <cellStyle name="60% - 강조색6 4" xfId="40593" hidden="1"/>
    <cellStyle name="60% - 강조색6 4" xfId="40635" hidden="1"/>
    <cellStyle name="60% - 강조색6 4" xfId="40677" hidden="1"/>
    <cellStyle name="60% - 강조색6 4" xfId="40719" hidden="1"/>
    <cellStyle name="60% - 강조색6 4" xfId="40215" hidden="1"/>
    <cellStyle name="60% - 강조색6 4" xfId="40898" hidden="1"/>
    <cellStyle name="60% - 강조색6 4" xfId="40938" hidden="1"/>
    <cellStyle name="60% - 강조색6 4" xfId="40978" hidden="1"/>
    <cellStyle name="60% - 강조색6 4" xfId="41018" hidden="1"/>
    <cellStyle name="60% - 강조색6 4" xfId="41058" hidden="1"/>
    <cellStyle name="60% - 강조색6 4" xfId="41098" hidden="1"/>
    <cellStyle name="60% - 강조색6 4" xfId="41138" hidden="1"/>
    <cellStyle name="60% - 강조색6 4" xfId="41178" hidden="1"/>
    <cellStyle name="60% - 강조색6 4" xfId="41218" hidden="1"/>
    <cellStyle name="60% - 강조색6 4" xfId="41258" hidden="1"/>
    <cellStyle name="60% - 강조색6 4" xfId="41298" hidden="1"/>
    <cellStyle name="60% - 강조색6 4" xfId="41338" hidden="1"/>
    <cellStyle name="60% - 강조색6 4" xfId="40763" hidden="1"/>
    <cellStyle name="60% - 강조색6 4" xfId="40721" hidden="1"/>
    <cellStyle name="60% - 강조색6 4" xfId="41380" hidden="1"/>
    <cellStyle name="60% - 강조색6 4" xfId="41422" hidden="1"/>
    <cellStyle name="60% - 강조색6 4" xfId="41464" hidden="1"/>
    <cellStyle name="60% - 강조색6 4" xfId="41506" hidden="1"/>
    <cellStyle name="60% - 강조색6 4" xfId="41548" hidden="1"/>
    <cellStyle name="60% - 강조색6 4" xfId="41590" hidden="1"/>
    <cellStyle name="60% - 강조색6 4" xfId="41632" hidden="1"/>
    <cellStyle name="60% - 강조색6 4" xfId="41674" hidden="1"/>
    <cellStyle name="60% - 강조색6 4" xfId="41716" hidden="1"/>
    <cellStyle name="60% - 강조색6 4" xfId="41758" hidden="1"/>
    <cellStyle name="60% - 강조색6 4" xfId="40815" hidden="1"/>
    <cellStyle name="60% - 강조색6 4" xfId="41786" hidden="1"/>
    <cellStyle name="60% - 강조색6 4" xfId="41826" hidden="1"/>
    <cellStyle name="60% - 강조색6 4" xfId="41866" hidden="1"/>
    <cellStyle name="60% - 강조색6 4" xfId="41906" hidden="1"/>
    <cellStyle name="60% - 강조색6 4" xfId="41946" hidden="1"/>
    <cellStyle name="60% - 강조색6 4" xfId="41986" hidden="1"/>
    <cellStyle name="60% - 강조색6 4" xfId="42026" hidden="1"/>
    <cellStyle name="60% - 강조색6 4" xfId="42066" hidden="1"/>
    <cellStyle name="60% - 강조색6 4" xfId="42106" hidden="1"/>
    <cellStyle name="60% - 강조색6 4" xfId="42146" hidden="1"/>
    <cellStyle name="60% - 강조색6 4" xfId="42186" hidden="1"/>
    <cellStyle name="60% - 강조색6 4" xfId="42226" hidden="1"/>
    <cellStyle name="60% - 강조색6 4" xfId="42269" hidden="1"/>
    <cellStyle name="60% - 강조색6 4" xfId="42309" hidden="1"/>
    <cellStyle name="60% - 강조색6 4" xfId="42349" hidden="1"/>
    <cellStyle name="60% - 강조색6 4" xfId="42389" hidden="1"/>
    <cellStyle name="60% - 강조색6 4" xfId="42429" hidden="1"/>
    <cellStyle name="60% - 강조색6 4" xfId="42469" hidden="1"/>
    <cellStyle name="60% - 강조색6 4" xfId="42509" hidden="1"/>
    <cellStyle name="60% - 강조색6 4" xfId="42549" hidden="1"/>
    <cellStyle name="60% - 강조색6 4" xfId="42589" hidden="1"/>
    <cellStyle name="60% - 강조색6 4" xfId="42629" hidden="1"/>
    <cellStyle name="60% - 강조색6 4" xfId="42669" hidden="1"/>
    <cellStyle name="60% - 강조색6 4" xfId="42709" hidden="1"/>
    <cellStyle name="60% - 강조색6 4" xfId="42793" hidden="1"/>
    <cellStyle name="60% - 강조색6 4" xfId="42834" hidden="1"/>
    <cellStyle name="60% - 강조색6 4" xfId="42876" hidden="1"/>
    <cellStyle name="60% - 강조색6 4" xfId="42918" hidden="1"/>
    <cellStyle name="60% - 강조색6 4" xfId="42960" hidden="1"/>
    <cellStyle name="60% - 강조색6 4" xfId="43002" hidden="1"/>
    <cellStyle name="60% - 강조색6 4" xfId="43044" hidden="1"/>
    <cellStyle name="60% - 강조색6 4" xfId="43086" hidden="1"/>
    <cellStyle name="60% - 강조색6 4" xfId="43128" hidden="1"/>
    <cellStyle name="60% - 강조색6 4" xfId="43170" hidden="1"/>
    <cellStyle name="60% - 강조색6 4" xfId="43212" hidden="1"/>
    <cellStyle name="60% - 강조색6 4" xfId="43254" hidden="1"/>
    <cellStyle name="60% - 강조색6 4" xfId="42750" hidden="1"/>
    <cellStyle name="60% - 강조색6 4" xfId="43433" hidden="1"/>
    <cellStyle name="60% - 강조색6 4" xfId="43473" hidden="1"/>
    <cellStyle name="60% - 강조색6 4" xfId="43513" hidden="1"/>
    <cellStyle name="60% - 강조색6 4" xfId="43553" hidden="1"/>
    <cellStyle name="60% - 강조색6 4" xfId="43593" hidden="1"/>
    <cellStyle name="60% - 강조색6 4" xfId="43633" hidden="1"/>
    <cellStyle name="60% - 강조색6 4" xfId="43673" hidden="1"/>
    <cellStyle name="60% - 강조색6 4" xfId="43713" hidden="1"/>
    <cellStyle name="60% - 강조색6 4" xfId="43753" hidden="1"/>
    <cellStyle name="60% - 강조색6 4" xfId="43793" hidden="1"/>
    <cellStyle name="60% - 강조색6 4" xfId="43833" hidden="1"/>
    <cellStyle name="60% - 강조색6 4" xfId="43873" hidden="1"/>
    <cellStyle name="60% - 강조색6 4" xfId="43298" hidden="1"/>
    <cellStyle name="60% - 강조색6 4" xfId="43256" hidden="1"/>
    <cellStyle name="60% - 강조색6 4" xfId="43915" hidden="1"/>
    <cellStyle name="60% - 강조색6 4" xfId="43957" hidden="1"/>
    <cellStyle name="60% - 강조색6 4" xfId="43999" hidden="1"/>
    <cellStyle name="60% - 강조색6 4" xfId="44041" hidden="1"/>
    <cellStyle name="60% - 강조색6 4" xfId="44083" hidden="1"/>
    <cellStyle name="60% - 강조색6 4" xfId="44125" hidden="1"/>
    <cellStyle name="60% - 강조색6 4" xfId="44167" hidden="1"/>
    <cellStyle name="60% - 강조색6 4" xfId="44209" hidden="1"/>
    <cellStyle name="60% - 강조색6 4" xfId="44251" hidden="1"/>
    <cellStyle name="60% - 강조색6 4" xfId="44293" hidden="1"/>
    <cellStyle name="60% - 강조색6 4" xfId="43350" hidden="1"/>
    <cellStyle name="60% - 강조색6 4" xfId="44321" hidden="1"/>
    <cellStyle name="60% - 강조색6 4" xfId="44361" hidden="1"/>
    <cellStyle name="60% - 강조색6 4" xfId="44401" hidden="1"/>
    <cellStyle name="60% - 강조색6 4" xfId="44441" hidden="1"/>
    <cellStyle name="60% - 강조색6 4" xfId="44481" hidden="1"/>
    <cellStyle name="60% - 강조색6 4" xfId="44521" hidden="1"/>
    <cellStyle name="60% - 강조색6 4" xfId="44561" hidden="1"/>
    <cellStyle name="60% - 강조색6 4" xfId="44601" hidden="1"/>
    <cellStyle name="60% - 강조색6 4" xfId="44641" hidden="1"/>
    <cellStyle name="60% - 강조색6 4" xfId="44681" hidden="1"/>
    <cellStyle name="60% - 강조색6 4" xfId="44721" hidden="1"/>
    <cellStyle name="60% - 강조색6 4" xfId="44761" hidden="1"/>
    <cellStyle name="60% - 강조색6 4" xfId="44857" hidden="1"/>
    <cellStyle name="60% - 강조색6 4" xfId="44897" hidden="1"/>
    <cellStyle name="60% - 강조색6 4" xfId="44939" hidden="1"/>
    <cellStyle name="60% - 강조색6 4" xfId="44980" hidden="1"/>
    <cellStyle name="60% - 강조색6 4" xfId="45020" hidden="1"/>
    <cellStyle name="60% - 강조색6 4" xfId="45060" hidden="1"/>
    <cellStyle name="60% - 강조색6 4" xfId="45100" hidden="1"/>
    <cellStyle name="60% - 강조색6 4" xfId="45140" hidden="1"/>
    <cellStyle name="60% - 강조색6 4" xfId="45180" hidden="1"/>
    <cellStyle name="60% - 강조색6 4" xfId="45220" hidden="1"/>
    <cellStyle name="60% - 강조색6 4" xfId="45260" hidden="1"/>
    <cellStyle name="60% - 강조색6 4" xfId="45300" hidden="1"/>
    <cellStyle name="60% - 강조색6 4" xfId="45384" hidden="1"/>
    <cellStyle name="60% - 강조색6 4" xfId="45425" hidden="1"/>
    <cellStyle name="60% - 강조색6 4" xfId="45467" hidden="1"/>
    <cellStyle name="60% - 강조색6 4" xfId="45509" hidden="1"/>
    <cellStyle name="60% - 강조색6 4" xfId="45551" hidden="1"/>
    <cellStyle name="60% - 강조색6 4" xfId="45593" hidden="1"/>
    <cellStyle name="60% - 강조색6 4" xfId="45635" hidden="1"/>
    <cellStyle name="60% - 강조색6 4" xfId="45677" hidden="1"/>
    <cellStyle name="60% - 강조색6 4" xfId="45719" hidden="1"/>
    <cellStyle name="60% - 강조색6 4" xfId="45761" hidden="1"/>
    <cellStyle name="60% - 강조색6 4" xfId="45803" hidden="1"/>
    <cellStyle name="60% - 강조색6 4" xfId="45845" hidden="1"/>
    <cellStyle name="60% - 강조색6 4" xfId="45341" hidden="1"/>
    <cellStyle name="60% - 강조색6 4" xfId="46024" hidden="1"/>
    <cellStyle name="60% - 강조색6 4" xfId="46064" hidden="1"/>
    <cellStyle name="60% - 강조색6 4" xfId="46104" hidden="1"/>
    <cellStyle name="60% - 강조색6 4" xfId="46144" hidden="1"/>
    <cellStyle name="60% - 강조색6 4" xfId="46184" hidden="1"/>
    <cellStyle name="60% - 강조색6 4" xfId="46224" hidden="1"/>
    <cellStyle name="60% - 강조색6 4" xfId="46264" hidden="1"/>
    <cellStyle name="60% - 강조색6 4" xfId="46304" hidden="1"/>
    <cellStyle name="60% - 강조색6 4" xfId="46344" hidden="1"/>
    <cellStyle name="60% - 강조색6 4" xfId="46384" hidden="1"/>
    <cellStyle name="60% - 강조색6 4" xfId="46424" hidden="1"/>
    <cellStyle name="60% - 강조색6 4" xfId="46464" hidden="1"/>
    <cellStyle name="60% - 강조색6 4" xfId="45889" hidden="1"/>
    <cellStyle name="60% - 강조색6 4" xfId="45847" hidden="1"/>
    <cellStyle name="60% - 강조색6 4" xfId="46506" hidden="1"/>
    <cellStyle name="60% - 강조색6 4" xfId="46548" hidden="1"/>
    <cellStyle name="60% - 강조색6 4" xfId="46590" hidden="1"/>
    <cellStyle name="60% - 강조색6 4" xfId="46632" hidden="1"/>
    <cellStyle name="60% - 강조색6 4" xfId="46674" hidden="1"/>
    <cellStyle name="60% - 강조색6 4" xfId="46716" hidden="1"/>
    <cellStyle name="60% - 강조색6 4" xfId="46758" hidden="1"/>
    <cellStyle name="60% - 강조색6 4" xfId="46800" hidden="1"/>
    <cellStyle name="60% - 강조색6 4" xfId="46842" hidden="1"/>
    <cellStyle name="60% - 강조색6 4" xfId="46884" hidden="1"/>
    <cellStyle name="60% - 강조색6 4" xfId="45941" hidden="1"/>
    <cellStyle name="60% - 강조색6 4" xfId="46912" hidden="1"/>
    <cellStyle name="60% - 강조색6 4" xfId="46952" hidden="1"/>
    <cellStyle name="60% - 강조색6 4" xfId="46992" hidden="1"/>
    <cellStyle name="60% - 강조색6 4" xfId="47032" hidden="1"/>
    <cellStyle name="60% - 강조색6 4" xfId="47072" hidden="1"/>
    <cellStyle name="60% - 강조색6 4" xfId="47112" hidden="1"/>
    <cellStyle name="60% - 강조색6 4" xfId="47152" hidden="1"/>
    <cellStyle name="60% - 강조색6 4" xfId="47192" hidden="1"/>
    <cellStyle name="60% - 강조색6 4" xfId="47232" hidden="1"/>
    <cellStyle name="60% - 강조색6 4" xfId="47272" hidden="1"/>
    <cellStyle name="60% - 강조색6 4" xfId="47312" hidden="1"/>
    <cellStyle name="60% - 강조색6 4" xfId="47352" hidden="1"/>
    <cellStyle name="60% - 강조색6 4" xfId="47363" hidden="1"/>
    <cellStyle name="60% - 강조색6 4" xfId="47403" hidden="1"/>
    <cellStyle name="60% - 강조색6 4" xfId="47443" hidden="1"/>
    <cellStyle name="60% - 강조색6 4" xfId="47483" hidden="1"/>
    <cellStyle name="60% - 강조색6 4" xfId="47523" hidden="1"/>
    <cellStyle name="60% - 강조색6 4" xfId="47563" hidden="1"/>
    <cellStyle name="60% - 강조색6 4" xfId="47603" hidden="1"/>
    <cellStyle name="60% - 강조색6 4" xfId="47643" hidden="1"/>
    <cellStyle name="60% - 강조색6 4" xfId="47683" hidden="1"/>
    <cellStyle name="60% - 강조색6 4" xfId="47723" hidden="1"/>
    <cellStyle name="60% - 강조색6 4" xfId="47763" hidden="1"/>
    <cellStyle name="60% - 강조색6 4" xfId="47803" hidden="1"/>
    <cellStyle name="60% - 강조색6 4" xfId="47887" hidden="1"/>
    <cellStyle name="60% - 강조색6 4" xfId="47928" hidden="1"/>
    <cellStyle name="60% - 강조색6 4" xfId="47970" hidden="1"/>
    <cellStyle name="60% - 강조색6 4" xfId="48012" hidden="1"/>
    <cellStyle name="60% - 강조색6 4" xfId="48054" hidden="1"/>
    <cellStyle name="60% - 강조색6 4" xfId="48096" hidden="1"/>
    <cellStyle name="60% - 강조색6 4" xfId="48138" hidden="1"/>
    <cellStyle name="60% - 강조색6 4" xfId="48180" hidden="1"/>
    <cellStyle name="60% - 강조색6 4" xfId="48222" hidden="1"/>
    <cellStyle name="60% - 강조색6 4" xfId="48264" hidden="1"/>
    <cellStyle name="60% - 강조색6 4" xfId="48306" hidden="1"/>
    <cellStyle name="60% - 강조색6 4" xfId="48348" hidden="1"/>
    <cellStyle name="60% - 강조색6 4" xfId="47844" hidden="1"/>
    <cellStyle name="60% - 강조색6 4" xfId="48527" hidden="1"/>
    <cellStyle name="60% - 강조색6 4" xfId="48567" hidden="1"/>
    <cellStyle name="60% - 강조색6 4" xfId="48607" hidden="1"/>
    <cellStyle name="60% - 강조색6 4" xfId="48647" hidden="1"/>
    <cellStyle name="60% - 강조색6 4" xfId="48687" hidden="1"/>
    <cellStyle name="60% - 강조색6 4" xfId="48727" hidden="1"/>
    <cellStyle name="60% - 강조색6 4" xfId="48767" hidden="1"/>
    <cellStyle name="60% - 강조색6 4" xfId="48807" hidden="1"/>
    <cellStyle name="60% - 강조색6 4" xfId="48847" hidden="1"/>
    <cellStyle name="60% - 강조색6 4" xfId="48887" hidden="1"/>
    <cellStyle name="60% - 강조색6 4" xfId="48927" hidden="1"/>
    <cellStyle name="60% - 강조색6 4" xfId="48967" hidden="1"/>
    <cellStyle name="60% - 강조색6 4" xfId="48392" hidden="1"/>
    <cellStyle name="60% - 강조색6 4" xfId="48350" hidden="1"/>
    <cellStyle name="60% - 강조색6 4" xfId="49009" hidden="1"/>
    <cellStyle name="60% - 강조색6 4" xfId="49051" hidden="1"/>
    <cellStyle name="60% - 강조색6 4" xfId="49093" hidden="1"/>
    <cellStyle name="60% - 강조색6 4" xfId="49135" hidden="1"/>
    <cellStyle name="60% - 강조색6 4" xfId="49177" hidden="1"/>
    <cellStyle name="60% - 강조색6 4" xfId="49219" hidden="1"/>
    <cellStyle name="60% - 강조색6 4" xfId="49261" hidden="1"/>
    <cellStyle name="60% - 강조색6 4" xfId="49303" hidden="1"/>
    <cellStyle name="60% - 강조색6 4" xfId="49345" hidden="1"/>
    <cellStyle name="60% - 강조색6 4" xfId="49387" hidden="1"/>
    <cellStyle name="60% - 강조색6 4" xfId="48444" hidden="1"/>
    <cellStyle name="60% - 강조색6 4" xfId="49415" hidden="1"/>
    <cellStyle name="60% - 강조색6 4" xfId="49455" hidden="1"/>
    <cellStyle name="60% - 강조색6 4" xfId="49495" hidden="1"/>
    <cellStyle name="60% - 강조색6 4" xfId="49535" hidden="1"/>
    <cellStyle name="60% - 강조색6 4" xfId="49575" hidden="1"/>
    <cellStyle name="60% - 강조색6 4" xfId="49615" hidden="1"/>
    <cellStyle name="60% - 강조색6 4" xfId="49655" hidden="1"/>
    <cellStyle name="60% - 강조색6 4" xfId="49695" hidden="1"/>
    <cellStyle name="60% - 강조색6 4" xfId="49735" hidden="1"/>
    <cellStyle name="60% - 강조색6 4" xfId="49775" hidden="1"/>
    <cellStyle name="60% - 강조색6 4" xfId="49815" hidden="1"/>
    <cellStyle name="60% - 강조색6 4" xfId="49855" hidden="1"/>
    <cellStyle name="60% - 강조색6 4" xfId="49865" hidden="1"/>
    <cellStyle name="60% - 강조색6 4" xfId="49905" hidden="1"/>
    <cellStyle name="60% - 강조색6 4" xfId="49945" hidden="1"/>
    <cellStyle name="60% - 강조색6 4" xfId="49985" hidden="1"/>
    <cellStyle name="60% - 강조색6 4" xfId="50025" hidden="1"/>
    <cellStyle name="60% - 강조색6 4" xfId="50065" hidden="1"/>
    <cellStyle name="60% - 강조색6 4" xfId="50105" hidden="1"/>
    <cellStyle name="60% - 강조색6 4" xfId="50145" hidden="1"/>
    <cellStyle name="60% - 강조색6 4" xfId="50185" hidden="1"/>
    <cellStyle name="60% - 강조색6 4" xfId="50225" hidden="1"/>
    <cellStyle name="60% - 강조색6 4" xfId="50265" hidden="1"/>
    <cellStyle name="60% - 강조색6 4" xfId="50305" hidden="1"/>
    <cellStyle name="60% - 강조색6 4" xfId="50389" hidden="1"/>
    <cellStyle name="60% - 강조색6 4" xfId="50430" hidden="1"/>
    <cellStyle name="60% - 강조색6 4" xfId="50472" hidden="1"/>
    <cellStyle name="60% - 강조색6 4" xfId="50514" hidden="1"/>
    <cellStyle name="60% - 강조색6 4" xfId="50556" hidden="1"/>
    <cellStyle name="60% - 강조색6 4" xfId="50598" hidden="1"/>
    <cellStyle name="60% - 강조색6 4" xfId="50640" hidden="1"/>
    <cellStyle name="60% - 강조색6 4" xfId="50682" hidden="1"/>
    <cellStyle name="60% - 강조색6 4" xfId="50724" hidden="1"/>
    <cellStyle name="60% - 강조색6 4" xfId="50766" hidden="1"/>
    <cellStyle name="60% - 강조색6 4" xfId="50808" hidden="1"/>
    <cellStyle name="60% - 강조색6 4" xfId="50850" hidden="1"/>
    <cellStyle name="60% - 강조색6 4" xfId="50346" hidden="1"/>
    <cellStyle name="60% - 강조색6 4" xfId="51029" hidden="1"/>
    <cellStyle name="60% - 강조색6 4" xfId="51069" hidden="1"/>
    <cellStyle name="60% - 강조색6 4" xfId="51109" hidden="1"/>
    <cellStyle name="60% - 강조색6 4" xfId="51149" hidden="1"/>
    <cellStyle name="60% - 강조색6 4" xfId="51189" hidden="1"/>
    <cellStyle name="60% - 강조색6 4" xfId="51229" hidden="1"/>
    <cellStyle name="60% - 강조색6 4" xfId="51269" hidden="1"/>
    <cellStyle name="60% - 강조색6 4" xfId="51309" hidden="1"/>
    <cellStyle name="60% - 강조색6 4" xfId="51349" hidden="1"/>
    <cellStyle name="60% - 강조색6 4" xfId="51389" hidden="1"/>
    <cellStyle name="60% - 강조색6 4" xfId="51429" hidden="1"/>
    <cellStyle name="60% - 강조색6 4" xfId="51469" hidden="1"/>
    <cellStyle name="60% - 강조색6 4" xfId="50894" hidden="1"/>
    <cellStyle name="60% - 강조색6 4" xfId="50852" hidden="1"/>
    <cellStyle name="60% - 강조색6 4" xfId="51511" hidden="1"/>
    <cellStyle name="60% - 강조색6 4" xfId="51553" hidden="1"/>
    <cellStyle name="60% - 강조색6 4" xfId="51595" hidden="1"/>
    <cellStyle name="60% - 강조색6 4" xfId="51637" hidden="1"/>
    <cellStyle name="60% - 강조색6 4" xfId="51679" hidden="1"/>
    <cellStyle name="60% - 강조색6 4" xfId="51721" hidden="1"/>
    <cellStyle name="60% - 강조색6 4" xfId="51763" hidden="1"/>
    <cellStyle name="60% - 강조색6 4" xfId="51805" hidden="1"/>
    <cellStyle name="60% - 강조색6 4" xfId="51847" hidden="1"/>
    <cellStyle name="60% - 강조색6 4" xfId="51889" hidden="1"/>
    <cellStyle name="60% - 강조색6 4" xfId="50946" hidden="1"/>
    <cellStyle name="60% - 강조색6 4" xfId="51917" hidden="1"/>
    <cellStyle name="60% - 강조색6 4" xfId="51957" hidden="1"/>
    <cellStyle name="60% - 강조색6 4" xfId="51997" hidden="1"/>
    <cellStyle name="60% - 강조색6 4" xfId="52037" hidden="1"/>
    <cellStyle name="60% - 강조색6 4" xfId="52077" hidden="1"/>
    <cellStyle name="60% - 강조색6 4" xfId="52117" hidden="1"/>
    <cellStyle name="60% - 강조색6 4" xfId="52157" hidden="1"/>
    <cellStyle name="60% - 강조색6 4" xfId="52197" hidden="1"/>
    <cellStyle name="60% - 강조색6 4" xfId="52237" hidden="1"/>
    <cellStyle name="60% - 강조색6 4" xfId="52277" hidden="1"/>
    <cellStyle name="60% - 강조색6 4" xfId="52317" hidden="1"/>
    <cellStyle name="60% - 강조색6 4" xfId="52357" hidden="1"/>
    <cellStyle name="60% - 강조색6 4 2" xfId="3619"/>
    <cellStyle name="60% - 강조색6 4 3" xfId="3620"/>
    <cellStyle name="60% - 강조색6 4 4" xfId="3621"/>
    <cellStyle name="60% - 강조색6 4 5" xfId="3622"/>
    <cellStyle name="60% - 강조색6 40" xfId="3623"/>
    <cellStyle name="60% - 강조색6 41" xfId="3624"/>
    <cellStyle name="60% - 강조색6 42" xfId="3625"/>
    <cellStyle name="60% - 강조색6 43" xfId="3626"/>
    <cellStyle name="60% - 강조색6 44" xfId="3627"/>
    <cellStyle name="60% - 강조색6 45" xfId="3628"/>
    <cellStyle name="60% - 강조색6 46" xfId="3629"/>
    <cellStyle name="60% - 강조색6 47" xfId="3630"/>
    <cellStyle name="60% - 강조색6 48" xfId="3631"/>
    <cellStyle name="60% - 강조색6 49" xfId="3632"/>
    <cellStyle name="60% - 강조색6 5" xfId="3633"/>
    <cellStyle name="60% - 강조색6 50" xfId="3634"/>
    <cellStyle name="60% - 강조색6 51" xfId="3635"/>
    <cellStyle name="60% - 강조색6 52" xfId="3636"/>
    <cellStyle name="60% - 강조색6 6" xfId="3637"/>
    <cellStyle name="60% - 강조색6 7" xfId="3638"/>
    <cellStyle name="60% - 강조색6 8" xfId="3639"/>
    <cellStyle name="60% - 강조색6 9" xfId="3640"/>
    <cellStyle name="7" xfId="146"/>
    <cellStyle name="7 2" xfId="3641"/>
    <cellStyle name="7_2320_BW_1_PI정의서_CO(1(1).0)_review_0615(계승효)" xfId="147"/>
    <cellStyle name="7_2320_BW_1_PI정의서_CO(1(1).0)_review_0615(계승효) 2" xfId="3642"/>
    <cellStyle name="7_2320_BW_1_PI정의서_CO(1(1).0)_review_0615(계승효)_KRX-13-10-컨텐츠명세서-1.1" xfId="148"/>
    <cellStyle name="7_2320_BW_1_PI정의서_CO(1(1).0)_review_0615(계승효)_KRX-13-10-컨텐츠명세서-1.1 2" xfId="3643"/>
    <cellStyle name="7_2320_BW_1_PI정의서_CO(1(1).0)_review_0615(계승효)_KRX-13-10-컨텐츠명세서-1.1_Sheet1" xfId="149"/>
    <cellStyle name="7_2320_BW_1_PI정의서_CO(1(1).0)_review_0615(계승효)_KRX-13-10-컨텐츠명세서-1.1_Sheet1 2" xfId="150"/>
    <cellStyle name="7_2320_BW_1_PI정의서_CO(1(1).0)_review_0615(계승효)_KRX-13-10-컨텐츠명세서-1.1_Sheet1 3" xfId="151"/>
    <cellStyle name="7_2320_BW_1_PI정의서_CO(1(1).0)_review_0615(계승효)_KRX-13-10-컨텐츠명세서-1.1_Sheet1 4" xfId="152"/>
    <cellStyle name="7_2320_BW_1_PI정의서_CO(1(1).0)_review_0615(계승효)_KRX-13-10-컨텐츠명세서-1.1_Sheet1 5" xfId="153"/>
    <cellStyle name="7_2320_BW_1_PI정의서_CO(1(1).0)_review_0615(계승효)_KRX-13-10-컨텐츠명세서-1.1_개정이력" xfId="3644"/>
    <cellStyle name="7_2320_BW_1_PI정의서_CO(1(1).0)_review_0615(계승효)_KRX-13-10-컨텐츠명세서-1.1_개정이력 10" xfId="3645"/>
    <cellStyle name="7_2320_BW_1_PI정의서_CO(1(1).0)_review_0615(계승효)_KRX-13-10-컨텐츠명세서-1.1_개정이력 11" xfId="3646"/>
    <cellStyle name="7_2320_BW_1_PI정의서_CO(1(1).0)_review_0615(계승효)_KRX-13-10-컨텐츠명세서-1.1_개정이력 12" xfId="3647"/>
    <cellStyle name="7_2320_BW_1_PI정의서_CO(1(1).0)_review_0615(계승효)_KRX-13-10-컨텐츠명세서-1.1_개정이력 13" xfId="3648"/>
    <cellStyle name="7_2320_BW_1_PI정의서_CO(1(1).0)_review_0615(계승효)_KRX-13-10-컨텐츠명세서-1.1_개정이력 14" xfId="3649"/>
    <cellStyle name="7_2320_BW_1_PI정의서_CO(1(1).0)_review_0615(계승효)_KRX-13-10-컨텐츠명세서-1.1_개정이력 15" xfId="3650"/>
    <cellStyle name="7_2320_BW_1_PI정의서_CO(1(1).0)_review_0615(계승효)_KRX-13-10-컨텐츠명세서-1.1_개정이력 16" xfId="3651"/>
    <cellStyle name="7_2320_BW_1_PI정의서_CO(1(1).0)_review_0615(계승효)_KRX-13-10-컨텐츠명세서-1.1_개정이력 2" xfId="3652"/>
    <cellStyle name="7_2320_BW_1_PI정의서_CO(1(1).0)_review_0615(계승효)_KRX-13-10-컨텐츠명세서-1.1_개정이력 3" xfId="3653"/>
    <cellStyle name="7_2320_BW_1_PI정의서_CO(1(1).0)_review_0615(계승효)_KRX-13-10-컨텐츠명세서-1.1_개정이력 4" xfId="3654"/>
    <cellStyle name="7_2320_BW_1_PI정의서_CO(1(1).0)_review_0615(계승효)_KRX-13-10-컨텐츠명세서-1.1_개정이력 5" xfId="3655"/>
    <cellStyle name="7_2320_BW_1_PI정의서_CO(1(1).0)_review_0615(계승효)_KRX-13-10-컨텐츠명세서-1.1_개정이력 6" xfId="3656"/>
    <cellStyle name="7_2320_BW_1_PI정의서_CO(1(1).0)_review_0615(계승효)_KRX-13-10-컨텐츠명세서-1.1_개정이력 7" xfId="3657"/>
    <cellStyle name="7_2320_BW_1_PI정의서_CO(1(1).0)_review_0615(계승효)_KRX-13-10-컨텐츠명세서-1.1_개정이력 8" xfId="3658"/>
    <cellStyle name="7_2320_BW_1_PI정의서_CO(1(1).0)_review_0615(계승효)_KRX-13-10-컨텐츠명세서-1.1_개정이력 9" xfId="3659"/>
    <cellStyle name="7_2320_BW_1_PI정의서_CO(1(1).0)_review_0615(계승효)_KRX-13-10-컨텐츠명세서-1.1_개정이력_REPO_3-2-9. 신고매매체결내역" xfId="3660"/>
    <cellStyle name="7_2320_BW_1_PI정의서_CO(1(1).0)_review_0615(계승효)_KRX-13-10-컨텐츠명세서-1.1_개정이력_RMS_4-1-8. 공개정보" xfId="3661"/>
    <cellStyle name="7_2320_BW_1_PI정의서_CO(1(1).0)_review_0615(계승효)_KRX-13-10-컨텐츠명세서-1.1_개정이력_개정이력" xfId="3662"/>
    <cellStyle name="7_2320_BW_1_PI정의서_CO(1(1).0)_review_0615(계승효)_KRX-13-10-컨텐츠명세서-1.1_개정이력_일반채권_1-1-10.공개정보" xfId="3663"/>
    <cellStyle name="7_2320_BW_1_PI정의서_CO(1(1).0)_review_0615(계승효)_KRX-13-10-컨텐츠명세서-1.1_개정이력_일반채권_1-2-4. 종목정보" xfId="3664"/>
    <cellStyle name="7_2320_BW_1_PI정의서_CO(1(1).0)_review_0615(계승효)_KRX-13-10-컨텐츠명세서-1.1_일반채권_1-2-6. 시장공개정보" xfId="3665"/>
    <cellStyle name="7_2320_BW_1_PI정의서_CO(1(1).0)_review_0615(계승효)_KRX-13-10-컨텐츠명세서-1.1_일반채권_1-3-1. 종목정보" xfId="3666"/>
    <cellStyle name="7_2320_BW_1_PI정의서_CO(1(1).0)_review_0615(계승효)_KRX-PM-64-요구사항 추적표-인포티커 시장지-1.3" xfId="154"/>
    <cellStyle name="7_2320_BW_1_PI정의서_CO(1(1).0)_review_0615(계승효)_KRX-PM-64-요구사항 추적표-인포티커 시장지-1.3 2" xfId="3667"/>
    <cellStyle name="7_2320_BW_1_PI정의서_CO(1(1).0)_review_0615(계승효)_KRX-PM-64-요구사항 추적표-인포티커 시장지-1.3_Sheet1" xfId="155"/>
    <cellStyle name="7_2320_BW_1_PI정의서_CO(1(1).0)_review_0615(계승효)_KRX-PM-64-요구사항 추적표-인포티커 시장지-1.3_Sheet1 2" xfId="156"/>
    <cellStyle name="7_2320_BW_1_PI정의서_CO(1(1).0)_review_0615(계승효)_KRX-PM-64-요구사항 추적표-인포티커 시장지-1.3_Sheet1 3" xfId="157"/>
    <cellStyle name="7_2320_BW_1_PI정의서_CO(1(1).0)_review_0615(계승효)_KRX-PM-64-요구사항 추적표-인포티커 시장지-1.3_Sheet1 4" xfId="158"/>
    <cellStyle name="7_2320_BW_1_PI정의서_CO(1(1).0)_review_0615(계승효)_KRX-PM-64-요구사항 추적표-인포티커 시장지-1.3_Sheet1 5" xfId="159"/>
    <cellStyle name="7_2320_BW_1_PI정의서_CO(1(1).0)_review_0615(계승효)_KRX-PM-64-요구사항 추적표-인포티커 시장지-1.3_개정이력" xfId="3668"/>
    <cellStyle name="7_2320_BW_1_PI정의서_CO(1(1).0)_review_0615(계승효)_KRX-PM-64-요구사항 추적표-인포티커 시장지-1.3_개정이력 10" xfId="3669"/>
    <cellStyle name="7_2320_BW_1_PI정의서_CO(1(1).0)_review_0615(계승효)_KRX-PM-64-요구사항 추적표-인포티커 시장지-1.3_개정이력 11" xfId="3670"/>
    <cellStyle name="7_2320_BW_1_PI정의서_CO(1(1).0)_review_0615(계승효)_KRX-PM-64-요구사항 추적표-인포티커 시장지-1.3_개정이력 12" xfId="3671"/>
    <cellStyle name="7_2320_BW_1_PI정의서_CO(1(1).0)_review_0615(계승효)_KRX-PM-64-요구사항 추적표-인포티커 시장지-1.3_개정이력 13" xfId="3672"/>
    <cellStyle name="7_2320_BW_1_PI정의서_CO(1(1).0)_review_0615(계승효)_KRX-PM-64-요구사항 추적표-인포티커 시장지-1.3_개정이력 14" xfId="3673"/>
    <cellStyle name="7_2320_BW_1_PI정의서_CO(1(1).0)_review_0615(계승효)_KRX-PM-64-요구사항 추적표-인포티커 시장지-1.3_개정이력 15" xfId="3674"/>
    <cellStyle name="7_2320_BW_1_PI정의서_CO(1(1).0)_review_0615(계승효)_KRX-PM-64-요구사항 추적표-인포티커 시장지-1.3_개정이력 16" xfId="3675"/>
    <cellStyle name="7_2320_BW_1_PI정의서_CO(1(1).0)_review_0615(계승효)_KRX-PM-64-요구사항 추적표-인포티커 시장지-1.3_개정이력 2" xfId="3676"/>
    <cellStyle name="7_2320_BW_1_PI정의서_CO(1(1).0)_review_0615(계승효)_KRX-PM-64-요구사항 추적표-인포티커 시장지-1.3_개정이력 3" xfId="3677"/>
    <cellStyle name="7_2320_BW_1_PI정의서_CO(1(1).0)_review_0615(계승효)_KRX-PM-64-요구사항 추적표-인포티커 시장지-1.3_개정이력 4" xfId="3678"/>
    <cellStyle name="7_2320_BW_1_PI정의서_CO(1(1).0)_review_0615(계승효)_KRX-PM-64-요구사항 추적표-인포티커 시장지-1.3_개정이력 5" xfId="3679"/>
    <cellStyle name="7_2320_BW_1_PI정의서_CO(1(1).0)_review_0615(계승효)_KRX-PM-64-요구사항 추적표-인포티커 시장지-1.3_개정이력 6" xfId="3680"/>
    <cellStyle name="7_2320_BW_1_PI정의서_CO(1(1).0)_review_0615(계승효)_KRX-PM-64-요구사항 추적표-인포티커 시장지-1.3_개정이력 7" xfId="3681"/>
    <cellStyle name="7_2320_BW_1_PI정의서_CO(1(1).0)_review_0615(계승효)_KRX-PM-64-요구사항 추적표-인포티커 시장지-1.3_개정이력 8" xfId="3682"/>
    <cellStyle name="7_2320_BW_1_PI정의서_CO(1(1).0)_review_0615(계승효)_KRX-PM-64-요구사항 추적표-인포티커 시장지-1.3_개정이력 9" xfId="3683"/>
    <cellStyle name="7_2320_BW_1_PI정의서_CO(1(1).0)_review_0615(계승효)_KRX-PM-64-요구사항 추적표-인포티커 시장지-1.3_개정이력_REPO_3-2-9. 신고매매체결내역" xfId="3684"/>
    <cellStyle name="7_2320_BW_1_PI정의서_CO(1(1).0)_review_0615(계승효)_KRX-PM-64-요구사항 추적표-인포티커 시장지-1.3_개정이력_RMS_4-1-8. 공개정보" xfId="3685"/>
    <cellStyle name="7_2320_BW_1_PI정의서_CO(1(1).0)_review_0615(계승효)_KRX-PM-64-요구사항 추적표-인포티커 시장지-1.3_개정이력_개정이력" xfId="3686"/>
    <cellStyle name="7_2320_BW_1_PI정의서_CO(1(1).0)_review_0615(계승효)_KRX-PM-64-요구사항 추적표-인포티커 시장지-1.3_개정이력_일반채권_1-1-10.공개정보" xfId="3687"/>
    <cellStyle name="7_2320_BW_1_PI정의서_CO(1(1).0)_review_0615(계승효)_KRX-PM-64-요구사항 추적표-인포티커 시장지-1.3_개정이력_일반채권_1-2-4. 종목정보" xfId="3688"/>
    <cellStyle name="7_2320_BW_1_PI정의서_CO(1(1).0)_review_0615(계승효)_KRX-PM-64-요구사항 추적표-인포티커 시장지-1.3_일반채권_1-2-6. 시장공개정보" xfId="3689"/>
    <cellStyle name="7_2320_BW_1_PI정의서_CO(1(1).0)_review_0615(계승효)_KRX-PM-64-요구사항 추적표-인포티커 시장지-1.3_일반채권_1-3-1. 종목정보" xfId="3690"/>
    <cellStyle name="7_2320_BW_1_PI정의서_CO(1(1).0)_review_0615(계승효)_PMO-QA-CK-070319(홈페이지 요구사항 추적표)_V1.0" xfId="160"/>
    <cellStyle name="7_2320_BW_1_PI정의서_CO(1(1).0)_review_0615(계승효)_PMO-QA-CK-070319(홈페이지 요구사항 추적표)_V1.0 2" xfId="3691"/>
    <cellStyle name="7_2320_BW_1_PI정의서_CO(1(1).0)_review_0615(계승효)_PMO-QA-CK-070319(홈페이지 요구사항 추적표)_V1.0_Sheet1" xfId="161"/>
    <cellStyle name="7_2320_BW_1_PI정의서_CO(1(1).0)_review_0615(계승효)_PMO-QA-CK-070319(홈페이지 요구사항 추적표)_V1.0_Sheet1 2" xfId="162"/>
    <cellStyle name="7_2320_BW_1_PI정의서_CO(1(1).0)_review_0615(계승효)_PMO-QA-CK-070319(홈페이지 요구사항 추적표)_V1.0_Sheet1 3" xfId="163"/>
    <cellStyle name="7_2320_BW_1_PI정의서_CO(1(1).0)_review_0615(계승효)_PMO-QA-CK-070319(홈페이지 요구사항 추적표)_V1.0_Sheet1 4" xfId="164"/>
    <cellStyle name="7_2320_BW_1_PI정의서_CO(1(1).0)_review_0615(계승효)_PMO-QA-CK-070319(홈페이지 요구사항 추적표)_V1.0_Sheet1 5" xfId="165"/>
    <cellStyle name="7_2320_BW_1_PI정의서_CO(1(1).0)_review_0615(계승효)_PMO-QA-CK-070319(홈페이지 요구사항 추적표)_V1.0_개정이력" xfId="3692"/>
    <cellStyle name="7_2320_BW_1_PI정의서_CO(1(1).0)_review_0615(계승효)_PMO-QA-CK-070319(홈페이지 요구사항 추적표)_V1.0_개정이력 10" xfId="3693"/>
    <cellStyle name="7_2320_BW_1_PI정의서_CO(1(1).0)_review_0615(계승효)_PMO-QA-CK-070319(홈페이지 요구사항 추적표)_V1.0_개정이력 11" xfId="3694"/>
    <cellStyle name="7_2320_BW_1_PI정의서_CO(1(1).0)_review_0615(계승효)_PMO-QA-CK-070319(홈페이지 요구사항 추적표)_V1.0_개정이력 12" xfId="3695"/>
    <cellStyle name="7_2320_BW_1_PI정의서_CO(1(1).0)_review_0615(계승효)_PMO-QA-CK-070319(홈페이지 요구사항 추적표)_V1.0_개정이력 13" xfId="3696"/>
    <cellStyle name="7_2320_BW_1_PI정의서_CO(1(1).0)_review_0615(계승효)_PMO-QA-CK-070319(홈페이지 요구사항 추적표)_V1.0_개정이력 14" xfId="3697"/>
    <cellStyle name="7_2320_BW_1_PI정의서_CO(1(1).0)_review_0615(계승효)_PMO-QA-CK-070319(홈페이지 요구사항 추적표)_V1.0_개정이력 15" xfId="3698"/>
    <cellStyle name="7_2320_BW_1_PI정의서_CO(1(1).0)_review_0615(계승효)_PMO-QA-CK-070319(홈페이지 요구사항 추적표)_V1.0_개정이력 16" xfId="3699"/>
    <cellStyle name="7_2320_BW_1_PI정의서_CO(1(1).0)_review_0615(계승효)_PMO-QA-CK-070319(홈페이지 요구사항 추적표)_V1.0_개정이력 2" xfId="3700"/>
    <cellStyle name="7_2320_BW_1_PI정의서_CO(1(1).0)_review_0615(계승효)_PMO-QA-CK-070319(홈페이지 요구사항 추적표)_V1.0_개정이력 3" xfId="3701"/>
    <cellStyle name="7_2320_BW_1_PI정의서_CO(1(1).0)_review_0615(계승효)_PMO-QA-CK-070319(홈페이지 요구사항 추적표)_V1.0_개정이력 4" xfId="3702"/>
    <cellStyle name="7_2320_BW_1_PI정의서_CO(1(1).0)_review_0615(계승효)_PMO-QA-CK-070319(홈페이지 요구사항 추적표)_V1.0_개정이력 5" xfId="3703"/>
    <cellStyle name="7_2320_BW_1_PI정의서_CO(1(1).0)_review_0615(계승효)_PMO-QA-CK-070319(홈페이지 요구사항 추적표)_V1.0_개정이력 6" xfId="3704"/>
    <cellStyle name="7_2320_BW_1_PI정의서_CO(1(1).0)_review_0615(계승효)_PMO-QA-CK-070319(홈페이지 요구사항 추적표)_V1.0_개정이력 7" xfId="3705"/>
    <cellStyle name="7_2320_BW_1_PI정의서_CO(1(1).0)_review_0615(계승효)_PMO-QA-CK-070319(홈페이지 요구사항 추적표)_V1.0_개정이력 8" xfId="3706"/>
    <cellStyle name="7_2320_BW_1_PI정의서_CO(1(1).0)_review_0615(계승효)_PMO-QA-CK-070319(홈페이지 요구사항 추적표)_V1.0_개정이력 9" xfId="3707"/>
    <cellStyle name="7_2320_BW_1_PI정의서_CO(1(1).0)_review_0615(계승효)_PMO-QA-CK-070319(홈페이지 요구사항 추적표)_V1.0_개정이력_REPO_3-2-9. 신고매매체결내역" xfId="3708"/>
    <cellStyle name="7_2320_BW_1_PI정의서_CO(1(1).0)_review_0615(계승효)_PMO-QA-CK-070319(홈페이지 요구사항 추적표)_V1.0_개정이력_RMS_4-1-8. 공개정보" xfId="3709"/>
    <cellStyle name="7_2320_BW_1_PI정의서_CO(1(1).0)_review_0615(계승효)_PMO-QA-CK-070319(홈페이지 요구사항 추적표)_V1.0_개정이력_개정이력" xfId="3710"/>
    <cellStyle name="7_2320_BW_1_PI정의서_CO(1(1).0)_review_0615(계승효)_PMO-QA-CK-070319(홈페이지 요구사항 추적표)_V1.0_개정이력_일반채권_1-1-10.공개정보" xfId="3711"/>
    <cellStyle name="7_2320_BW_1_PI정의서_CO(1(1).0)_review_0615(계승효)_PMO-QA-CK-070319(홈페이지 요구사항 추적표)_V1.0_개정이력_일반채권_1-2-4. 종목정보" xfId="3712"/>
    <cellStyle name="7_2320_BW_1_PI정의서_CO(1(1).0)_review_0615(계승효)_PMO-QA-CK-070319(홈페이지 요구사항 추적표)_V1.0_일반채권_1-2-6. 시장공개정보" xfId="3713"/>
    <cellStyle name="7_2320_BW_1_PI정의서_CO(1(1).0)_review_0615(계승효)_PMO-QA-CK-070319(홈페이지 요구사항 추적표)_V1.0_일반채권_1-3-1. 종목정보" xfId="3714"/>
    <cellStyle name="7_2320_BW_1_PI정의서_CO(1(1).0)_review_0615(계승효)_Sheet1" xfId="166"/>
    <cellStyle name="7_2320_BW_1_PI정의서_CO(1(1).0)_review_0615(계승효)_Sheet1 2" xfId="167"/>
    <cellStyle name="7_2320_BW_1_PI정의서_CO(1(1).0)_review_0615(계승효)_Sheet1 3" xfId="168"/>
    <cellStyle name="7_2320_BW_1_PI정의서_CO(1(1).0)_review_0615(계승효)_Sheet1 4" xfId="169"/>
    <cellStyle name="7_2320_BW_1_PI정의서_CO(1(1).0)_review_0615(계승효)_Sheet1 5" xfId="170"/>
    <cellStyle name="7_2320_BW_1_PI정의서_CO(1(1).0)_review_0615(계승효)_개정이력" xfId="3715"/>
    <cellStyle name="7_2320_BW_1_PI정의서_CO(1(1).0)_review_0615(계승효)_개정이력 10" xfId="3716"/>
    <cellStyle name="7_2320_BW_1_PI정의서_CO(1(1).0)_review_0615(계승효)_개정이력 11" xfId="3717"/>
    <cellStyle name="7_2320_BW_1_PI정의서_CO(1(1).0)_review_0615(계승효)_개정이력 12" xfId="3718"/>
    <cellStyle name="7_2320_BW_1_PI정의서_CO(1(1).0)_review_0615(계승효)_개정이력 13" xfId="3719"/>
    <cellStyle name="7_2320_BW_1_PI정의서_CO(1(1).0)_review_0615(계승효)_개정이력 14" xfId="3720"/>
    <cellStyle name="7_2320_BW_1_PI정의서_CO(1(1).0)_review_0615(계승효)_개정이력 15" xfId="3721"/>
    <cellStyle name="7_2320_BW_1_PI정의서_CO(1(1).0)_review_0615(계승효)_개정이력 16" xfId="3722"/>
    <cellStyle name="7_2320_BW_1_PI정의서_CO(1(1).0)_review_0615(계승효)_개정이력 2" xfId="3723"/>
    <cellStyle name="7_2320_BW_1_PI정의서_CO(1(1).0)_review_0615(계승효)_개정이력 3" xfId="3724"/>
    <cellStyle name="7_2320_BW_1_PI정의서_CO(1(1).0)_review_0615(계승효)_개정이력 4" xfId="3725"/>
    <cellStyle name="7_2320_BW_1_PI정의서_CO(1(1).0)_review_0615(계승효)_개정이력 5" xfId="3726"/>
    <cellStyle name="7_2320_BW_1_PI정의서_CO(1(1).0)_review_0615(계승효)_개정이력 6" xfId="3727"/>
    <cellStyle name="7_2320_BW_1_PI정의서_CO(1(1).0)_review_0615(계승효)_개정이력 7" xfId="3728"/>
    <cellStyle name="7_2320_BW_1_PI정의서_CO(1(1).0)_review_0615(계승효)_개정이력 8" xfId="3729"/>
    <cellStyle name="7_2320_BW_1_PI정의서_CO(1(1).0)_review_0615(계승효)_개정이력 9" xfId="3730"/>
    <cellStyle name="7_2320_BW_1_PI정의서_CO(1(1).0)_review_0615(계승효)_개정이력_REPO_3-2-9. 신고매매체결내역" xfId="3731"/>
    <cellStyle name="7_2320_BW_1_PI정의서_CO(1(1).0)_review_0615(계승효)_개정이력_RMS_4-1-8. 공개정보" xfId="3732"/>
    <cellStyle name="7_2320_BW_1_PI정의서_CO(1(1).0)_review_0615(계승효)_개정이력_개정이력" xfId="3733"/>
    <cellStyle name="7_2320_BW_1_PI정의서_CO(1(1).0)_review_0615(계승효)_개정이력_일반채권_1-1-10.공개정보" xfId="3734"/>
    <cellStyle name="7_2320_BW_1_PI정의서_CO(1(1).0)_review_0615(계승효)_개정이력_일반채권_1-2-4. 종목정보" xfId="3735"/>
    <cellStyle name="7_2320_BW_1_PI정의서_CO(1(1).0)_review_0615(계승효)_요구사항추적표" xfId="171"/>
    <cellStyle name="7_2320_BW_1_PI정의서_CO(1(1).0)_review_0615(계승효)_요구사항추적표 2" xfId="3736"/>
    <cellStyle name="7_2320_BW_1_PI정의서_CO(1(1).0)_review_0615(계승효)_요구사항추적표_Sheet1" xfId="172"/>
    <cellStyle name="7_2320_BW_1_PI정의서_CO(1(1).0)_review_0615(계승효)_요구사항추적표_Sheet1 2" xfId="173"/>
    <cellStyle name="7_2320_BW_1_PI정의서_CO(1(1).0)_review_0615(계승효)_요구사항추적표_Sheet1 3" xfId="174"/>
    <cellStyle name="7_2320_BW_1_PI정의서_CO(1(1).0)_review_0615(계승효)_요구사항추적표_Sheet1 4" xfId="175"/>
    <cellStyle name="7_2320_BW_1_PI정의서_CO(1(1).0)_review_0615(계승효)_요구사항추적표_Sheet1 5" xfId="176"/>
    <cellStyle name="7_2320_BW_1_PI정의서_CO(1(1).0)_review_0615(계승효)_요구사항추적표_개정이력" xfId="3737"/>
    <cellStyle name="7_2320_BW_1_PI정의서_CO(1(1).0)_review_0615(계승효)_요구사항추적표_개정이력 10" xfId="3738"/>
    <cellStyle name="7_2320_BW_1_PI정의서_CO(1(1).0)_review_0615(계승효)_요구사항추적표_개정이력 11" xfId="3739"/>
    <cellStyle name="7_2320_BW_1_PI정의서_CO(1(1).0)_review_0615(계승효)_요구사항추적표_개정이력 12" xfId="3740"/>
    <cellStyle name="7_2320_BW_1_PI정의서_CO(1(1).0)_review_0615(계승효)_요구사항추적표_개정이력 13" xfId="3741"/>
    <cellStyle name="7_2320_BW_1_PI정의서_CO(1(1).0)_review_0615(계승효)_요구사항추적표_개정이력 14" xfId="3742"/>
    <cellStyle name="7_2320_BW_1_PI정의서_CO(1(1).0)_review_0615(계승효)_요구사항추적표_개정이력 15" xfId="3743"/>
    <cellStyle name="7_2320_BW_1_PI정의서_CO(1(1).0)_review_0615(계승효)_요구사항추적표_개정이력 16" xfId="3744"/>
    <cellStyle name="7_2320_BW_1_PI정의서_CO(1(1).0)_review_0615(계승효)_요구사항추적표_개정이력 2" xfId="3745"/>
    <cellStyle name="7_2320_BW_1_PI정의서_CO(1(1).0)_review_0615(계승효)_요구사항추적표_개정이력 3" xfId="3746"/>
    <cellStyle name="7_2320_BW_1_PI정의서_CO(1(1).0)_review_0615(계승효)_요구사항추적표_개정이력 4" xfId="3747"/>
    <cellStyle name="7_2320_BW_1_PI정의서_CO(1(1).0)_review_0615(계승효)_요구사항추적표_개정이력 5" xfId="3748"/>
    <cellStyle name="7_2320_BW_1_PI정의서_CO(1(1).0)_review_0615(계승효)_요구사항추적표_개정이력 6" xfId="3749"/>
    <cellStyle name="7_2320_BW_1_PI정의서_CO(1(1).0)_review_0615(계승효)_요구사항추적표_개정이력 7" xfId="3750"/>
    <cellStyle name="7_2320_BW_1_PI정의서_CO(1(1).0)_review_0615(계승효)_요구사항추적표_개정이력 8" xfId="3751"/>
    <cellStyle name="7_2320_BW_1_PI정의서_CO(1(1).0)_review_0615(계승효)_요구사항추적표_개정이력 9" xfId="3752"/>
    <cellStyle name="7_2320_BW_1_PI정의서_CO(1(1).0)_review_0615(계승효)_요구사항추적표_개정이력_REPO_3-2-9. 신고매매체결내역" xfId="3753"/>
    <cellStyle name="7_2320_BW_1_PI정의서_CO(1(1).0)_review_0615(계승효)_요구사항추적표_개정이력_RMS_4-1-8. 공개정보" xfId="3754"/>
    <cellStyle name="7_2320_BW_1_PI정의서_CO(1(1).0)_review_0615(계승효)_요구사항추적표_개정이력_개정이력" xfId="3755"/>
    <cellStyle name="7_2320_BW_1_PI정의서_CO(1(1).0)_review_0615(계승효)_요구사항추적표_개정이력_일반채권_1-1-10.공개정보" xfId="3756"/>
    <cellStyle name="7_2320_BW_1_PI정의서_CO(1(1).0)_review_0615(계승효)_요구사항추적표_개정이력_일반채권_1-2-4. 종목정보" xfId="3757"/>
    <cellStyle name="7_2320_BW_1_PI정의서_CO(1(1).0)_review_0615(계승효)_요구사항추적표_일반채권_1-2-6. 시장공개정보" xfId="3758"/>
    <cellStyle name="7_2320_BW_1_PI정의서_CO(1(1).0)_review_0615(계승효)_요구사항추적표_일반채권_1-3-1. 종목정보" xfId="3759"/>
    <cellStyle name="7_2320_BW_1_PI정의서_CO(1(1).0)_review_0615(계승효)_일반채권_1-2-6. 시장공개정보" xfId="3760"/>
    <cellStyle name="7_2320_BW_1_PI정의서_CO(1(1).0)_review_0615(계승효)_일반채권_1-3-1. 종목정보" xfId="3761"/>
    <cellStyle name="7_2320_BW_1_PI정의서_CO(1(1).0)_review_0615(계승효)_표준 양식 템플릿(Excel)" xfId="177"/>
    <cellStyle name="7_2320_BW_1_PI정의서_CO(1(1).0)_review_0615(계승효)_표준 양식 템플릿(Excel) 2" xfId="3762"/>
    <cellStyle name="7_2320_BW_1_PI정의서_CO(1(1).0)_review_0615(계승효)_표준 양식 템플릿(Excel)_Sheet1" xfId="178"/>
    <cellStyle name="7_2320_BW_1_PI정의서_CO(1(1).0)_review_0615(계승효)_표준 양식 템플릿(Excel)_Sheet1 2" xfId="179"/>
    <cellStyle name="7_2320_BW_1_PI정의서_CO(1(1).0)_review_0615(계승효)_표준 양식 템플릿(Excel)_Sheet1 3" xfId="180"/>
    <cellStyle name="7_2320_BW_1_PI정의서_CO(1(1).0)_review_0615(계승효)_표준 양식 템플릿(Excel)_Sheet1 4" xfId="181"/>
    <cellStyle name="7_2320_BW_1_PI정의서_CO(1(1).0)_review_0615(계승효)_표준 양식 템플릿(Excel)_Sheet1 5" xfId="182"/>
    <cellStyle name="7_2320_BW_1_PI정의서_CO(1(1).0)_review_0615(계승효)_표준 양식 템플릿(Excel)_개정이력" xfId="3763"/>
    <cellStyle name="7_2320_BW_1_PI정의서_CO(1(1).0)_review_0615(계승효)_표준 양식 템플릿(Excel)_개정이력 10" xfId="3764"/>
    <cellStyle name="7_2320_BW_1_PI정의서_CO(1(1).0)_review_0615(계승효)_표준 양식 템플릿(Excel)_개정이력 11" xfId="3765"/>
    <cellStyle name="7_2320_BW_1_PI정의서_CO(1(1).0)_review_0615(계승효)_표준 양식 템플릿(Excel)_개정이력 12" xfId="3766"/>
    <cellStyle name="7_2320_BW_1_PI정의서_CO(1(1).0)_review_0615(계승효)_표준 양식 템플릿(Excel)_개정이력 13" xfId="3767"/>
    <cellStyle name="7_2320_BW_1_PI정의서_CO(1(1).0)_review_0615(계승효)_표준 양식 템플릿(Excel)_개정이력 14" xfId="3768"/>
    <cellStyle name="7_2320_BW_1_PI정의서_CO(1(1).0)_review_0615(계승효)_표준 양식 템플릿(Excel)_개정이력 15" xfId="3769"/>
    <cellStyle name="7_2320_BW_1_PI정의서_CO(1(1).0)_review_0615(계승효)_표준 양식 템플릿(Excel)_개정이력 16" xfId="3770"/>
    <cellStyle name="7_2320_BW_1_PI정의서_CO(1(1).0)_review_0615(계승효)_표준 양식 템플릿(Excel)_개정이력 2" xfId="3771"/>
    <cellStyle name="7_2320_BW_1_PI정의서_CO(1(1).0)_review_0615(계승효)_표준 양식 템플릿(Excel)_개정이력 3" xfId="3772"/>
    <cellStyle name="7_2320_BW_1_PI정의서_CO(1(1).0)_review_0615(계승효)_표준 양식 템플릿(Excel)_개정이력 4" xfId="3773"/>
    <cellStyle name="7_2320_BW_1_PI정의서_CO(1(1).0)_review_0615(계승효)_표준 양식 템플릿(Excel)_개정이력 5" xfId="3774"/>
    <cellStyle name="7_2320_BW_1_PI정의서_CO(1(1).0)_review_0615(계승효)_표준 양식 템플릿(Excel)_개정이력 6" xfId="3775"/>
    <cellStyle name="7_2320_BW_1_PI정의서_CO(1(1).0)_review_0615(계승효)_표준 양식 템플릿(Excel)_개정이력 7" xfId="3776"/>
    <cellStyle name="7_2320_BW_1_PI정의서_CO(1(1).0)_review_0615(계승효)_표준 양식 템플릿(Excel)_개정이력 8" xfId="3777"/>
    <cellStyle name="7_2320_BW_1_PI정의서_CO(1(1).0)_review_0615(계승효)_표준 양식 템플릿(Excel)_개정이력 9" xfId="3778"/>
    <cellStyle name="7_2320_BW_1_PI정의서_CO(1(1).0)_review_0615(계승효)_표준 양식 템플릿(Excel)_개정이력_REPO_3-2-9. 신고매매체결내역" xfId="3779"/>
    <cellStyle name="7_2320_BW_1_PI정의서_CO(1(1).0)_review_0615(계승효)_표준 양식 템플릿(Excel)_개정이력_RMS_4-1-8. 공개정보" xfId="3780"/>
    <cellStyle name="7_2320_BW_1_PI정의서_CO(1(1).0)_review_0615(계승효)_표준 양식 템플릿(Excel)_개정이력_개정이력" xfId="3781"/>
    <cellStyle name="7_2320_BW_1_PI정의서_CO(1(1).0)_review_0615(계승효)_표준 양식 템플릿(Excel)_개정이력_일반채권_1-1-10.공개정보" xfId="3782"/>
    <cellStyle name="7_2320_BW_1_PI정의서_CO(1(1).0)_review_0615(계승효)_표준 양식 템플릿(Excel)_개정이력_일반채권_1-2-4. 종목정보" xfId="3783"/>
    <cellStyle name="7_2320_BW_1_PI정의서_CO(1(1).0)_review_0615(계승효)_표준 양식 템플릿(Excel)_일반채권_1-2-6. 시장공개정보" xfId="3784"/>
    <cellStyle name="7_2320_BW_1_PI정의서_CO(1(1).0)_review_0615(계승효)_표준 양식 템플릿(Excel)_일반채권_1-3-1. 종목정보" xfId="3785"/>
    <cellStyle name="7_KRX-13-10-컨텐츠명세서-1.1" xfId="183"/>
    <cellStyle name="7_KRX-13-10-컨텐츠명세서-1.1 2" xfId="3786"/>
    <cellStyle name="7_KRX-13-10-컨텐츠명세서-1.1_Sheet1" xfId="184"/>
    <cellStyle name="7_KRX-13-10-컨텐츠명세서-1.1_Sheet1 2" xfId="185"/>
    <cellStyle name="7_KRX-13-10-컨텐츠명세서-1.1_Sheet1 3" xfId="186"/>
    <cellStyle name="7_KRX-13-10-컨텐츠명세서-1.1_Sheet1 4" xfId="187"/>
    <cellStyle name="7_KRX-13-10-컨텐츠명세서-1.1_Sheet1 5" xfId="188"/>
    <cellStyle name="7_KRX-13-10-컨텐츠명세서-1.1_개정이력" xfId="3787"/>
    <cellStyle name="7_KRX-13-10-컨텐츠명세서-1.1_개정이력 10" xfId="3788"/>
    <cellStyle name="7_KRX-13-10-컨텐츠명세서-1.1_개정이력 11" xfId="3789"/>
    <cellStyle name="7_KRX-13-10-컨텐츠명세서-1.1_개정이력 12" xfId="3790"/>
    <cellStyle name="7_KRX-13-10-컨텐츠명세서-1.1_개정이력 13" xfId="3791"/>
    <cellStyle name="7_KRX-13-10-컨텐츠명세서-1.1_개정이력 14" xfId="3792"/>
    <cellStyle name="7_KRX-13-10-컨텐츠명세서-1.1_개정이력 15" xfId="3793"/>
    <cellStyle name="7_KRX-13-10-컨텐츠명세서-1.1_개정이력 16" xfId="3794"/>
    <cellStyle name="7_KRX-13-10-컨텐츠명세서-1.1_개정이력 2" xfId="3795"/>
    <cellStyle name="7_KRX-13-10-컨텐츠명세서-1.1_개정이력 3" xfId="3796"/>
    <cellStyle name="7_KRX-13-10-컨텐츠명세서-1.1_개정이력 4" xfId="3797"/>
    <cellStyle name="7_KRX-13-10-컨텐츠명세서-1.1_개정이력 5" xfId="3798"/>
    <cellStyle name="7_KRX-13-10-컨텐츠명세서-1.1_개정이력 6" xfId="3799"/>
    <cellStyle name="7_KRX-13-10-컨텐츠명세서-1.1_개정이력 7" xfId="3800"/>
    <cellStyle name="7_KRX-13-10-컨텐츠명세서-1.1_개정이력 8" xfId="3801"/>
    <cellStyle name="7_KRX-13-10-컨텐츠명세서-1.1_개정이력 9" xfId="3802"/>
    <cellStyle name="7_KRX-13-10-컨텐츠명세서-1.1_개정이력_REPO_3-2-9. 신고매매체결내역" xfId="3803"/>
    <cellStyle name="7_KRX-13-10-컨텐츠명세서-1.1_개정이력_RMS_4-1-8. 공개정보" xfId="3804"/>
    <cellStyle name="7_KRX-13-10-컨텐츠명세서-1.1_개정이력_개정이력" xfId="3805"/>
    <cellStyle name="7_KRX-13-10-컨텐츠명세서-1.1_개정이력_일반채권_1-1-10.공개정보" xfId="3806"/>
    <cellStyle name="7_KRX-13-10-컨텐츠명세서-1.1_개정이력_일반채권_1-2-4. 종목정보" xfId="3807"/>
    <cellStyle name="7_KRX-13-10-컨텐츠명세서-1.1_일반채권_1-2-6. 시장공개정보" xfId="3808"/>
    <cellStyle name="7_KRX-13-10-컨텐츠명세서-1.1_일반채권_1-3-1. 종목정보" xfId="3809"/>
    <cellStyle name="7_KRX-PM-64-요구사항 추적표-인포티커 시장지-1.3" xfId="189"/>
    <cellStyle name="7_KRX-PM-64-요구사항 추적표-인포티커 시장지-1.3 2" xfId="3810"/>
    <cellStyle name="7_KRX-PM-64-요구사항 추적표-인포티커 시장지-1.3_Sheet1" xfId="190"/>
    <cellStyle name="7_KRX-PM-64-요구사항 추적표-인포티커 시장지-1.3_Sheet1 2" xfId="191"/>
    <cellStyle name="7_KRX-PM-64-요구사항 추적표-인포티커 시장지-1.3_Sheet1 3" xfId="192"/>
    <cellStyle name="7_KRX-PM-64-요구사항 추적표-인포티커 시장지-1.3_Sheet1 4" xfId="193"/>
    <cellStyle name="7_KRX-PM-64-요구사항 추적표-인포티커 시장지-1.3_Sheet1 5" xfId="194"/>
    <cellStyle name="7_KRX-PM-64-요구사항 추적표-인포티커 시장지-1.3_개정이력" xfId="3811"/>
    <cellStyle name="7_KRX-PM-64-요구사항 추적표-인포티커 시장지-1.3_개정이력 10" xfId="3812"/>
    <cellStyle name="7_KRX-PM-64-요구사항 추적표-인포티커 시장지-1.3_개정이력 11" xfId="3813"/>
    <cellStyle name="7_KRX-PM-64-요구사항 추적표-인포티커 시장지-1.3_개정이력 12" xfId="3814"/>
    <cellStyle name="7_KRX-PM-64-요구사항 추적표-인포티커 시장지-1.3_개정이력 13" xfId="3815"/>
    <cellStyle name="7_KRX-PM-64-요구사항 추적표-인포티커 시장지-1.3_개정이력 14" xfId="3816"/>
    <cellStyle name="7_KRX-PM-64-요구사항 추적표-인포티커 시장지-1.3_개정이력 15" xfId="3817"/>
    <cellStyle name="7_KRX-PM-64-요구사항 추적표-인포티커 시장지-1.3_개정이력 16" xfId="3818"/>
    <cellStyle name="7_KRX-PM-64-요구사항 추적표-인포티커 시장지-1.3_개정이력 2" xfId="3819"/>
    <cellStyle name="7_KRX-PM-64-요구사항 추적표-인포티커 시장지-1.3_개정이력 3" xfId="3820"/>
    <cellStyle name="7_KRX-PM-64-요구사항 추적표-인포티커 시장지-1.3_개정이력 4" xfId="3821"/>
    <cellStyle name="7_KRX-PM-64-요구사항 추적표-인포티커 시장지-1.3_개정이력 5" xfId="3822"/>
    <cellStyle name="7_KRX-PM-64-요구사항 추적표-인포티커 시장지-1.3_개정이력 6" xfId="3823"/>
    <cellStyle name="7_KRX-PM-64-요구사항 추적표-인포티커 시장지-1.3_개정이력 7" xfId="3824"/>
    <cellStyle name="7_KRX-PM-64-요구사항 추적표-인포티커 시장지-1.3_개정이력 8" xfId="3825"/>
    <cellStyle name="7_KRX-PM-64-요구사항 추적표-인포티커 시장지-1.3_개정이력 9" xfId="3826"/>
    <cellStyle name="7_KRX-PM-64-요구사항 추적표-인포티커 시장지-1.3_개정이력_REPO_3-2-9. 신고매매체결내역" xfId="3827"/>
    <cellStyle name="7_KRX-PM-64-요구사항 추적표-인포티커 시장지-1.3_개정이력_RMS_4-1-8. 공개정보" xfId="3828"/>
    <cellStyle name="7_KRX-PM-64-요구사항 추적표-인포티커 시장지-1.3_개정이력_개정이력" xfId="3829"/>
    <cellStyle name="7_KRX-PM-64-요구사항 추적표-인포티커 시장지-1.3_개정이력_일반채권_1-1-10.공개정보" xfId="3830"/>
    <cellStyle name="7_KRX-PM-64-요구사항 추적표-인포티커 시장지-1.3_개정이력_일반채권_1-2-4. 종목정보" xfId="3831"/>
    <cellStyle name="7_KRX-PM-64-요구사항 추적표-인포티커 시장지-1.3_일반채권_1-2-6. 시장공개정보" xfId="3832"/>
    <cellStyle name="7_KRX-PM-64-요구사항 추적표-인포티커 시장지-1.3_일반채권_1-3-1. 종목정보" xfId="3833"/>
    <cellStyle name="7_PMO-QA-CK-070319(홈페이지 요구사항 추적표)_V1.0" xfId="195"/>
    <cellStyle name="7_PMO-QA-CK-070319(홈페이지 요구사항 추적표)_V1.0 2" xfId="3834"/>
    <cellStyle name="7_PMO-QA-CK-070319(홈페이지 요구사항 추적표)_V1.0_Sheet1" xfId="196"/>
    <cellStyle name="7_PMO-QA-CK-070319(홈페이지 요구사항 추적표)_V1.0_Sheet1 2" xfId="197"/>
    <cellStyle name="7_PMO-QA-CK-070319(홈페이지 요구사항 추적표)_V1.0_Sheet1 3" xfId="198"/>
    <cellStyle name="7_PMO-QA-CK-070319(홈페이지 요구사항 추적표)_V1.0_Sheet1 4" xfId="199"/>
    <cellStyle name="7_PMO-QA-CK-070319(홈페이지 요구사항 추적표)_V1.0_Sheet1 5" xfId="200"/>
    <cellStyle name="7_PMO-QA-CK-070319(홈페이지 요구사항 추적표)_V1.0_개정이력" xfId="3835"/>
    <cellStyle name="7_PMO-QA-CK-070319(홈페이지 요구사항 추적표)_V1.0_개정이력 10" xfId="3836"/>
    <cellStyle name="7_PMO-QA-CK-070319(홈페이지 요구사항 추적표)_V1.0_개정이력 11" xfId="3837"/>
    <cellStyle name="7_PMO-QA-CK-070319(홈페이지 요구사항 추적표)_V1.0_개정이력 12" xfId="3838"/>
    <cellStyle name="7_PMO-QA-CK-070319(홈페이지 요구사항 추적표)_V1.0_개정이력 13" xfId="3839"/>
    <cellStyle name="7_PMO-QA-CK-070319(홈페이지 요구사항 추적표)_V1.0_개정이력 14" xfId="3840"/>
    <cellStyle name="7_PMO-QA-CK-070319(홈페이지 요구사항 추적표)_V1.0_개정이력 15" xfId="3841"/>
    <cellStyle name="7_PMO-QA-CK-070319(홈페이지 요구사항 추적표)_V1.0_개정이력 16" xfId="3842"/>
    <cellStyle name="7_PMO-QA-CK-070319(홈페이지 요구사항 추적표)_V1.0_개정이력 2" xfId="3843"/>
    <cellStyle name="7_PMO-QA-CK-070319(홈페이지 요구사항 추적표)_V1.0_개정이력 3" xfId="3844"/>
    <cellStyle name="7_PMO-QA-CK-070319(홈페이지 요구사항 추적표)_V1.0_개정이력 4" xfId="3845"/>
    <cellStyle name="7_PMO-QA-CK-070319(홈페이지 요구사항 추적표)_V1.0_개정이력 5" xfId="3846"/>
    <cellStyle name="7_PMO-QA-CK-070319(홈페이지 요구사항 추적표)_V1.0_개정이력 6" xfId="3847"/>
    <cellStyle name="7_PMO-QA-CK-070319(홈페이지 요구사항 추적표)_V1.0_개정이력 7" xfId="3848"/>
    <cellStyle name="7_PMO-QA-CK-070319(홈페이지 요구사항 추적표)_V1.0_개정이력 8" xfId="3849"/>
    <cellStyle name="7_PMO-QA-CK-070319(홈페이지 요구사항 추적표)_V1.0_개정이력 9" xfId="3850"/>
    <cellStyle name="7_PMO-QA-CK-070319(홈페이지 요구사항 추적표)_V1.0_개정이력_REPO_3-2-9. 신고매매체결내역" xfId="3851"/>
    <cellStyle name="7_PMO-QA-CK-070319(홈페이지 요구사항 추적표)_V1.0_개정이력_RMS_4-1-8. 공개정보" xfId="3852"/>
    <cellStyle name="7_PMO-QA-CK-070319(홈페이지 요구사항 추적표)_V1.0_개정이력_개정이력" xfId="3853"/>
    <cellStyle name="7_PMO-QA-CK-070319(홈페이지 요구사항 추적표)_V1.0_개정이력_일반채권_1-1-10.공개정보" xfId="3854"/>
    <cellStyle name="7_PMO-QA-CK-070319(홈페이지 요구사항 추적표)_V1.0_개정이력_일반채권_1-2-4. 종목정보" xfId="3855"/>
    <cellStyle name="7_PMO-QA-CK-070319(홈페이지 요구사항 추적표)_V1.0_일반채권_1-2-6. 시장공개정보" xfId="3856"/>
    <cellStyle name="7_PMO-QA-CK-070319(홈페이지 요구사항 추적표)_V1.0_일반채권_1-3-1. 종목정보" xfId="3857"/>
    <cellStyle name="7_Sheet1" xfId="201"/>
    <cellStyle name="7_Sheet1 2" xfId="202"/>
    <cellStyle name="7_Sheet1 3" xfId="203"/>
    <cellStyle name="7_Sheet1 4" xfId="204"/>
    <cellStyle name="7_Sheet1 5" xfId="205"/>
    <cellStyle name="7_개정이력" xfId="3858"/>
    <cellStyle name="7_개정이력 10" xfId="3859"/>
    <cellStyle name="7_개정이력 11" xfId="3860"/>
    <cellStyle name="7_개정이력 12" xfId="3861"/>
    <cellStyle name="7_개정이력 13" xfId="3862"/>
    <cellStyle name="7_개정이력 14" xfId="3863"/>
    <cellStyle name="7_개정이력 15" xfId="3864"/>
    <cellStyle name="7_개정이력 16" xfId="3865"/>
    <cellStyle name="7_개정이력 2" xfId="3866"/>
    <cellStyle name="7_개정이력 3" xfId="3867"/>
    <cellStyle name="7_개정이력 4" xfId="3868"/>
    <cellStyle name="7_개정이력 5" xfId="3869"/>
    <cellStyle name="7_개정이력 6" xfId="3870"/>
    <cellStyle name="7_개정이력 7" xfId="3871"/>
    <cellStyle name="7_개정이력 8" xfId="3872"/>
    <cellStyle name="7_개정이력 9" xfId="3873"/>
    <cellStyle name="7_개정이력_REPO_3-2-9. 신고매매체결내역" xfId="3874"/>
    <cellStyle name="7_개정이력_RMS_4-1-8. 공개정보" xfId="3875"/>
    <cellStyle name="7_개정이력_개정이력" xfId="3876"/>
    <cellStyle name="7_개정이력_일반채권_1-1-10.공개정보" xfId="3877"/>
    <cellStyle name="7_개정이력_일반채권_1-2-4. 종목정보" xfId="3878"/>
    <cellStyle name="7_동부정보기술 결산부속명세(자산편)" xfId="206"/>
    <cellStyle name="7_동부정보기술 결산부속명세(자산편) 2" xfId="3879"/>
    <cellStyle name="7_동부정보기술 결산부속명세(자산편)_2320_BW_1_PI정의서_CO(1(1).0)_review_0615(계승효)" xfId="207"/>
    <cellStyle name="7_동부정보기술 결산부속명세(자산편)_2320_BW_1_PI정의서_CO(1(1).0)_review_0615(계승효) 2" xfId="3880"/>
    <cellStyle name="7_동부정보기술 결산부속명세(자산편)_2320_BW_1_PI정의서_CO(1(1).0)_review_0615(계승효)_KRX-13-10-컨텐츠명세서-1.1" xfId="208"/>
    <cellStyle name="7_동부정보기술 결산부속명세(자산편)_2320_BW_1_PI정의서_CO(1(1).0)_review_0615(계승효)_KRX-13-10-컨텐츠명세서-1.1 2" xfId="3881"/>
    <cellStyle name="7_동부정보기술 결산부속명세(자산편)_2320_BW_1_PI정의서_CO(1(1).0)_review_0615(계승효)_KRX-13-10-컨텐츠명세서-1.1_Sheet1" xfId="209"/>
    <cellStyle name="7_동부정보기술 결산부속명세(자산편)_2320_BW_1_PI정의서_CO(1(1).0)_review_0615(계승효)_KRX-13-10-컨텐츠명세서-1.1_Sheet1 2" xfId="210"/>
    <cellStyle name="7_동부정보기술 결산부속명세(자산편)_2320_BW_1_PI정의서_CO(1(1).0)_review_0615(계승효)_KRX-13-10-컨텐츠명세서-1.1_Sheet1 3" xfId="211"/>
    <cellStyle name="7_동부정보기술 결산부속명세(자산편)_2320_BW_1_PI정의서_CO(1(1).0)_review_0615(계승효)_KRX-13-10-컨텐츠명세서-1.1_Sheet1 4" xfId="212"/>
    <cellStyle name="7_동부정보기술 결산부속명세(자산편)_2320_BW_1_PI정의서_CO(1(1).0)_review_0615(계승효)_KRX-13-10-컨텐츠명세서-1.1_Sheet1 5" xfId="213"/>
    <cellStyle name="7_동부정보기술 결산부속명세(자산편)_2320_BW_1_PI정의서_CO(1(1).0)_review_0615(계승효)_KRX-13-10-컨텐츠명세서-1.1_개정이력" xfId="3882"/>
    <cellStyle name="7_동부정보기술 결산부속명세(자산편)_2320_BW_1_PI정의서_CO(1(1).0)_review_0615(계승효)_KRX-13-10-컨텐츠명세서-1.1_개정이력 10" xfId="3883"/>
    <cellStyle name="7_동부정보기술 결산부속명세(자산편)_2320_BW_1_PI정의서_CO(1(1).0)_review_0615(계승효)_KRX-13-10-컨텐츠명세서-1.1_개정이력 11" xfId="3884"/>
    <cellStyle name="7_동부정보기술 결산부속명세(자산편)_2320_BW_1_PI정의서_CO(1(1).0)_review_0615(계승효)_KRX-13-10-컨텐츠명세서-1.1_개정이력 12" xfId="3885"/>
    <cellStyle name="7_동부정보기술 결산부속명세(자산편)_2320_BW_1_PI정의서_CO(1(1).0)_review_0615(계승효)_KRX-13-10-컨텐츠명세서-1.1_개정이력 13" xfId="3886"/>
    <cellStyle name="7_동부정보기술 결산부속명세(자산편)_2320_BW_1_PI정의서_CO(1(1).0)_review_0615(계승효)_KRX-13-10-컨텐츠명세서-1.1_개정이력 14" xfId="3887"/>
    <cellStyle name="7_동부정보기술 결산부속명세(자산편)_2320_BW_1_PI정의서_CO(1(1).0)_review_0615(계승효)_KRX-13-10-컨텐츠명세서-1.1_개정이력 15" xfId="3888"/>
    <cellStyle name="7_동부정보기술 결산부속명세(자산편)_2320_BW_1_PI정의서_CO(1(1).0)_review_0615(계승효)_KRX-13-10-컨텐츠명세서-1.1_개정이력 16" xfId="3889"/>
    <cellStyle name="7_동부정보기술 결산부속명세(자산편)_2320_BW_1_PI정의서_CO(1(1).0)_review_0615(계승효)_KRX-13-10-컨텐츠명세서-1.1_개정이력 2" xfId="3890"/>
    <cellStyle name="7_동부정보기술 결산부속명세(자산편)_2320_BW_1_PI정의서_CO(1(1).0)_review_0615(계승효)_KRX-13-10-컨텐츠명세서-1.1_개정이력 3" xfId="3891"/>
    <cellStyle name="7_동부정보기술 결산부속명세(자산편)_2320_BW_1_PI정의서_CO(1(1).0)_review_0615(계승효)_KRX-13-10-컨텐츠명세서-1.1_개정이력 4" xfId="3892"/>
    <cellStyle name="7_동부정보기술 결산부속명세(자산편)_2320_BW_1_PI정의서_CO(1(1).0)_review_0615(계승효)_KRX-13-10-컨텐츠명세서-1.1_개정이력 5" xfId="3893"/>
    <cellStyle name="7_동부정보기술 결산부속명세(자산편)_2320_BW_1_PI정의서_CO(1(1).0)_review_0615(계승효)_KRX-13-10-컨텐츠명세서-1.1_개정이력 6" xfId="3894"/>
    <cellStyle name="7_동부정보기술 결산부속명세(자산편)_2320_BW_1_PI정의서_CO(1(1).0)_review_0615(계승효)_KRX-13-10-컨텐츠명세서-1.1_개정이력 7" xfId="3895"/>
    <cellStyle name="7_동부정보기술 결산부속명세(자산편)_2320_BW_1_PI정의서_CO(1(1).0)_review_0615(계승효)_KRX-13-10-컨텐츠명세서-1.1_개정이력 8" xfId="3896"/>
    <cellStyle name="7_동부정보기술 결산부속명세(자산편)_2320_BW_1_PI정의서_CO(1(1).0)_review_0615(계승효)_KRX-13-10-컨텐츠명세서-1.1_개정이력 9" xfId="3897"/>
    <cellStyle name="7_동부정보기술 결산부속명세(자산편)_2320_BW_1_PI정의서_CO(1(1).0)_review_0615(계승효)_KRX-13-10-컨텐츠명세서-1.1_개정이력_REPO_3-2-9. 신고매매체결내역" xfId="3898"/>
    <cellStyle name="7_동부정보기술 결산부속명세(자산편)_2320_BW_1_PI정의서_CO(1(1).0)_review_0615(계승효)_KRX-13-10-컨텐츠명세서-1.1_개정이력_RMS_4-1-8. 공개정보" xfId="3899"/>
    <cellStyle name="7_동부정보기술 결산부속명세(자산편)_2320_BW_1_PI정의서_CO(1(1).0)_review_0615(계승효)_KRX-13-10-컨텐츠명세서-1.1_개정이력_개정이력" xfId="3900"/>
    <cellStyle name="7_동부정보기술 결산부속명세(자산편)_2320_BW_1_PI정의서_CO(1(1).0)_review_0615(계승효)_KRX-13-10-컨텐츠명세서-1.1_개정이력_일반채권_1-1-10.공개정보" xfId="3901"/>
    <cellStyle name="7_동부정보기술 결산부속명세(자산편)_2320_BW_1_PI정의서_CO(1(1).0)_review_0615(계승효)_KRX-13-10-컨텐츠명세서-1.1_개정이력_일반채권_1-2-4. 종목정보" xfId="3902"/>
    <cellStyle name="7_동부정보기술 결산부속명세(자산편)_2320_BW_1_PI정의서_CO(1(1).0)_review_0615(계승효)_KRX-13-10-컨텐츠명세서-1.1_일반채권_1-2-6. 시장공개정보" xfId="3903"/>
    <cellStyle name="7_동부정보기술 결산부속명세(자산편)_2320_BW_1_PI정의서_CO(1(1).0)_review_0615(계승효)_KRX-13-10-컨텐츠명세서-1.1_일반채권_1-3-1. 종목정보" xfId="3904"/>
    <cellStyle name="7_동부정보기술 결산부속명세(자산편)_2320_BW_1_PI정의서_CO(1(1).0)_review_0615(계승효)_KRX-PM-64-요구사항 추적표-인포티커 시장지-1.3" xfId="214"/>
    <cellStyle name="7_동부정보기술 결산부속명세(자산편)_2320_BW_1_PI정의서_CO(1(1).0)_review_0615(계승효)_KRX-PM-64-요구사항 추적표-인포티커 시장지-1.3 2" xfId="3905"/>
    <cellStyle name="7_동부정보기술 결산부속명세(자산편)_2320_BW_1_PI정의서_CO(1(1).0)_review_0615(계승효)_KRX-PM-64-요구사항 추적표-인포티커 시장지-1.3_Sheet1" xfId="215"/>
    <cellStyle name="7_동부정보기술 결산부속명세(자산편)_2320_BW_1_PI정의서_CO(1(1).0)_review_0615(계승효)_KRX-PM-64-요구사항 추적표-인포티커 시장지-1.3_Sheet1 2" xfId="216"/>
    <cellStyle name="7_동부정보기술 결산부속명세(자산편)_2320_BW_1_PI정의서_CO(1(1).0)_review_0615(계승효)_KRX-PM-64-요구사항 추적표-인포티커 시장지-1.3_Sheet1 3" xfId="217"/>
    <cellStyle name="7_동부정보기술 결산부속명세(자산편)_2320_BW_1_PI정의서_CO(1(1).0)_review_0615(계승효)_KRX-PM-64-요구사항 추적표-인포티커 시장지-1.3_Sheet1 4" xfId="218"/>
    <cellStyle name="7_동부정보기술 결산부속명세(자산편)_2320_BW_1_PI정의서_CO(1(1).0)_review_0615(계승효)_KRX-PM-64-요구사항 추적표-인포티커 시장지-1.3_Sheet1 5" xfId="219"/>
    <cellStyle name="7_동부정보기술 결산부속명세(자산편)_2320_BW_1_PI정의서_CO(1(1).0)_review_0615(계승효)_KRX-PM-64-요구사항 추적표-인포티커 시장지-1.3_개정이력" xfId="3906"/>
    <cellStyle name="7_동부정보기술 결산부속명세(자산편)_2320_BW_1_PI정의서_CO(1(1).0)_review_0615(계승효)_KRX-PM-64-요구사항 추적표-인포티커 시장지-1.3_개정이력 10" xfId="3907"/>
    <cellStyle name="7_동부정보기술 결산부속명세(자산편)_2320_BW_1_PI정의서_CO(1(1).0)_review_0615(계승효)_KRX-PM-64-요구사항 추적표-인포티커 시장지-1.3_개정이력 11" xfId="3908"/>
    <cellStyle name="7_동부정보기술 결산부속명세(자산편)_2320_BW_1_PI정의서_CO(1(1).0)_review_0615(계승효)_KRX-PM-64-요구사항 추적표-인포티커 시장지-1.3_개정이력 12" xfId="3909"/>
    <cellStyle name="7_동부정보기술 결산부속명세(자산편)_2320_BW_1_PI정의서_CO(1(1).0)_review_0615(계승효)_KRX-PM-64-요구사항 추적표-인포티커 시장지-1.3_개정이력 13" xfId="3910"/>
    <cellStyle name="7_동부정보기술 결산부속명세(자산편)_2320_BW_1_PI정의서_CO(1(1).0)_review_0615(계승효)_KRX-PM-64-요구사항 추적표-인포티커 시장지-1.3_개정이력 14" xfId="3911"/>
    <cellStyle name="7_동부정보기술 결산부속명세(자산편)_2320_BW_1_PI정의서_CO(1(1).0)_review_0615(계승효)_KRX-PM-64-요구사항 추적표-인포티커 시장지-1.3_개정이력 15" xfId="3912"/>
    <cellStyle name="7_동부정보기술 결산부속명세(자산편)_2320_BW_1_PI정의서_CO(1(1).0)_review_0615(계승효)_KRX-PM-64-요구사항 추적표-인포티커 시장지-1.3_개정이력 16" xfId="3913"/>
    <cellStyle name="7_동부정보기술 결산부속명세(자산편)_2320_BW_1_PI정의서_CO(1(1).0)_review_0615(계승효)_KRX-PM-64-요구사항 추적표-인포티커 시장지-1.3_개정이력 2" xfId="3914"/>
    <cellStyle name="7_동부정보기술 결산부속명세(자산편)_2320_BW_1_PI정의서_CO(1(1).0)_review_0615(계승효)_KRX-PM-64-요구사항 추적표-인포티커 시장지-1.3_개정이력 3" xfId="3915"/>
    <cellStyle name="7_동부정보기술 결산부속명세(자산편)_2320_BW_1_PI정의서_CO(1(1).0)_review_0615(계승효)_KRX-PM-64-요구사항 추적표-인포티커 시장지-1.3_개정이력 4" xfId="3916"/>
    <cellStyle name="7_동부정보기술 결산부속명세(자산편)_2320_BW_1_PI정의서_CO(1(1).0)_review_0615(계승효)_KRX-PM-64-요구사항 추적표-인포티커 시장지-1.3_개정이력 5" xfId="3917"/>
    <cellStyle name="7_동부정보기술 결산부속명세(자산편)_2320_BW_1_PI정의서_CO(1(1).0)_review_0615(계승효)_KRX-PM-64-요구사항 추적표-인포티커 시장지-1.3_개정이력 6" xfId="3918"/>
    <cellStyle name="7_동부정보기술 결산부속명세(자산편)_2320_BW_1_PI정의서_CO(1(1).0)_review_0615(계승효)_KRX-PM-64-요구사항 추적표-인포티커 시장지-1.3_개정이력 7" xfId="3919"/>
    <cellStyle name="7_동부정보기술 결산부속명세(자산편)_2320_BW_1_PI정의서_CO(1(1).0)_review_0615(계승효)_KRX-PM-64-요구사항 추적표-인포티커 시장지-1.3_개정이력 8" xfId="3920"/>
    <cellStyle name="7_동부정보기술 결산부속명세(자산편)_2320_BW_1_PI정의서_CO(1(1).0)_review_0615(계승효)_KRX-PM-64-요구사항 추적표-인포티커 시장지-1.3_개정이력 9" xfId="3921"/>
    <cellStyle name="7_동부정보기술 결산부속명세(자산편)_2320_BW_1_PI정의서_CO(1(1).0)_review_0615(계승효)_KRX-PM-64-요구사항 추적표-인포티커 시장지-1.3_개정이력_REPO_3-2-9. 신고매매체결내역" xfId="3922"/>
    <cellStyle name="7_동부정보기술 결산부속명세(자산편)_2320_BW_1_PI정의서_CO(1(1).0)_review_0615(계승효)_KRX-PM-64-요구사항 추적표-인포티커 시장지-1.3_개정이력_RMS_4-1-8. 공개정보" xfId="3923"/>
    <cellStyle name="7_동부정보기술 결산부속명세(자산편)_2320_BW_1_PI정의서_CO(1(1).0)_review_0615(계승효)_KRX-PM-64-요구사항 추적표-인포티커 시장지-1.3_개정이력_개정이력" xfId="3924"/>
    <cellStyle name="7_동부정보기술 결산부속명세(자산편)_2320_BW_1_PI정의서_CO(1(1).0)_review_0615(계승효)_KRX-PM-64-요구사항 추적표-인포티커 시장지-1.3_개정이력_일반채권_1-1-10.공개정보" xfId="3925"/>
    <cellStyle name="7_동부정보기술 결산부속명세(자산편)_2320_BW_1_PI정의서_CO(1(1).0)_review_0615(계승효)_KRX-PM-64-요구사항 추적표-인포티커 시장지-1.3_개정이력_일반채권_1-2-4. 종목정보" xfId="3926"/>
    <cellStyle name="7_동부정보기술 결산부속명세(자산편)_2320_BW_1_PI정의서_CO(1(1).0)_review_0615(계승효)_KRX-PM-64-요구사항 추적표-인포티커 시장지-1.3_일반채권_1-2-6. 시장공개정보" xfId="3927"/>
    <cellStyle name="7_동부정보기술 결산부속명세(자산편)_2320_BW_1_PI정의서_CO(1(1).0)_review_0615(계승효)_KRX-PM-64-요구사항 추적표-인포티커 시장지-1.3_일반채권_1-3-1. 종목정보" xfId="3928"/>
    <cellStyle name="7_동부정보기술 결산부속명세(자산편)_2320_BW_1_PI정의서_CO(1(1).0)_review_0615(계승효)_PMO-QA-CK-070319(홈페이지 요구사항 추적표)_V1.0" xfId="220"/>
    <cellStyle name="7_동부정보기술 결산부속명세(자산편)_2320_BW_1_PI정의서_CO(1(1).0)_review_0615(계승효)_PMO-QA-CK-070319(홈페이지 요구사항 추적표)_V1.0 2" xfId="3929"/>
    <cellStyle name="7_동부정보기술 결산부속명세(자산편)_2320_BW_1_PI정의서_CO(1(1).0)_review_0615(계승효)_PMO-QA-CK-070319(홈페이지 요구사항 추적표)_V1.0_Sheet1" xfId="221"/>
    <cellStyle name="7_동부정보기술 결산부속명세(자산편)_2320_BW_1_PI정의서_CO(1(1).0)_review_0615(계승효)_PMO-QA-CK-070319(홈페이지 요구사항 추적표)_V1.0_Sheet1 2" xfId="222"/>
    <cellStyle name="7_동부정보기술 결산부속명세(자산편)_2320_BW_1_PI정의서_CO(1(1).0)_review_0615(계승효)_PMO-QA-CK-070319(홈페이지 요구사항 추적표)_V1.0_Sheet1 3" xfId="223"/>
    <cellStyle name="7_동부정보기술 결산부속명세(자산편)_2320_BW_1_PI정의서_CO(1(1).0)_review_0615(계승효)_PMO-QA-CK-070319(홈페이지 요구사항 추적표)_V1.0_Sheet1 4" xfId="224"/>
    <cellStyle name="7_동부정보기술 결산부속명세(자산편)_2320_BW_1_PI정의서_CO(1(1).0)_review_0615(계승효)_PMO-QA-CK-070319(홈페이지 요구사항 추적표)_V1.0_Sheet1 5" xfId="225"/>
    <cellStyle name="7_동부정보기술 결산부속명세(자산편)_2320_BW_1_PI정의서_CO(1(1).0)_review_0615(계승효)_PMO-QA-CK-070319(홈페이지 요구사항 추적표)_V1.0_개정이력" xfId="3930"/>
    <cellStyle name="7_동부정보기술 결산부속명세(자산편)_2320_BW_1_PI정의서_CO(1(1).0)_review_0615(계승효)_PMO-QA-CK-070319(홈페이지 요구사항 추적표)_V1.0_개정이력 10" xfId="3931"/>
    <cellStyle name="7_동부정보기술 결산부속명세(자산편)_2320_BW_1_PI정의서_CO(1(1).0)_review_0615(계승효)_PMO-QA-CK-070319(홈페이지 요구사항 추적표)_V1.0_개정이력 11" xfId="3932"/>
    <cellStyle name="7_동부정보기술 결산부속명세(자산편)_2320_BW_1_PI정의서_CO(1(1).0)_review_0615(계승효)_PMO-QA-CK-070319(홈페이지 요구사항 추적표)_V1.0_개정이력 12" xfId="3933"/>
    <cellStyle name="7_동부정보기술 결산부속명세(자산편)_2320_BW_1_PI정의서_CO(1(1).0)_review_0615(계승효)_PMO-QA-CK-070319(홈페이지 요구사항 추적표)_V1.0_개정이력 13" xfId="3934"/>
    <cellStyle name="7_동부정보기술 결산부속명세(자산편)_2320_BW_1_PI정의서_CO(1(1).0)_review_0615(계승효)_PMO-QA-CK-070319(홈페이지 요구사항 추적표)_V1.0_개정이력 14" xfId="3935"/>
    <cellStyle name="7_동부정보기술 결산부속명세(자산편)_2320_BW_1_PI정의서_CO(1(1).0)_review_0615(계승효)_PMO-QA-CK-070319(홈페이지 요구사항 추적표)_V1.0_개정이력 15" xfId="3936"/>
    <cellStyle name="7_동부정보기술 결산부속명세(자산편)_2320_BW_1_PI정의서_CO(1(1).0)_review_0615(계승효)_PMO-QA-CK-070319(홈페이지 요구사항 추적표)_V1.0_개정이력 16" xfId="3937"/>
    <cellStyle name="7_동부정보기술 결산부속명세(자산편)_2320_BW_1_PI정의서_CO(1(1).0)_review_0615(계승효)_PMO-QA-CK-070319(홈페이지 요구사항 추적표)_V1.0_개정이력 2" xfId="3938"/>
    <cellStyle name="7_동부정보기술 결산부속명세(자산편)_2320_BW_1_PI정의서_CO(1(1).0)_review_0615(계승효)_PMO-QA-CK-070319(홈페이지 요구사항 추적표)_V1.0_개정이력 3" xfId="3939"/>
    <cellStyle name="7_동부정보기술 결산부속명세(자산편)_2320_BW_1_PI정의서_CO(1(1).0)_review_0615(계승효)_PMO-QA-CK-070319(홈페이지 요구사항 추적표)_V1.0_개정이력 4" xfId="3940"/>
    <cellStyle name="7_동부정보기술 결산부속명세(자산편)_2320_BW_1_PI정의서_CO(1(1).0)_review_0615(계승효)_PMO-QA-CK-070319(홈페이지 요구사항 추적표)_V1.0_개정이력 5" xfId="3941"/>
    <cellStyle name="7_동부정보기술 결산부속명세(자산편)_2320_BW_1_PI정의서_CO(1(1).0)_review_0615(계승효)_PMO-QA-CK-070319(홈페이지 요구사항 추적표)_V1.0_개정이력 6" xfId="3942"/>
    <cellStyle name="7_동부정보기술 결산부속명세(자산편)_2320_BW_1_PI정의서_CO(1(1).0)_review_0615(계승효)_PMO-QA-CK-070319(홈페이지 요구사항 추적표)_V1.0_개정이력 7" xfId="3943"/>
    <cellStyle name="7_동부정보기술 결산부속명세(자산편)_2320_BW_1_PI정의서_CO(1(1).0)_review_0615(계승효)_PMO-QA-CK-070319(홈페이지 요구사항 추적표)_V1.0_개정이력 8" xfId="3944"/>
    <cellStyle name="7_동부정보기술 결산부속명세(자산편)_2320_BW_1_PI정의서_CO(1(1).0)_review_0615(계승효)_PMO-QA-CK-070319(홈페이지 요구사항 추적표)_V1.0_개정이력 9" xfId="3945"/>
    <cellStyle name="7_동부정보기술 결산부속명세(자산편)_2320_BW_1_PI정의서_CO(1(1).0)_review_0615(계승효)_PMO-QA-CK-070319(홈페이지 요구사항 추적표)_V1.0_개정이력_REPO_3-2-9. 신고매매체결내역" xfId="3946"/>
    <cellStyle name="7_동부정보기술 결산부속명세(자산편)_2320_BW_1_PI정의서_CO(1(1).0)_review_0615(계승효)_PMO-QA-CK-070319(홈페이지 요구사항 추적표)_V1.0_개정이력_RMS_4-1-8. 공개정보" xfId="3947"/>
    <cellStyle name="7_동부정보기술 결산부속명세(자산편)_2320_BW_1_PI정의서_CO(1(1).0)_review_0615(계승효)_PMO-QA-CK-070319(홈페이지 요구사항 추적표)_V1.0_개정이력_개정이력" xfId="3948"/>
    <cellStyle name="7_동부정보기술 결산부속명세(자산편)_2320_BW_1_PI정의서_CO(1(1).0)_review_0615(계승효)_PMO-QA-CK-070319(홈페이지 요구사항 추적표)_V1.0_개정이력_일반채권_1-1-10.공개정보" xfId="3949"/>
    <cellStyle name="7_동부정보기술 결산부속명세(자산편)_2320_BW_1_PI정의서_CO(1(1).0)_review_0615(계승효)_PMO-QA-CK-070319(홈페이지 요구사항 추적표)_V1.0_개정이력_일반채권_1-2-4. 종목정보" xfId="3950"/>
    <cellStyle name="7_동부정보기술 결산부속명세(자산편)_2320_BW_1_PI정의서_CO(1(1).0)_review_0615(계승효)_PMO-QA-CK-070319(홈페이지 요구사항 추적표)_V1.0_일반채권_1-2-6. 시장공개정보" xfId="3951"/>
    <cellStyle name="7_동부정보기술 결산부속명세(자산편)_2320_BW_1_PI정의서_CO(1(1).0)_review_0615(계승효)_PMO-QA-CK-070319(홈페이지 요구사항 추적표)_V1.0_일반채권_1-3-1. 종목정보" xfId="3952"/>
    <cellStyle name="7_동부정보기술 결산부속명세(자산편)_2320_BW_1_PI정의서_CO(1(1).0)_review_0615(계승효)_Sheet1" xfId="226"/>
    <cellStyle name="7_동부정보기술 결산부속명세(자산편)_2320_BW_1_PI정의서_CO(1(1).0)_review_0615(계승효)_Sheet1 2" xfId="227"/>
    <cellStyle name="7_동부정보기술 결산부속명세(자산편)_2320_BW_1_PI정의서_CO(1(1).0)_review_0615(계승효)_Sheet1 3" xfId="228"/>
    <cellStyle name="7_동부정보기술 결산부속명세(자산편)_2320_BW_1_PI정의서_CO(1(1).0)_review_0615(계승효)_Sheet1 4" xfId="229"/>
    <cellStyle name="7_동부정보기술 결산부속명세(자산편)_2320_BW_1_PI정의서_CO(1(1).0)_review_0615(계승효)_Sheet1 5" xfId="230"/>
    <cellStyle name="7_동부정보기술 결산부속명세(자산편)_2320_BW_1_PI정의서_CO(1(1).0)_review_0615(계승효)_개정이력" xfId="3953"/>
    <cellStyle name="7_동부정보기술 결산부속명세(자산편)_2320_BW_1_PI정의서_CO(1(1).0)_review_0615(계승효)_개정이력 10" xfId="3954"/>
    <cellStyle name="7_동부정보기술 결산부속명세(자산편)_2320_BW_1_PI정의서_CO(1(1).0)_review_0615(계승효)_개정이력 11" xfId="3955"/>
    <cellStyle name="7_동부정보기술 결산부속명세(자산편)_2320_BW_1_PI정의서_CO(1(1).0)_review_0615(계승효)_개정이력 12" xfId="3956"/>
    <cellStyle name="7_동부정보기술 결산부속명세(자산편)_2320_BW_1_PI정의서_CO(1(1).0)_review_0615(계승효)_개정이력 13" xfId="3957"/>
    <cellStyle name="7_동부정보기술 결산부속명세(자산편)_2320_BW_1_PI정의서_CO(1(1).0)_review_0615(계승효)_개정이력 14" xfId="3958"/>
    <cellStyle name="7_동부정보기술 결산부속명세(자산편)_2320_BW_1_PI정의서_CO(1(1).0)_review_0615(계승효)_개정이력 15" xfId="3959"/>
    <cellStyle name="7_동부정보기술 결산부속명세(자산편)_2320_BW_1_PI정의서_CO(1(1).0)_review_0615(계승효)_개정이력 16" xfId="3960"/>
    <cellStyle name="7_동부정보기술 결산부속명세(자산편)_2320_BW_1_PI정의서_CO(1(1).0)_review_0615(계승효)_개정이력 2" xfId="3961"/>
    <cellStyle name="7_동부정보기술 결산부속명세(자산편)_2320_BW_1_PI정의서_CO(1(1).0)_review_0615(계승효)_개정이력 3" xfId="3962"/>
    <cellStyle name="7_동부정보기술 결산부속명세(자산편)_2320_BW_1_PI정의서_CO(1(1).0)_review_0615(계승효)_개정이력 4" xfId="3963"/>
    <cellStyle name="7_동부정보기술 결산부속명세(자산편)_2320_BW_1_PI정의서_CO(1(1).0)_review_0615(계승효)_개정이력 5" xfId="3964"/>
    <cellStyle name="7_동부정보기술 결산부속명세(자산편)_2320_BW_1_PI정의서_CO(1(1).0)_review_0615(계승효)_개정이력 6" xfId="3965"/>
    <cellStyle name="7_동부정보기술 결산부속명세(자산편)_2320_BW_1_PI정의서_CO(1(1).0)_review_0615(계승효)_개정이력 7" xfId="3966"/>
    <cellStyle name="7_동부정보기술 결산부속명세(자산편)_2320_BW_1_PI정의서_CO(1(1).0)_review_0615(계승효)_개정이력 8" xfId="3967"/>
    <cellStyle name="7_동부정보기술 결산부속명세(자산편)_2320_BW_1_PI정의서_CO(1(1).0)_review_0615(계승효)_개정이력 9" xfId="3968"/>
    <cellStyle name="7_동부정보기술 결산부속명세(자산편)_2320_BW_1_PI정의서_CO(1(1).0)_review_0615(계승효)_개정이력_REPO_3-2-9. 신고매매체결내역" xfId="3969"/>
    <cellStyle name="7_동부정보기술 결산부속명세(자산편)_2320_BW_1_PI정의서_CO(1(1).0)_review_0615(계승효)_개정이력_RMS_4-1-8. 공개정보" xfId="3970"/>
    <cellStyle name="7_동부정보기술 결산부속명세(자산편)_2320_BW_1_PI정의서_CO(1(1).0)_review_0615(계승효)_개정이력_개정이력" xfId="3971"/>
    <cellStyle name="7_동부정보기술 결산부속명세(자산편)_2320_BW_1_PI정의서_CO(1(1).0)_review_0615(계승효)_개정이력_일반채권_1-1-10.공개정보" xfId="3972"/>
    <cellStyle name="7_동부정보기술 결산부속명세(자산편)_2320_BW_1_PI정의서_CO(1(1).0)_review_0615(계승효)_개정이력_일반채권_1-2-4. 종목정보" xfId="3973"/>
    <cellStyle name="7_동부정보기술 결산부속명세(자산편)_2320_BW_1_PI정의서_CO(1(1).0)_review_0615(계승효)_요구사항추적표" xfId="231"/>
    <cellStyle name="7_동부정보기술 결산부속명세(자산편)_2320_BW_1_PI정의서_CO(1(1).0)_review_0615(계승효)_요구사항추적표 2" xfId="3974"/>
    <cellStyle name="7_동부정보기술 결산부속명세(자산편)_2320_BW_1_PI정의서_CO(1(1).0)_review_0615(계승효)_요구사항추적표_Sheet1" xfId="232"/>
    <cellStyle name="7_동부정보기술 결산부속명세(자산편)_2320_BW_1_PI정의서_CO(1(1).0)_review_0615(계승효)_요구사항추적표_Sheet1 2" xfId="233"/>
    <cellStyle name="7_동부정보기술 결산부속명세(자산편)_2320_BW_1_PI정의서_CO(1(1).0)_review_0615(계승효)_요구사항추적표_Sheet1 3" xfId="234"/>
    <cellStyle name="7_동부정보기술 결산부속명세(자산편)_2320_BW_1_PI정의서_CO(1(1).0)_review_0615(계승효)_요구사항추적표_Sheet1 4" xfId="235"/>
    <cellStyle name="7_동부정보기술 결산부속명세(자산편)_2320_BW_1_PI정의서_CO(1(1).0)_review_0615(계승효)_요구사항추적표_Sheet1 5" xfId="236"/>
    <cellStyle name="7_동부정보기술 결산부속명세(자산편)_2320_BW_1_PI정의서_CO(1(1).0)_review_0615(계승효)_요구사항추적표_개정이력" xfId="3975"/>
    <cellStyle name="7_동부정보기술 결산부속명세(자산편)_2320_BW_1_PI정의서_CO(1(1).0)_review_0615(계승효)_요구사항추적표_개정이력 10" xfId="3976"/>
    <cellStyle name="7_동부정보기술 결산부속명세(자산편)_2320_BW_1_PI정의서_CO(1(1).0)_review_0615(계승효)_요구사항추적표_개정이력 11" xfId="3977"/>
    <cellStyle name="7_동부정보기술 결산부속명세(자산편)_2320_BW_1_PI정의서_CO(1(1).0)_review_0615(계승효)_요구사항추적표_개정이력 12" xfId="3978"/>
    <cellStyle name="7_동부정보기술 결산부속명세(자산편)_2320_BW_1_PI정의서_CO(1(1).0)_review_0615(계승효)_요구사항추적표_개정이력 13" xfId="3979"/>
    <cellStyle name="7_동부정보기술 결산부속명세(자산편)_2320_BW_1_PI정의서_CO(1(1).0)_review_0615(계승효)_요구사항추적표_개정이력 14" xfId="3980"/>
    <cellStyle name="7_동부정보기술 결산부속명세(자산편)_2320_BW_1_PI정의서_CO(1(1).0)_review_0615(계승효)_요구사항추적표_개정이력 15" xfId="3981"/>
    <cellStyle name="7_동부정보기술 결산부속명세(자산편)_2320_BW_1_PI정의서_CO(1(1).0)_review_0615(계승효)_요구사항추적표_개정이력 16" xfId="3982"/>
    <cellStyle name="7_동부정보기술 결산부속명세(자산편)_2320_BW_1_PI정의서_CO(1(1).0)_review_0615(계승효)_요구사항추적표_개정이력 2" xfId="3983"/>
    <cellStyle name="7_동부정보기술 결산부속명세(자산편)_2320_BW_1_PI정의서_CO(1(1).0)_review_0615(계승효)_요구사항추적표_개정이력 3" xfId="3984"/>
    <cellStyle name="7_동부정보기술 결산부속명세(자산편)_2320_BW_1_PI정의서_CO(1(1).0)_review_0615(계승효)_요구사항추적표_개정이력 4" xfId="3985"/>
    <cellStyle name="7_동부정보기술 결산부속명세(자산편)_2320_BW_1_PI정의서_CO(1(1).0)_review_0615(계승효)_요구사항추적표_개정이력 5" xfId="3986"/>
    <cellStyle name="7_동부정보기술 결산부속명세(자산편)_2320_BW_1_PI정의서_CO(1(1).0)_review_0615(계승효)_요구사항추적표_개정이력 6" xfId="3987"/>
    <cellStyle name="7_동부정보기술 결산부속명세(자산편)_2320_BW_1_PI정의서_CO(1(1).0)_review_0615(계승효)_요구사항추적표_개정이력 7" xfId="3988"/>
    <cellStyle name="7_동부정보기술 결산부속명세(자산편)_2320_BW_1_PI정의서_CO(1(1).0)_review_0615(계승효)_요구사항추적표_개정이력 8" xfId="3989"/>
    <cellStyle name="7_동부정보기술 결산부속명세(자산편)_2320_BW_1_PI정의서_CO(1(1).0)_review_0615(계승효)_요구사항추적표_개정이력 9" xfId="3990"/>
    <cellStyle name="7_동부정보기술 결산부속명세(자산편)_2320_BW_1_PI정의서_CO(1(1).0)_review_0615(계승효)_요구사항추적표_개정이력_REPO_3-2-9. 신고매매체결내역" xfId="3991"/>
    <cellStyle name="7_동부정보기술 결산부속명세(자산편)_2320_BW_1_PI정의서_CO(1(1).0)_review_0615(계승효)_요구사항추적표_개정이력_RMS_4-1-8. 공개정보" xfId="3992"/>
    <cellStyle name="7_동부정보기술 결산부속명세(자산편)_2320_BW_1_PI정의서_CO(1(1).0)_review_0615(계승효)_요구사항추적표_개정이력_개정이력" xfId="3993"/>
    <cellStyle name="7_동부정보기술 결산부속명세(자산편)_2320_BW_1_PI정의서_CO(1(1).0)_review_0615(계승효)_요구사항추적표_개정이력_일반채권_1-1-10.공개정보" xfId="3994"/>
    <cellStyle name="7_동부정보기술 결산부속명세(자산편)_2320_BW_1_PI정의서_CO(1(1).0)_review_0615(계승효)_요구사항추적표_개정이력_일반채권_1-2-4. 종목정보" xfId="3995"/>
    <cellStyle name="7_동부정보기술 결산부속명세(자산편)_2320_BW_1_PI정의서_CO(1(1).0)_review_0615(계승효)_요구사항추적표_일반채권_1-2-6. 시장공개정보" xfId="3996"/>
    <cellStyle name="7_동부정보기술 결산부속명세(자산편)_2320_BW_1_PI정의서_CO(1(1).0)_review_0615(계승효)_요구사항추적표_일반채권_1-3-1. 종목정보" xfId="3997"/>
    <cellStyle name="7_동부정보기술 결산부속명세(자산편)_2320_BW_1_PI정의서_CO(1(1).0)_review_0615(계승효)_일반채권_1-2-6. 시장공개정보" xfId="3998"/>
    <cellStyle name="7_동부정보기술 결산부속명세(자산편)_2320_BW_1_PI정의서_CO(1(1).0)_review_0615(계승효)_일반채권_1-3-1. 종목정보" xfId="3999"/>
    <cellStyle name="7_동부정보기술 결산부속명세(자산편)_2320_BW_1_PI정의서_CO(1(1).0)_review_0615(계승효)_표준 양식 템플릿(Excel)" xfId="237"/>
    <cellStyle name="7_동부정보기술 결산부속명세(자산편)_2320_BW_1_PI정의서_CO(1(1).0)_review_0615(계승효)_표준 양식 템플릿(Excel) 2" xfId="4000"/>
    <cellStyle name="7_동부정보기술 결산부속명세(자산편)_2320_BW_1_PI정의서_CO(1(1).0)_review_0615(계승효)_표준 양식 템플릿(Excel)_Sheet1" xfId="238"/>
    <cellStyle name="7_동부정보기술 결산부속명세(자산편)_2320_BW_1_PI정의서_CO(1(1).0)_review_0615(계승효)_표준 양식 템플릿(Excel)_Sheet1 2" xfId="239"/>
    <cellStyle name="7_동부정보기술 결산부속명세(자산편)_2320_BW_1_PI정의서_CO(1(1).0)_review_0615(계승효)_표준 양식 템플릿(Excel)_Sheet1 3" xfId="240"/>
    <cellStyle name="7_동부정보기술 결산부속명세(자산편)_2320_BW_1_PI정의서_CO(1(1).0)_review_0615(계승효)_표준 양식 템플릿(Excel)_Sheet1 4" xfId="241"/>
    <cellStyle name="7_동부정보기술 결산부속명세(자산편)_2320_BW_1_PI정의서_CO(1(1).0)_review_0615(계승효)_표준 양식 템플릿(Excel)_Sheet1 5" xfId="242"/>
    <cellStyle name="7_동부정보기술 결산부속명세(자산편)_2320_BW_1_PI정의서_CO(1(1).0)_review_0615(계승효)_표준 양식 템플릿(Excel)_개정이력" xfId="4001"/>
    <cellStyle name="7_동부정보기술 결산부속명세(자산편)_2320_BW_1_PI정의서_CO(1(1).0)_review_0615(계승효)_표준 양식 템플릿(Excel)_개정이력 10" xfId="4002"/>
    <cellStyle name="7_동부정보기술 결산부속명세(자산편)_2320_BW_1_PI정의서_CO(1(1).0)_review_0615(계승효)_표준 양식 템플릿(Excel)_개정이력 11" xfId="4003"/>
    <cellStyle name="7_동부정보기술 결산부속명세(자산편)_2320_BW_1_PI정의서_CO(1(1).0)_review_0615(계승효)_표준 양식 템플릿(Excel)_개정이력 12" xfId="4004"/>
    <cellStyle name="7_동부정보기술 결산부속명세(자산편)_2320_BW_1_PI정의서_CO(1(1).0)_review_0615(계승효)_표준 양식 템플릿(Excel)_개정이력 13" xfId="4005"/>
    <cellStyle name="7_동부정보기술 결산부속명세(자산편)_2320_BW_1_PI정의서_CO(1(1).0)_review_0615(계승효)_표준 양식 템플릿(Excel)_개정이력 14" xfId="4006"/>
    <cellStyle name="7_동부정보기술 결산부속명세(자산편)_2320_BW_1_PI정의서_CO(1(1).0)_review_0615(계승효)_표준 양식 템플릿(Excel)_개정이력 15" xfId="4007"/>
    <cellStyle name="7_동부정보기술 결산부속명세(자산편)_2320_BW_1_PI정의서_CO(1(1).0)_review_0615(계승효)_표준 양식 템플릿(Excel)_개정이력 16" xfId="4008"/>
    <cellStyle name="7_동부정보기술 결산부속명세(자산편)_2320_BW_1_PI정의서_CO(1(1).0)_review_0615(계승효)_표준 양식 템플릿(Excel)_개정이력 2" xfId="4009"/>
    <cellStyle name="7_동부정보기술 결산부속명세(자산편)_2320_BW_1_PI정의서_CO(1(1).0)_review_0615(계승효)_표준 양식 템플릿(Excel)_개정이력 3" xfId="4010"/>
    <cellStyle name="7_동부정보기술 결산부속명세(자산편)_2320_BW_1_PI정의서_CO(1(1).0)_review_0615(계승효)_표준 양식 템플릿(Excel)_개정이력 4" xfId="4011"/>
    <cellStyle name="7_동부정보기술 결산부속명세(자산편)_2320_BW_1_PI정의서_CO(1(1).0)_review_0615(계승효)_표준 양식 템플릿(Excel)_개정이력 5" xfId="4012"/>
    <cellStyle name="7_동부정보기술 결산부속명세(자산편)_2320_BW_1_PI정의서_CO(1(1).0)_review_0615(계승효)_표준 양식 템플릿(Excel)_개정이력 6" xfId="4013"/>
    <cellStyle name="7_동부정보기술 결산부속명세(자산편)_2320_BW_1_PI정의서_CO(1(1).0)_review_0615(계승효)_표준 양식 템플릿(Excel)_개정이력 7" xfId="4014"/>
    <cellStyle name="7_동부정보기술 결산부속명세(자산편)_2320_BW_1_PI정의서_CO(1(1).0)_review_0615(계승효)_표준 양식 템플릿(Excel)_개정이력 8" xfId="4015"/>
    <cellStyle name="7_동부정보기술 결산부속명세(자산편)_2320_BW_1_PI정의서_CO(1(1).0)_review_0615(계승효)_표준 양식 템플릿(Excel)_개정이력 9" xfId="4016"/>
    <cellStyle name="7_동부정보기술 결산부속명세(자산편)_2320_BW_1_PI정의서_CO(1(1).0)_review_0615(계승효)_표준 양식 템플릿(Excel)_개정이력_REPO_3-2-9. 신고매매체결내역" xfId="4017"/>
    <cellStyle name="7_동부정보기술 결산부속명세(자산편)_2320_BW_1_PI정의서_CO(1(1).0)_review_0615(계승효)_표준 양식 템플릿(Excel)_개정이력_RMS_4-1-8. 공개정보" xfId="4018"/>
    <cellStyle name="7_동부정보기술 결산부속명세(자산편)_2320_BW_1_PI정의서_CO(1(1).0)_review_0615(계승효)_표준 양식 템플릿(Excel)_개정이력_개정이력" xfId="4019"/>
    <cellStyle name="7_동부정보기술 결산부속명세(자산편)_2320_BW_1_PI정의서_CO(1(1).0)_review_0615(계승효)_표준 양식 템플릿(Excel)_개정이력_일반채권_1-1-10.공개정보" xfId="4020"/>
    <cellStyle name="7_동부정보기술 결산부속명세(자산편)_2320_BW_1_PI정의서_CO(1(1).0)_review_0615(계승효)_표준 양식 템플릿(Excel)_개정이력_일반채권_1-2-4. 종목정보" xfId="4021"/>
    <cellStyle name="7_동부정보기술 결산부속명세(자산편)_2320_BW_1_PI정의서_CO(1(1).0)_review_0615(계승효)_표준 양식 템플릿(Excel)_일반채권_1-2-6. 시장공개정보" xfId="4022"/>
    <cellStyle name="7_동부정보기술 결산부속명세(자산편)_2320_BW_1_PI정의서_CO(1(1).0)_review_0615(계승효)_표준 양식 템플릿(Excel)_일반채권_1-3-1. 종목정보" xfId="4023"/>
    <cellStyle name="7_동부정보기술 결산부속명세(자산편)_KRX-13-10-컨텐츠명세서-1.1" xfId="243"/>
    <cellStyle name="7_동부정보기술 결산부속명세(자산편)_KRX-13-10-컨텐츠명세서-1.1 2" xfId="4024"/>
    <cellStyle name="7_동부정보기술 결산부속명세(자산편)_KRX-13-10-컨텐츠명세서-1.1_Sheet1" xfId="244"/>
    <cellStyle name="7_동부정보기술 결산부속명세(자산편)_KRX-13-10-컨텐츠명세서-1.1_Sheet1 2" xfId="245"/>
    <cellStyle name="7_동부정보기술 결산부속명세(자산편)_KRX-13-10-컨텐츠명세서-1.1_Sheet1 3" xfId="246"/>
    <cellStyle name="7_동부정보기술 결산부속명세(자산편)_KRX-13-10-컨텐츠명세서-1.1_Sheet1 4" xfId="247"/>
    <cellStyle name="7_동부정보기술 결산부속명세(자산편)_KRX-13-10-컨텐츠명세서-1.1_Sheet1 5" xfId="248"/>
    <cellStyle name="7_동부정보기술 결산부속명세(자산편)_KRX-13-10-컨텐츠명세서-1.1_개정이력" xfId="4025"/>
    <cellStyle name="7_동부정보기술 결산부속명세(자산편)_KRX-13-10-컨텐츠명세서-1.1_개정이력 10" xfId="4026"/>
    <cellStyle name="7_동부정보기술 결산부속명세(자산편)_KRX-13-10-컨텐츠명세서-1.1_개정이력 11" xfId="4027"/>
    <cellStyle name="7_동부정보기술 결산부속명세(자산편)_KRX-13-10-컨텐츠명세서-1.1_개정이력 12" xfId="4028"/>
    <cellStyle name="7_동부정보기술 결산부속명세(자산편)_KRX-13-10-컨텐츠명세서-1.1_개정이력 13" xfId="4029"/>
    <cellStyle name="7_동부정보기술 결산부속명세(자산편)_KRX-13-10-컨텐츠명세서-1.1_개정이력 14" xfId="4030"/>
    <cellStyle name="7_동부정보기술 결산부속명세(자산편)_KRX-13-10-컨텐츠명세서-1.1_개정이력 15" xfId="4031"/>
    <cellStyle name="7_동부정보기술 결산부속명세(자산편)_KRX-13-10-컨텐츠명세서-1.1_개정이력 16" xfId="4032"/>
    <cellStyle name="7_동부정보기술 결산부속명세(자산편)_KRX-13-10-컨텐츠명세서-1.1_개정이력 2" xfId="4033"/>
    <cellStyle name="7_동부정보기술 결산부속명세(자산편)_KRX-13-10-컨텐츠명세서-1.1_개정이력 3" xfId="4034"/>
    <cellStyle name="7_동부정보기술 결산부속명세(자산편)_KRX-13-10-컨텐츠명세서-1.1_개정이력 4" xfId="4035"/>
    <cellStyle name="7_동부정보기술 결산부속명세(자산편)_KRX-13-10-컨텐츠명세서-1.1_개정이력 5" xfId="4036"/>
    <cellStyle name="7_동부정보기술 결산부속명세(자산편)_KRX-13-10-컨텐츠명세서-1.1_개정이력 6" xfId="4037"/>
    <cellStyle name="7_동부정보기술 결산부속명세(자산편)_KRX-13-10-컨텐츠명세서-1.1_개정이력 7" xfId="4038"/>
    <cellStyle name="7_동부정보기술 결산부속명세(자산편)_KRX-13-10-컨텐츠명세서-1.1_개정이력 8" xfId="4039"/>
    <cellStyle name="7_동부정보기술 결산부속명세(자산편)_KRX-13-10-컨텐츠명세서-1.1_개정이력 9" xfId="4040"/>
    <cellStyle name="7_동부정보기술 결산부속명세(자산편)_KRX-13-10-컨텐츠명세서-1.1_개정이력_REPO_3-2-9. 신고매매체결내역" xfId="4041"/>
    <cellStyle name="7_동부정보기술 결산부속명세(자산편)_KRX-13-10-컨텐츠명세서-1.1_개정이력_RMS_4-1-8. 공개정보" xfId="4042"/>
    <cellStyle name="7_동부정보기술 결산부속명세(자산편)_KRX-13-10-컨텐츠명세서-1.1_개정이력_개정이력" xfId="4043"/>
    <cellStyle name="7_동부정보기술 결산부속명세(자산편)_KRX-13-10-컨텐츠명세서-1.1_개정이력_일반채권_1-1-10.공개정보" xfId="4044"/>
    <cellStyle name="7_동부정보기술 결산부속명세(자산편)_KRX-13-10-컨텐츠명세서-1.1_개정이력_일반채권_1-2-4. 종목정보" xfId="4045"/>
    <cellStyle name="7_동부정보기술 결산부속명세(자산편)_KRX-13-10-컨텐츠명세서-1.1_일반채권_1-2-6. 시장공개정보" xfId="4046"/>
    <cellStyle name="7_동부정보기술 결산부속명세(자산편)_KRX-13-10-컨텐츠명세서-1.1_일반채권_1-3-1. 종목정보" xfId="4047"/>
    <cellStyle name="7_동부정보기술 결산부속명세(자산편)_KRX-PM-64-요구사항 추적표-인포티커 시장지-1.3" xfId="249"/>
    <cellStyle name="7_동부정보기술 결산부속명세(자산편)_KRX-PM-64-요구사항 추적표-인포티커 시장지-1.3 2" xfId="4048"/>
    <cellStyle name="7_동부정보기술 결산부속명세(자산편)_KRX-PM-64-요구사항 추적표-인포티커 시장지-1.3_Sheet1" xfId="250"/>
    <cellStyle name="7_동부정보기술 결산부속명세(자산편)_KRX-PM-64-요구사항 추적표-인포티커 시장지-1.3_Sheet1 2" xfId="251"/>
    <cellStyle name="7_동부정보기술 결산부속명세(자산편)_KRX-PM-64-요구사항 추적표-인포티커 시장지-1.3_Sheet1 3" xfId="252"/>
    <cellStyle name="7_동부정보기술 결산부속명세(자산편)_KRX-PM-64-요구사항 추적표-인포티커 시장지-1.3_Sheet1 4" xfId="253"/>
    <cellStyle name="7_동부정보기술 결산부속명세(자산편)_KRX-PM-64-요구사항 추적표-인포티커 시장지-1.3_Sheet1 5" xfId="254"/>
    <cellStyle name="7_동부정보기술 결산부속명세(자산편)_KRX-PM-64-요구사항 추적표-인포티커 시장지-1.3_개정이력" xfId="4049"/>
    <cellStyle name="7_동부정보기술 결산부속명세(자산편)_KRX-PM-64-요구사항 추적표-인포티커 시장지-1.3_개정이력 10" xfId="4050"/>
    <cellStyle name="7_동부정보기술 결산부속명세(자산편)_KRX-PM-64-요구사항 추적표-인포티커 시장지-1.3_개정이력 11" xfId="4051"/>
    <cellStyle name="7_동부정보기술 결산부속명세(자산편)_KRX-PM-64-요구사항 추적표-인포티커 시장지-1.3_개정이력 12" xfId="4052"/>
    <cellStyle name="7_동부정보기술 결산부속명세(자산편)_KRX-PM-64-요구사항 추적표-인포티커 시장지-1.3_개정이력 13" xfId="4053"/>
    <cellStyle name="7_동부정보기술 결산부속명세(자산편)_KRX-PM-64-요구사항 추적표-인포티커 시장지-1.3_개정이력 14" xfId="4054"/>
    <cellStyle name="7_동부정보기술 결산부속명세(자산편)_KRX-PM-64-요구사항 추적표-인포티커 시장지-1.3_개정이력 15" xfId="4055"/>
    <cellStyle name="7_동부정보기술 결산부속명세(자산편)_KRX-PM-64-요구사항 추적표-인포티커 시장지-1.3_개정이력 16" xfId="4056"/>
    <cellStyle name="7_동부정보기술 결산부속명세(자산편)_KRX-PM-64-요구사항 추적표-인포티커 시장지-1.3_개정이력 2" xfId="4057"/>
    <cellStyle name="7_동부정보기술 결산부속명세(자산편)_KRX-PM-64-요구사항 추적표-인포티커 시장지-1.3_개정이력 3" xfId="4058"/>
    <cellStyle name="7_동부정보기술 결산부속명세(자산편)_KRX-PM-64-요구사항 추적표-인포티커 시장지-1.3_개정이력 4" xfId="4059"/>
    <cellStyle name="7_동부정보기술 결산부속명세(자산편)_KRX-PM-64-요구사항 추적표-인포티커 시장지-1.3_개정이력 5" xfId="4060"/>
    <cellStyle name="7_동부정보기술 결산부속명세(자산편)_KRX-PM-64-요구사항 추적표-인포티커 시장지-1.3_개정이력 6" xfId="4061"/>
    <cellStyle name="7_동부정보기술 결산부속명세(자산편)_KRX-PM-64-요구사항 추적표-인포티커 시장지-1.3_개정이력 7" xfId="4062"/>
    <cellStyle name="7_동부정보기술 결산부속명세(자산편)_KRX-PM-64-요구사항 추적표-인포티커 시장지-1.3_개정이력 8" xfId="4063"/>
    <cellStyle name="7_동부정보기술 결산부속명세(자산편)_KRX-PM-64-요구사항 추적표-인포티커 시장지-1.3_개정이력 9" xfId="4064"/>
    <cellStyle name="7_동부정보기술 결산부속명세(자산편)_KRX-PM-64-요구사항 추적표-인포티커 시장지-1.3_개정이력_REPO_3-2-9. 신고매매체결내역" xfId="4065"/>
    <cellStyle name="7_동부정보기술 결산부속명세(자산편)_KRX-PM-64-요구사항 추적표-인포티커 시장지-1.3_개정이력_RMS_4-1-8. 공개정보" xfId="4066"/>
    <cellStyle name="7_동부정보기술 결산부속명세(자산편)_KRX-PM-64-요구사항 추적표-인포티커 시장지-1.3_개정이력_개정이력" xfId="4067"/>
    <cellStyle name="7_동부정보기술 결산부속명세(자산편)_KRX-PM-64-요구사항 추적표-인포티커 시장지-1.3_개정이력_일반채권_1-1-10.공개정보" xfId="4068"/>
    <cellStyle name="7_동부정보기술 결산부속명세(자산편)_KRX-PM-64-요구사항 추적표-인포티커 시장지-1.3_개정이력_일반채권_1-2-4. 종목정보" xfId="4069"/>
    <cellStyle name="7_동부정보기술 결산부속명세(자산편)_KRX-PM-64-요구사항 추적표-인포티커 시장지-1.3_일반채권_1-2-6. 시장공개정보" xfId="4070"/>
    <cellStyle name="7_동부정보기술 결산부속명세(자산편)_KRX-PM-64-요구사항 추적표-인포티커 시장지-1.3_일반채권_1-3-1. 종목정보" xfId="4071"/>
    <cellStyle name="7_동부정보기술 결산부속명세(자산편)_PMO-QA-CK-070319(홈페이지 요구사항 추적표)_V1.0" xfId="255"/>
    <cellStyle name="7_동부정보기술 결산부속명세(자산편)_PMO-QA-CK-070319(홈페이지 요구사항 추적표)_V1.0 2" xfId="4072"/>
    <cellStyle name="7_동부정보기술 결산부속명세(자산편)_PMO-QA-CK-070319(홈페이지 요구사항 추적표)_V1.0_Sheet1" xfId="256"/>
    <cellStyle name="7_동부정보기술 결산부속명세(자산편)_PMO-QA-CK-070319(홈페이지 요구사항 추적표)_V1.0_Sheet1 2" xfId="257"/>
    <cellStyle name="7_동부정보기술 결산부속명세(자산편)_PMO-QA-CK-070319(홈페이지 요구사항 추적표)_V1.0_Sheet1 3" xfId="258"/>
    <cellStyle name="7_동부정보기술 결산부속명세(자산편)_PMO-QA-CK-070319(홈페이지 요구사항 추적표)_V1.0_Sheet1 4" xfId="259"/>
    <cellStyle name="7_동부정보기술 결산부속명세(자산편)_PMO-QA-CK-070319(홈페이지 요구사항 추적표)_V1.0_Sheet1 5" xfId="260"/>
    <cellStyle name="7_동부정보기술 결산부속명세(자산편)_PMO-QA-CK-070319(홈페이지 요구사항 추적표)_V1.0_개정이력" xfId="4073"/>
    <cellStyle name="7_동부정보기술 결산부속명세(자산편)_PMO-QA-CK-070319(홈페이지 요구사항 추적표)_V1.0_개정이력 10" xfId="4074"/>
    <cellStyle name="7_동부정보기술 결산부속명세(자산편)_PMO-QA-CK-070319(홈페이지 요구사항 추적표)_V1.0_개정이력 11" xfId="4075"/>
    <cellStyle name="7_동부정보기술 결산부속명세(자산편)_PMO-QA-CK-070319(홈페이지 요구사항 추적표)_V1.0_개정이력 12" xfId="4076"/>
    <cellStyle name="7_동부정보기술 결산부속명세(자산편)_PMO-QA-CK-070319(홈페이지 요구사항 추적표)_V1.0_개정이력 13" xfId="4077"/>
    <cellStyle name="7_동부정보기술 결산부속명세(자산편)_PMO-QA-CK-070319(홈페이지 요구사항 추적표)_V1.0_개정이력 14" xfId="4078"/>
    <cellStyle name="7_동부정보기술 결산부속명세(자산편)_PMO-QA-CK-070319(홈페이지 요구사항 추적표)_V1.0_개정이력 15" xfId="4079"/>
    <cellStyle name="7_동부정보기술 결산부속명세(자산편)_PMO-QA-CK-070319(홈페이지 요구사항 추적표)_V1.0_개정이력 16" xfId="4080"/>
    <cellStyle name="7_동부정보기술 결산부속명세(자산편)_PMO-QA-CK-070319(홈페이지 요구사항 추적표)_V1.0_개정이력 2" xfId="4081"/>
    <cellStyle name="7_동부정보기술 결산부속명세(자산편)_PMO-QA-CK-070319(홈페이지 요구사항 추적표)_V1.0_개정이력 3" xfId="4082"/>
    <cellStyle name="7_동부정보기술 결산부속명세(자산편)_PMO-QA-CK-070319(홈페이지 요구사항 추적표)_V1.0_개정이력 4" xfId="4083"/>
    <cellStyle name="7_동부정보기술 결산부속명세(자산편)_PMO-QA-CK-070319(홈페이지 요구사항 추적표)_V1.0_개정이력 5" xfId="4084"/>
    <cellStyle name="7_동부정보기술 결산부속명세(자산편)_PMO-QA-CK-070319(홈페이지 요구사항 추적표)_V1.0_개정이력 6" xfId="4085"/>
    <cellStyle name="7_동부정보기술 결산부속명세(자산편)_PMO-QA-CK-070319(홈페이지 요구사항 추적표)_V1.0_개정이력 7" xfId="4086"/>
    <cellStyle name="7_동부정보기술 결산부속명세(자산편)_PMO-QA-CK-070319(홈페이지 요구사항 추적표)_V1.0_개정이력 8" xfId="4087"/>
    <cellStyle name="7_동부정보기술 결산부속명세(자산편)_PMO-QA-CK-070319(홈페이지 요구사항 추적표)_V1.0_개정이력 9" xfId="4088"/>
    <cellStyle name="7_동부정보기술 결산부속명세(자산편)_PMO-QA-CK-070319(홈페이지 요구사항 추적표)_V1.0_개정이력_REPO_3-2-9. 신고매매체결내역" xfId="4089"/>
    <cellStyle name="7_동부정보기술 결산부속명세(자산편)_PMO-QA-CK-070319(홈페이지 요구사항 추적표)_V1.0_개정이력_RMS_4-1-8. 공개정보" xfId="4090"/>
    <cellStyle name="7_동부정보기술 결산부속명세(자산편)_PMO-QA-CK-070319(홈페이지 요구사항 추적표)_V1.0_개정이력_개정이력" xfId="4091"/>
    <cellStyle name="7_동부정보기술 결산부속명세(자산편)_PMO-QA-CK-070319(홈페이지 요구사항 추적표)_V1.0_개정이력_일반채권_1-1-10.공개정보" xfId="4092"/>
    <cellStyle name="7_동부정보기술 결산부속명세(자산편)_PMO-QA-CK-070319(홈페이지 요구사항 추적표)_V1.0_개정이력_일반채권_1-2-4. 종목정보" xfId="4093"/>
    <cellStyle name="7_동부정보기술 결산부속명세(자산편)_PMO-QA-CK-070319(홈페이지 요구사항 추적표)_V1.0_일반채권_1-2-6. 시장공개정보" xfId="4094"/>
    <cellStyle name="7_동부정보기술 결산부속명세(자산편)_PMO-QA-CK-070319(홈페이지 요구사항 추적표)_V1.0_일반채권_1-3-1. 종목정보" xfId="4095"/>
    <cellStyle name="7_동부정보기술 결산부속명세(자산편)_Sheet1" xfId="261"/>
    <cellStyle name="7_동부정보기술 결산부속명세(자산편)_Sheet1 2" xfId="262"/>
    <cellStyle name="7_동부정보기술 결산부속명세(자산편)_Sheet1 3" xfId="263"/>
    <cellStyle name="7_동부정보기술 결산부속명세(자산편)_Sheet1 4" xfId="264"/>
    <cellStyle name="7_동부정보기술 결산부속명세(자산편)_Sheet1 5" xfId="265"/>
    <cellStyle name="7_동부정보기술 결산부속명세(자산편)_개정이력" xfId="4096"/>
    <cellStyle name="7_동부정보기술 결산부속명세(자산편)_개정이력 10" xfId="4097"/>
    <cellStyle name="7_동부정보기술 결산부속명세(자산편)_개정이력 11" xfId="4098"/>
    <cellStyle name="7_동부정보기술 결산부속명세(자산편)_개정이력 12" xfId="4099"/>
    <cellStyle name="7_동부정보기술 결산부속명세(자산편)_개정이력 13" xfId="4100"/>
    <cellStyle name="7_동부정보기술 결산부속명세(자산편)_개정이력 14" xfId="4101"/>
    <cellStyle name="7_동부정보기술 결산부속명세(자산편)_개정이력 15" xfId="4102"/>
    <cellStyle name="7_동부정보기술 결산부속명세(자산편)_개정이력 16" xfId="4103"/>
    <cellStyle name="7_동부정보기술 결산부속명세(자산편)_개정이력 2" xfId="4104"/>
    <cellStyle name="7_동부정보기술 결산부속명세(자산편)_개정이력 3" xfId="4105"/>
    <cellStyle name="7_동부정보기술 결산부속명세(자산편)_개정이력 4" xfId="4106"/>
    <cellStyle name="7_동부정보기술 결산부속명세(자산편)_개정이력 5" xfId="4107"/>
    <cellStyle name="7_동부정보기술 결산부속명세(자산편)_개정이력 6" xfId="4108"/>
    <cellStyle name="7_동부정보기술 결산부속명세(자산편)_개정이력 7" xfId="4109"/>
    <cellStyle name="7_동부정보기술 결산부속명세(자산편)_개정이력 8" xfId="4110"/>
    <cellStyle name="7_동부정보기술 결산부속명세(자산편)_개정이력 9" xfId="4111"/>
    <cellStyle name="7_동부정보기술 결산부속명세(자산편)_개정이력_REPO_3-2-9. 신고매매체결내역" xfId="4112"/>
    <cellStyle name="7_동부정보기술 결산부속명세(자산편)_개정이력_RMS_4-1-8. 공개정보" xfId="4113"/>
    <cellStyle name="7_동부정보기술 결산부속명세(자산편)_개정이력_개정이력" xfId="4114"/>
    <cellStyle name="7_동부정보기술 결산부속명세(자산편)_개정이력_일반채권_1-1-10.공개정보" xfId="4115"/>
    <cellStyle name="7_동부정보기술 결산부속명세(자산편)_개정이력_일반채권_1-2-4. 종목정보" xfId="4116"/>
    <cellStyle name="7_동부정보기술 결산부속명세(자산편)_요구사항추적표" xfId="266"/>
    <cellStyle name="7_동부정보기술 결산부속명세(자산편)_요구사항추적표 2" xfId="4117"/>
    <cellStyle name="7_동부정보기술 결산부속명세(자산편)_요구사항추적표_Sheet1" xfId="267"/>
    <cellStyle name="7_동부정보기술 결산부속명세(자산편)_요구사항추적표_Sheet1 2" xfId="268"/>
    <cellStyle name="7_동부정보기술 결산부속명세(자산편)_요구사항추적표_Sheet1 3" xfId="269"/>
    <cellStyle name="7_동부정보기술 결산부속명세(자산편)_요구사항추적표_Sheet1 4" xfId="270"/>
    <cellStyle name="7_동부정보기술 결산부속명세(자산편)_요구사항추적표_Sheet1 5" xfId="271"/>
    <cellStyle name="7_동부정보기술 결산부속명세(자산편)_요구사항추적표_개정이력" xfId="4118"/>
    <cellStyle name="7_동부정보기술 결산부속명세(자산편)_요구사항추적표_개정이력 10" xfId="4119"/>
    <cellStyle name="7_동부정보기술 결산부속명세(자산편)_요구사항추적표_개정이력 11" xfId="4120"/>
    <cellStyle name="7_동부정보기술 결산부속명세(자산편)_요구사항추적표_개정이력 12" xfId="4121"/>
    <cellStyle name="7_동부정보기술 결산부속명세(자산편)_요구사항추적표_개정이력 13" xfId="4122"/>
    <cellStyle name="7_동부정보기술 결산부속명세(자산편)_요구사항추적표_개정이력 14" xfId="4123"/>
    <cellStyle name="7_동부정보기술 결산부속명세(자산편)_요구사항추적표_개정이력 15" xfId="4124"/>
    <cellStyle name="7_동부정보기술 결산부속명세(자산편)_요구사항추적표_개정이력 16" xfId="4125"/>
    <cellStyle name="7_동부정보기술 결산부속명세(자산편)_요구사항추적표_개정이력 2" xfId="4126"/>
    <cellStyle name="7_동부정보기술 결산부속명세(자산편)_요구사항추적표_개정이력 3" xfId="4127"/>
    <cellStyle name="7_동부정보기술 결산부속명세(자산편)_요구사항추적표_개정이력 4" xfId="4128"/>
    <cellStyle name="7_동부정보기술 결산부속명세(자산편)_요구사항추적표_개정이력 5" xfId="4129"/>
    <cellStyle name="7_동부정보기술 결산부속명세(자산편)_요구사항추적표_개정이력 6" xfId="4130"/>
    <cellStyle name="7_동부정보기술 결산부속명세(자산편)_요구사항추적표_개정이력 7" xfId="4131"/>
    <cellStyle name="7_동부정보기술 결산부속명세(자산편)_요구사항추적표_개정이력 8" xfId="4132"/>
    <cellStyle name="7_동부정보기술 결산부속명세(자산편)_요구사항추적표_개정이력 9" xfId="4133"/>
    <cellStyle name="7_동부정보기술 결산부속명세(자산편)_요구사항추적표_개정이력_REPO_3-2-9. 신고매매체결내역" xfId="4134"/>
    <cellStyle name="7_동부정보기술 결산부속명세(자산편)_요구사항추적표_개정이력_RMS_4-1-8. 공개정보" xfId="4135"/>
    <cellStyle name="7_동부정보기술 결산부속명세(자산편)_요구사항추적표_개정이력_개정이력" xfId="4136"/>
    <cellStyle name="7_동부정보기술 결산부속명세(자산편)_요구사항추적표_개정이력_일반채권_1-1-10.공개정보" xfId="4137"/>
    <cellStyle name="7_동부정보기술 결산부속명세(자산편)_요구사항추적표_개정이력_일반채권_1-2-4. 종목정보" xfId="4138"/>
    <cellStyle name="7_동부정보기술 결산부속명세(자산편)_요구사항추적표_일반채권_1-2-6. 시장공개정보" xfId="4139"/>
    <cellStyle name="7_동부정보기술 결산부속명세(자산편)_요구사항추적표_일반채권_1-3-1. 종목정보" xfId="4140"/>
    <cellStyle name="7_동부정보기술 결산부속명세(자산편)_일반채권_1-2-6. 시장공개정보" xfId="4141"/>
    <cellStyle name="7_동부정보기술 결산부속명세(자산편)_일반채권_1-3-1. 종목정보" xfId="4142"/>
    <cellStyle name="7_동부정보기술 결산부속명세(자산편)_표준 양식 템플릿(Excel)" xfId="272"/>
    <cellStyle name="7_동부정보기술 결산부속명세(자산편)_표준 양식 템플릿(Excel) 2" xfId="4143"/>
    <cellStyle name="7_동부정보기술 결산부속명세(자산편)_표준 양식 템플릿(Excel)_Sheet1" xfId="273"/>
    <cellStyle name="7_동부정보기술 결산부속명세(자산편)_표준 양식 템플릿(Excel)_Sheet1 2" xfId="274"/>
    <cellStyle name="7_동부정보기술 결산부속명세(자산편)_표준 양식 템플릿(Excel)_Sheet1 3" xfId="275"/>
    <cellStyle name="7_동부정보기술 결산부속명세(자산편)_표준 양식 템플릿(Excel)_Sheet1 4" xfId="276"/>
    <cellStyle name="7_동부정보기술 결산부속명세(자산편)_표준 양식 템플릿(Excel)_Sheet1 5" xfId="277"/>
    <cellStyle name="7_동부정보기술 결산부속명세(자산편)_표준 양식 템플릿(Excel)_개정이력" xfId="4144"/>
    <cellStyle name="7_동부정보기술 결산부속명세(자산편)_표준 양식 템플릿(Excel)_개정이력 10" xfId="4145"/>
    <cellStyle name="7_동부정보기술 결산부속명세(자산편)_표준 양식 템플릿(Excel)_개정이력 11" xfId="4146"/>
    <cellStyle name="7_동부정보기술 결산부속명세(자산편)_표준 양식 템플릿(Excel)_개정이력 12" xfId="4147"/>
    <cellStyle name="7_동부정보기술 결산부속명세(자산편)_표준 양식 템플릿(Excel)_개정이력 13" xfId="4148"/>
    <cellStyle name="7_동부정보기술 결산부속명세(자산편)_표준 양식 템플릿(Excel)_개정이력 14" xfId="4149"/>
    <cellStyle name="7_동부정보기술 결산부속명세(자산편)_표준 양식 템플릿(Excel)_개정이력 15" xfId="4150"/>
    <cellStyle name="7_동부정보기술 결산부속명세(자산편)_표준 양식 템플릿(Excel)_개정이력 16" xfId="4151"/>
    <cellStyle name="7_동부정보기술 결산부속명세(자산편)_표준 양식 템플릿(Excel)_개정이력 2" xfId="4152"/>
    <cellStyle name="7_동부정보기술 결산부속명세(자산편)_표준 양식 템플릿(Excel)_개정이력 3" xfId="4153"/>
    <cellStyle name="7_동부정보기술 결산부속명세(자산편)_표준 양식 템플릿(Excel)_개정이력 4" xfId="4154"/>
    <cellStyle name="7_동부정보기술 결산부속명세(자산편)_표준 양식 템플릿(Excel)_개정이력 5" xfId="4155"/>
    <cellStyle name="7_동부정보기술 결산부속명세(자산편)_표준 양식 템플릿(Excel)_개정이력 6" xfId="4156"/>
    <cellStyle name="7_동부정보기술 결산부속명세(자산편)_표준 양식 템플릿(Excel)_개정이력 7" xfId="4157"/>
    <cellStyle name="7_동부정보기술 결산부속명세(자산편)_표준 양식 템플릿(Excel)_개정이력 8" xfId="4158"/>
    <cellStyle name="7_동부정보기술 결산부속명세(자산편)_표준 양식 템플릿(Excel)_개정이력 9" xfId="4159"/>
    <cellStyle name="7_동부정보기술 결산부속명세(자산편)_표준 양식 템플릿(Excel)_개정이력_REPO_3-2-9. 신고매매체결내역" xfId="4160"/>
    <cellStyle name="7_동부정보기술 결산부속명세(자산편)_표준 양식 템플릿(Excel)_개정이력_RMS_4-1-8. 공개정보" xfId="4161"/>
    <cellStyle name="7_동부정보기술 결산부속명세(자산편)_표준 양식 템플릿(Excel)_개정이력_개정이력" xfId="4162"/>
    <cellStyle name="7_동부정보기술 결산부속명세(자산편)_표준 양식 템플릿(Excel)_개정이력_일반채권_1-1-10.공개정보" xfId="4163"/>
    <cellStyle name="7_동부정보기술 결산부속명세(자산편)_표준 양식 템플릿(Excel)_개정이력_일반채권_1-2-4. 종목정보" xfId="4164"/>
    <cellStyle name="7_동부정보기술 결산부속명세(자산편)_표준 양식 템플릿(Excel)_일반채권_1-2-6. 시장공개정보" xfId="4165"/>
    <cellStyle name="7_동부정보기술 결산부속명세(자산편)_표준 양식 템플릿(Excel)_일반채권_1-3-1. 종목정보" xfId="4166"/>
    <cellStyle name="7_요구사항추적표" xfId="278"/>
    <cellStyle name="7_요구사항추적표 2" xfId="4167"/>
    <cellStyle name="7_요구사항추적표_Sheet1" xfId="279"/>
    <cellStyle name="7_요구사항추적표_Sheet1 2" xfId="280"/>
    <cellStyle name="7_요구사항추적표_Sheet1 3" xfId="281"/>
    <cellStyle name="7_요구사항추적표_Sheet1 4" xfId="282"/>
    <cellStyle name="7_요구사항추적표_Sheet1 5" xfId="283"/>
    <cellStyle name="7_요구사항추적표_개정이력" xfId="4168"/>
    <cellStyle name="7_요구사항추적표_개정이력 10" xfId="4169"/>
    <cellStyle name="7_요구사항추적표_개정이력 11" xfId="4170"/>
    <cellStyle name="7_요구사항추적표_개정이력 12" xfId="4171"/>
    <cellStyle name="7_요구사항추적표_개정이력 13" xfId="4172"/>
    <cellStyle name="7_요구사항추적표_개정이력 14" xfId="4173"/>
    <cellStyle name="7_요구사항추적표_개정이력 15" xfId="4174"/>
    <cellStyle name="7_요구사항추적표_개정이력 16" xfId="4175"/>
    <cellStyle name="7_요구사항추적표_개정이력 2" xfId="4176"/>
    <cellStyle name="7_요구사항추적표_개정이력 3" xfId="4177"/>
    <cellStyle name="7_요구사항추적표_개정이력 4" xfId="4178"/>
    <cellStyle name="7_요구사항추적표_개정이력 5" xfId="4179"/>
    <cellStyle name="7_요구사항추적표_개정이력 6" xfId="4180"/>
    <cellStyle name="7_요구사항추적표_개정이력 7" xfId="4181"/>
    <cellStyle name="7_요구사항추적표_개정이력 8" xfId="4182"/>
    <cellStyle name="7_요구사항추적표_개정이력 9" xfId="4183"/>
    <cellStyle name="7_요구사항추적표_개정이력_REPO_3-2-9. 신고매매체결내역" xfId="4184"/>
    <cellStyle name="7_요구사항추적표_개정이력_RMS_4-1-8. 공개정보" xfId="4185"/>
    <cellStyle name="7_요구사항추적표_개정이력_개정이력" xfId="4186"/>
    <cellStyle name="7_요구사항추적표_개정이력_일반채권_1-1-10.공개정보" xfId="4187"/>
    <cellStyle name="7_요구사항추적표_개정이력_일반채권_1-2-4. 종목정보" xfId="4188"/>
    <cellStyle name="7_요구사항추적표_일반채권_1-2-6. 시장공개정보" xfId="4189"/>
    <cellStyle name="7_요구사항추적표_일반채권_1-3-1. 종목정보" xfId="4190"/>
    <cellStyle name="7_일반채권_1-2-6. 시장공개정보" xfId="4191"/>
    <cellStyle name="7_일반채권_1-3-1. 종목정보" xfId="4192"/>
    <cellStyle name="7_표준 양식 템플릿(Excel)" xfId="284"/>
    <cellStyle name="7_표준 양식 템플릿(Excel) 2" xfId="4193"/>
    <cellStyle name="7_표준 양식 템플릿(Excel)_Sheet1" xfId="285"/>
    <cellStyle name="7_표준 양식 템플릿(Excel)_Sheet1 2" xfId="286"/>
    <cellStyle name="7_표준 양식 템플릿(Excel)_Sheet1 3" xfId="287"/>
    <cellStyle name="7_표준 양식 템플릿(Excel)_Sheet1 4" xfId="288"/>
    <cellStyle name="7_표준 양식 템플릿(Excel)_Sheet1 5" xfId="289"/>
    <cellStyle name="7_표준 양식 템플릿(Excel)_개정이력" xfId="4194"/>
    <cellStyle name="7_표준 양식 템플릿(Excel)_개정이력 10" xfId="4195"/>
    <cellStyle name="7_표준 양식 템플릿(Excel)_개정이력 11" xfId="4196"/>
    <cellStyle name="7_표준 양식 템플릿(Excel)_개정이력 12" xfId="4197"/>
    <cellStyle name="7_표준 양식 템플릿(Excel)_개정이력 13" xfId="4198"/>
    <cellStyle name="7_표준 양식 템플릿(Excel)_개정이력 14" xfId="4199"/>
    <cellStyle name="7_표준 양식 템플릿(Excel)_개정이력 15" xfId="4200"/>
    <cellStyle name="7_표준 양식 템플릿(Excel)_개정이력 16" xfId="4201"/>
    <cellStyle name="7_표준 양식 템플릿(Excel)_개정이력 2" xfId="4202"/>
    <cellStyle name="7_표준 양식 템플릿(Excel)_개정이력 3" xfId="4203"/>
    <cellStyle name="7_표준 양식 템플릿(Excel)_개정이력 4" xfId="4204"/>
    <cellStyle name="7_표준 양식 템플릿(Excel)_개정이력 5" xfId="4205"/>
    <cellStyle name="7_표준 양식 템플릿(Excel)_개정이력 6" xfId="4206"/>
    <cellStyle name="7_표준 양식 템플릿(Excel)_개정이력 7" xfId="4207"/>
    <cellStyle name="7_표준 양식 템플릿(Excel)_개정이력 8" xfId="4208"/>
    <cellStyle name="7_표준 양식 템플릿(Excel)_개정이력 9" xfId="4209"/>
    <cellStyle name="7_표준 양식 템플릿(Excel)_개정이력_REPO_3-2-9. 신고매매체결내역" xfId="4210"/>
    <cellStyle name="7_표준 양식 템플릿(Excel)_개정이력_RMS_4-1-8. 공개정보" xfId="4211"/>
    <cellStyle name="7_표준 양식 템플릿(Excel)_개정이력_개정이력" xfId="4212"/>
    <cellStyle name="7_표준 양식 템플릿(Excel)_개정이력_일반채권_1-1-10.공개정보" xfId="4213"/>
    <cellStyle name="7_표준 양식 템플릿(Excel)_개정이력_일반채권_1-2-4. 종목정보" xfId="4214"/>
    <cellStyle name="7_표준 양식 템플릿(Excel)_일반채권_1-2-6. 시장공개정보" xfId="4215"/>
    <cellStyle name="7_표준 양식 템플릿(Excel)_일반채권_1-3-1. 종목정보" xfId="4216"/>
    <cellStyle name="A¡§¡ⓒ¡E¡þ¡EO [0]_¡§￠Ri¡§u¡§¡þ¡§¡þI¡§u￠R¨I" xfId="290"/>
    <cellStyle name="A¡§¡ⓒ¡E¡þ¡EO_¡§￠Ri¡§u¡§¡þ¡§¡þI¡§u￠R¨I" xfId="291"/>
    <cellStyle name="A¨­￠￢￠O [0]_¡ÆA¡¤￠R￠￢i¨u¨uC¡I" xfId="292"/>
    <cellStyle name="A¨­￠￢￠O_¡ÆA¡¤￠R￠￢i¨u¨uC¡I" xfId="293"/>
    <cellStyle name="AeE­ [0]_´e¿i" xfId="294"/>
    <cellStyle name="ÅëÈ­ [0]_¿¹¼ö±Ý" xfId="295"/>
    <cellStyle name="AeE­ [0]_¼oAI¼º " xfId="6"/>
    <cellStyle name="ÅëÈ­ [0]_½ÇÀûÇöÈ² " xfId="7"/>
    <cellStyle name="AeE­ [0]_¾c½A " xfId="8"/>
    <cellStyle name="ÅëÈ­ [0]_INQUIRY ¿µ¾÷ÃßÁø " xfId="9"/>
    <cellStyle name="AeE­ [0]_INQUIRY ¿μ¾÷AßAø " xfId="10"/>
    <cellStyle name="AeE­_´e¿i" xfId="296"/>
    <cellStyle name="ÅëÈ­_¿¹¼ö±Ý" xfId="297"/>
    <cellStyle name="AeE­_¼oAI¼º " xfId="11"/>
    <cellStyle name="ÅëÈ­_½ÇÀûÇöÈ² " xfId="12"/>
    <cellStyle name="AeE­_¾c½A " xfId="13"/>
    <cellStyle name="ÅëÈ­_INQUIRY ¿µ¾÷ÃßÁø " xfId="14"/>
    <cellStyle name="AeE­_INQUIRY ¿μ¾÷AßAø " xfId="15"/>
    <cellStyle name="AeE¡ⓒ [0]_¡ÆA¡¤￠R￠￢i¨u¨uC¡I" xfId="298"/>
    <cellStyle name="AeE¡ⓒ_¡ÆA¡¤￠R￠￢i¨u¨uC¡I" xfId="299"/>
    <cellStyle name="AeE￠R¨I [0]_¡§￠Ri¡§u¡§¡þ¡§¡þI¡§u￠R¨I" xfId="300"/>
    <cellStyle name="AeE￠R¨I_¡§￠Ri¡§u¡§¡þ¡§¡þI¡§u￠R¨I" xfId="301"/>
    <cellStyle name="ALIGNMENT" xfId="4217"/>
    <cellStyle name="AÞ¸¶ [0]_´e¿i" xfId="302"/>
    <cellStyle name="ÄÞ¸¶ [0]_¿¹¼ö±Ý" xfId="303"/>
    <cellStyle name="AÞ¸¶ [0]_¼oAI¼º " xfId="16"/>
    <cellStyle name="ÄÞ¸¶ [0]_½ÇÀûÇöÈ² " xfId="17"/>
    <cellStyle name="AÞ¸¶ [0]_½CAuCoE² _과거매출" xfId="304"/>
    <cellStyle name="AÞ¸¶_´e¿i" xfId="305"/>
    <cellStyle name="ÄÞ¸¶_¿¹¼ö±Ý" xfId="306"/>
    <cellStyle name="AÞ¸¶_¼oAI¼º " xfId="18"/>
    <cellStyle name="ÄÞ¸¶_½ÇÀûÇöÈ² " xfId="19"/>
    <cellStyle name="AÞ¸¶_¾c½A " xfId="20"/>
    <cellStyle name="ÄÞ¸¶_INQUIRY ¿µ¾÷ÃßÁø " xfId="21"/>
    <cellStyle name="AÞ¸¶_INQUIRY ¿μ¾÷AßAø " xfId="22"/>
    <cellStyle name="Body" xfId="307"/>
    <cellStyle name="C¡IA¨ª_#1,2" xfId="308"/>
    <cellStyle name="C￠RIA¡§¨￡_#1,2" xfId="309"/>
    <cellStyle name="C￥AØ_  FAB AIA¤  " xfId="23"/>
    <cellStyle name="Ç¥ÁØ_¿¬±¸ÅõÀÚ " xfId="24"/>
    <cellStyle name="C￥AØ_¿μ¾÷CoE² " xfId="25"/>
    <cellStyle name="Ç¥ÁØ_»ç¾÷ºÎº° ÃÑ°è " xfId="26"/>
    <cellStyle name="C￥AØ_≫c¾÷ºIº° AN°e " xfId="27"/>
    <cellStyle name="Ç¥ÁØ_°ü¸®¿ø°¡" xfId="310"/>
    <cellStyle name="C￥AØ_0N-HANDLING _99사업계획" xfId="311"/>
    <cellStyle name="Ç¥ÁØ_5-1±¤°í " xfId="28"/>
    <cellStyle name="C￥AØ_AN°y(1.25) " xfId="29"/>
    <cellStyle name="Ç¥ÁØ_Áý°èÇ¥(2¿ù) " xfId="30"/>
    <cellStyle name="C￥AØ_CoAo¹yAI °A¾×¿ⓒ½A " xfId="31"/>
    <cellStyle name="Ç¥ÁØ_Sheet1_¿µ¾÷ÇöÈ² " xfId="32"/>
    <cellStyle name="C￥AØ_Sheet1_¿μ¾÷CoE² " xfId="33"/>
    <cellStyle name="Ç¥ÁØ_Sheet1_0N-HANDLING " xfId="34"/>
    <cellStyle name="C￥AØ_Sheet1_Ay°eC￥(2¿u) " xfId="35"/>
    <cellStyle name="Ç¥ÁØ_Sheet1_Áý°èÇ¥(2¿ù) " xfId="36"/>
    <cellStyle name="C￥AØ_Sheet1_Ay°eC￥(2¿u)  10" xfId="12070"/>
    <cellStyle name="Ç¥ÁØ_Sheet1_Áý°èÇ¥(2¿ù)  10" xfId="12071"/>
    <cellStyle name="C￥AØ_Sheet1_Ay°eC￥(2¿u)  11" xfId="12116"/>
    <cellStyle name="Ç¥ÁØ_Sheet1_Áý°èÇ¥(2¿ù)  11" xfId="12117"/>
    <cellStyle name="C￥AØ_Sheet1_Ay°eC￥(2¿u)  12" xfId="12162"/>
    <cellStyle name="Ç¥ÁØ_Sheet1_Áý°èÇ¥(2¿ù)  12" xfId="12163"/>
    <cellStyle name="C￥AØ_Sheet1_Ay°eC￥(2¿u)  13" xfId="12208"/>
    <cellStyle name="Ç¥ÁØ_Sheet1_Áý°èÇ¥(2¿ù)  13" xfId="12209"/>
    <cellStyle name="C￥AØ_Sheet1_Ay°eC￥(2¿u)  14" xfId="312"/>
    <cellStyle name="Ç¥ÁØ_Sheet1_Áý°èÇ¥(2¿ù)  14" xfId="313"/>
    <cellStyle name="C￥AØ_Sheet1_Ay°eC￥(2¿u)  15" xfId="82"/>
    <cellStyle name="Ç¥ÁØ_Sheet1_Áý°èÇ¥(2¿ù)  15" xfId="83"/>
    <cellStyle name="C￥AØ_Sheet1_Ay°eC￥(2¿u)  16" xfId="14315"/>
    <cellStyle name="Ç¥ÁØ_Sheet1_Áý°èÇ¥(2¿ù)  16" xfId="14316"/>
    <cellStyle name="C￥AØ_Sheet1_Ay°eC￥(2¿u)  17" xfId="14377"/>
    <cellStyle name="Ç¥ÁØ_Sheet1_Áý°èÇ¥(2¿ù)  17" xfId="14376"/>
    <cellStyle name="C￥AØ_Sheet1_Ay°eC￥(2¿u)  18" xfId="14344"/>
    <cellStyle name="Ç¥ÁØ_Sheet1_Áý°èÇ¥(2¿ù)  18" xfId="14345"/>
    <cellStyle name="C￥AØ_Sheet1_Ay°eC￥(2¿u)  2" xfId="11702"/>
    <cellStyle name="Ç¥ÁØ_Sheet1_Áý°èÇ¥(2¿ù)  2" xfId="11703"/>
    <cellStyle name="C￥AØ_Sheet1_Ay°eC￥(2¿u)  3" xfId="11748"/>
    <cellStyle name="Ç¥ÁØ_Sheet1_Áý°èÇ¥(2¿ù)  3" xfId="11749"/>
    <cellStyle name="C￥AØ_Sheet1_Ay°eC￥(2¿u)  4" xfId="11794"/>
    <cellStyle name="Ç¥ÁØ_Sheet1_Áý°èÇ¥(2¿ù)  4" xfId="11795"/>
    <cellStyle name="C￥AØ_Sheet1_Ay°eC￥(2¿u)  5" xfId="11840"/>
    <cellStyle name="Ç¥ÁØ_Sheet1_Áý°èÇ¥(2¿ù)  5" xfId="11841"/>
    <cellStyle name="C￥AØ_Sheet1_Ay°eC￥(2¿u)  6" xfId="11886"/>
    <cellStyle name="Ç¥ÁØ_Sheet1_Áý°èÇ¥(2¿ù)  6" xfId="11887"/>
    <cellStyle name="C￥AØ_Sheet1_Ay°eC￥(2¿u)  7" xfId="11932"/>
    <cellStyle name="Ç¥ÁØ_Sheet1_Áý°èÇ¥(2¿ù)  7" xfId="11933"/>
    <cellStyle name="C￥AØ_Sheet1_Ay°eC￥(2¿u)  8" xfId="11978"/>
    <cellStyle name="Ç¥ÁØ_Sheet1_Áý°èÇ¥(2¿ù)  8" xfId="11979"/>
    <cellStyle name="C￥AØ_Sheet1_Ay°eC￥(2¿u)  9" xfId="12024"/>
    <cellStyle name="Ç¥ÁØ_Sheet1_Áý°èÇ¥(2¿ù)  9" xfId="12025"/>
    <cellStyle name="C￥AØ_SOON1 " xfId="37"/>
    <cellStyle name="Calc Currency (0)" xfId="314"/>
    <cellStyle name="Calc Currency (0) 2" xfId="4218"/>
    <cellStyle name="Calc Currency (0)_개정이력" xfId="4219"/>
    <cellStyle name="category" xfId="315"/>
    <cellStyle name="ÇÏÀÌÆÛ¸µÅ©" xfId="316"/>
    <cellStyle name="Comma" xfId="55"/>
    <cellStyle name="Comma [?^_x000a_6?_x0002_" xfId="317"/>
    <cellStyle name="Comma [0]" xfId="56"/>
    <cellStyle name="comma zerodec" xfId="318"/>
    <cellStyle name="Comma_ SG&amp;A Bridge " xfId="57"/>
    <cellStyle name="Copied" xfId="319"/>
    <cellStyle name="Curren?_x0012_퐀_x0017_?" xfId="320"/>
    <cellStyle name="Currency" xfId="58"/>
    <cellStyle name="Currency [0]" xfId="59"/>
    <cellStyle name="Currency_ SG&amp;A Bridge " xfId="60"/>
    <cellStyle name="Currency1" xfId="38"/>
    <cellStyle name="Currency1 10" xfId="12072"/>
    <cellStyle name="Currency1 11" xfId="12118"/>
    <cellStyle name="Currency1 12" xfId="12164"/>
    <cellStyle name="Currency1 13" xfId="12210"/>
    <cellStyle name="Currency1 14" xfId="321"/>
    <cellStyle name="Currency1 15" xfId="84"/>
    <cellStyle name="Currency1 2" xfId="11704"/>
    <cellStyle name="Currency1 3" xfId="11750"/>
    <cellStyle name="Currency1 4" xfId="11796"/>
    <cellStyle name="Currency1 5" xfId="11842"/>
    <cellStyle name="Currency1 6" xfId="11888"/>
    <cellStyle name="Currency1 7" xfId="11934"/>
    <cellStyle name="Currency1 8" xfId="11980"/>
    <cellStyle name="Currency1 9" xfId="12026"/>
    <cellStyle name="Dezimal [0]_laroux" xfId="322"/>
    <cellStyle name="Dezimal_laroux" xfId="323"/>
    <cellStyle name="Dollar (zero dec)" xfId="324"/>
    <cellStyle name="Entered" xfId="325"/>
    <cellStyle name="Grey" xfId="326"/>
    <cellStyle name="HEADER" xfId="327"/>
    <cellStyle name="Header1" xfId="328"/>
    <cellStyle name="Header2" xfId="329"/>
    <cellStyle name="Hyperlink" xfId="32080"/>
    <cellStyle name="Hyperlink 10" xfId="12073"/>
    <cellStyle name="Hyperlink 11" xfId="12119"/>
    <cellStyle name="Hyperlink 12" xfId="12165"/>
    <cellStyle name="Hyperlink 13" xfId="12211"/>
    <cellStyle name="Hyperlink 14" xfId="330"/>
    <cellStyle name="Hyperlink 15" xfId="85"/>
    <cellStyle name="Hyperlink 2" xfId="11705"/>
    <cellStyle name="Hyperlink 3" xfId="11751"/>
    <cellStyle name="Hyperlink 4" xfId="11797"/>
    <cellStyle name="Hyperlink 5" xfId="11843"/>
    <cellStyle name="Hyperlink 6" xfId="11889"/>
    <cellStyle name="Hyperlink 7" xfId="11935"/>
    <cellStyle name="Hyperlink 8" xfId="11981"/>
    <cellStyle name="Hyperlink 9" xfId="12027"/>
    <cellStyle name="Input [yellow]" xfId="331"/>
    <cellStyle name="Milliers [0]_Arabian Spec" xfId="332"/>
    <cellStyle name="Milliers_Arabian Spec" xfId="333"/>
    <cellStyle name="Model" xfId="334"/>
    <cellStyle name="Mon?aire [0]_Arabian Spec" xfId="335"/>
    <cellStyle name="Mon?aire_Arabian Spec" xfId="336"/>
    <cellStyle name="no dec" xfId="337"/>
    <cellStyle name="Normal" xfId="0" builtinId="0"/>
    <cellStyle name="Normal - Style1" xfId="338"/>
    <cellStyle name="Percent" xfId="61"/>
    <cellStyle name="Percent [2]" xfId="339"/>
    <cellStyle name="RevList" xfId="340"/>
    <cellStyle name="Standard_laroux" xfId="341"/>
    <cellStyle name="subhead" xfId="342"/>
    <cellStyle name="Subtotal" xfId="343"/>
    <cellStyle name="W?rung [0]_laroux" xfId="344"/>
    <cellStyle name="W?rung_laroux" xfId="345"/>
    <cellStyle name="강조색1 10" xfId="4220"/>
    <cellStyle name="강조색1 11" xfId="4221"/>
    <cellStyle name="강조색1 12" xfId="4222"/>
    <cellStyle name="강조색1 13" xfId="4223"/>
    <cellStyle name="강조색1 14" xfId="4224"/>
    <cellStyle name="강조색1 15" xfId="4225"/>
    <cellStyle name="강조색1 16" xfId="4226"/>
    <cellStyle name="강조색1 17" xfId="4227"/>
    <cellStyle name="강조색1 18" xfId="4228"/>
    <cellStyle name="강조색1 19" xfId="4229"/>
    <cellStyle name="강조색1 2" xfId="346"/>
    <cellStyle name="강조색1 2 10" xfId="4230"/>
    <cellStyle name="강조색1 2 100" xfId="4231"/>
    <cellStyle name="강조색1 2 101" xfId="4232"/>
    <cellStyle name="강조색1 2 102" xfId="4233"/>
    <cellStyle name="강조색1 2 103" xfId="4234"/>
    <cellStyle name="강조색1 2 104" xfId="4235"/>
    <cellStyle name="강조색1 2 105" xfId="4236"/>
    <cellStyle name="강조색1 2 106" xfId="4237"/>
    <cellStyle name="강조색1 2 107" xfId="4238"/>
    <cellStyle name="강조색1 2 108" xfId="4239"/>
    <cellStyle name="강조색1 2 109" xfId="4240"/>
    <cellStyle name="강조색1 2 11" xfId="4241"/>
    <cellStyle name="강조색1 2 110" xfId="4242"/>
    <cellStyle name="강조색1 2 111" xfId="4243"/>
    <cellStyle name="강조색1 2 112" xfId="4244"/>
    <cellStyle name="강조색1 2 12" xfId="4245"/>
    <cellStyle name="강조색1 2 13" xfId="4246"/>
    <cellStyle name="강조색1 2 14" xfId="4247"/>
    <cellStyle name="강조색1 2 15" xfId="4248"/>
    <cellStyle name="강조색1 2 16" xfId="4249"/>
    <cellStyle name="강조색1 2 17" xfId="4250"/>
    <cellStyle name="강조색1 2 18" xfId="4251"/>
    <cellStyle name="강조색1 2 19" xfId="4252"/>
    <cellStyle name="강조색1 2 2" xfId="4253"/>
    <cellStyle name="강조색1 2 2 2" xfId="4254"/>
    <cellStyle name="강조색1 2 2 3" xfId="4255"/>
    <cellStyle name="강조색1 2 2 4" xfId="4256"/>
    <cellStyle name="강조색1 2 2 5" xfId="4257"/>
    <cellStyle name="강조색1 2 20" xfId="4258"/>
    <cellStyle name="강조색1 2 21" xfId="4259"/>
    <cellStyle name="강조색1 2 22" xfId="4260"/>
    <cellStyle name="강조색1 2 23" xfId="4261"/>
    <cellStyle name="강조색1 2 24" xfId="4262"/>
    <cellStyle name="강조색1 2 25" xfId="4263"/>
    <cellStyle name="강조색1 2 26" xfId="4264"/>
    <cellStyle name="강조색1 2 27" xfId="4265"/>
    <cellStyle name="강조색1 2 28" xfId="4266"/>
    <cellStyle name="강조색1 2 29" xfId="4267"/>
    <cellStyle name="강조색1 2 3" xfId="4268"/>
    <cellStyle name="강조색1 2 30" xfId="4269"/>
    <cellStyle name="강조색1 2 31" xfId="4270"/>
    <cellStyle name="강조색1 2 32" xfId="4271"/>
    <cellStyle name="강조색1 2 33" xfId="4272"/>
    <cellStyle name="강조색1 2 34" xfId="4273"/>
    <cellStyle name="강조색1 2 35" xfId="4274"/>
    <cellStyle name="강조색1 2 36" xfId="4275"/>
    <cellStyle name="강조색1 2 37" xfId="4276"/>
    <cellStyle name="강조색1 2 38" xfId="4277"/>
    <cellStyle name="강조색1 2 39" xfId="4278"/>
    <cellStyle name="강조색1 2 4" xfId="4279"/>
    <cellStyle name="강조색1 2 40" xfId="4280"/>
    <cellStyle name="강조색1 2 41" xfId="4281"/>
    <cellStyle name="강조색1 2 42" xfId="4282"/>
    <cellStyle name="강조색1 2 43" xfId="4283"/>
    <cellStyle name="강조색1 2 44" xfId="4284"/>
    <cellStyle name="강조색1 2 45" xfId="4285"/>
    <cellStyle name="강조색1 2 46" xfId="4286"/>
    <cellStyle name="강조색1 2 47" xfId="4287"/>
    <cellStyle name="강조색1 2 48" xfId="4288"/>
    <cellStyle name="강조색1 2 49" xfId="4289"/>
    <cellStyle name="강조색1 2 5" xfId="4290"/>
    <cellStyle name="강조색1 2 50" xfId="4291"/>
    <cellStyle name="강조색1 2 51" xfId="4292"/>
    <cellStyle name="강조색1 2 52" xfId="4293"/>
    <cellStyle name="강조색1 2 53" xfId="4294"/>
    <cellStyle name="강조색1 2 54" xfId="4295"/>
    <cellStyle name="강조색1 2 55" xfId="4296"/>
    <cellStyle name="강조색1 2 56" xfId="4297"/>
    <cellStyle name="강조색1 2 57" xfId="4298"/>
    <cellStyle name="강조색1 2 58" xfId="4299"/>
    <cellStyle name="강조색1 2 59" xfId="4300"/>
    <cellStyle name="강조색1 2 6" xfId="4301"/>
    <cellStyle name="강조색1 2 60" xfId="4302"/>
    <cellStyle name="강조색1 2 61" xfId="4303"/>
    <cellStyle name="강조색1 2 62" xfId="4304"/>
    <cellStyle name="강조색1 2 63" xfId="4305"/>
    <cellStyle name="강조색1 2 64" xfId="4306"/>
    <cellStyle name="강조색1 2 65" xfId="4307"/>
    <cellStyle name="강조색1 2 66" xfId="4308"/>
    <cellStyle name="강조색1 2 67" xfId="4309"/>
    <cellStyle name="강조색1 2 68" xfId="4310"/>
    <cellStyle name="강조색1 2 69" xfId="4311"/>
    <cellStyle name="강조색1 2 7" xfId="4312"/>
    <cellStyle name="강조색1 2 70" xfId="4313"/>
    <cellStyle name="강조색1 2 71" xfId="4314"/>
    <cellStyle name="강조색1 2 72" xfId="4315"/>
    <cellStyle name="강조색1 2 73" xfId="4316"/>
    <cellStyle name="강조색1 2 74" xfId="4317"/>
    <cellStyle name="강조색1 2 75" xfId="4318"/>
    <cellStyle name="강조색1 2 76" xfId="4319"/>
    <cellStyle name="강조색1 2 77" xfId="4320"/>
    <cellStyle name="강조색1 2 78" xfId="4321"/>
    <cellStyle name="강조색1 2 79" xfId="4322"/>
    <cellStyle name="강조색1 2 8" xfId="4323"/>
    <cellStyle name="강조색1 2 80" xfId="4324"/>
    <cellStyle name="강조색1 2 81" xfId="4325"/>
    <cellStyle name="강조색1 2 82" xfId="4326"/>
    <cellStyle name="강조색1 2 83" xfId="4327"/>
    <cellStyle name="강조색1 2 84" xfId="4328"/>
    <cellStyle name="강조색1 2 85" xfId="4329"/>
    <cellStyle name="강조색1 2 86" xfId="4330"/>
    <cellStyle name="강조색1 2 87" xfId="4331"/>
    <cellStyle name="강조색1 2 88" xfId="4332"/>
    <cellStyle name="강조색1 2 89" xfId="4333"/>
    <cellStyle name="강조색1 2 9" xfId="4334"/>
    <cellStyle name="강조색1 2 90" xfId="4335"/>
    <cellStyle name="강조색1 2 91" xfId="4336"/>
    <cellStyle name="강조색1 2 92" xfId="4337"/>
    <cellStyle name="강조색1 2 93" xfId="4338"/>
    <cellStyle name="강조색1 2 94" xfId="4339"/>
    <cellStyle name="강조색1 2 95" xfId="4340"/>
    <cellStyle name="강조색1 2 96" xfId="4341"/>
    <cellStyle name="강조색1 2 97" xfId="4342"/>
    <cellStyle name="강조색1 2 98" xfId="4343"/>
    <cellStyle name="강조색1 2 99" xfId="4344"/>
    <cellStyle name="강조색1 20" xfId="4345"/>
    <cellStyle name="강조색1 21" xfId="4346"/>
    <cellStyle name="강조색1 22" xfId="4347"/>
    <cellStyle name="강조색1 23" xfId="4348"/>
    <cellStyle name="강조색1 24" xfId="4349"/>
    <cellStyle name="강조색1 25" xfId="4350"/>
    <cellStyle name="강조색1 26" xfId="4351"/>
    <cellStyle name="강조색1 27" xfId="4352"/>
    <cellStyle name="강조색1 28" xfId="4353"/>
    <cellStyle name="강조색1 29" xfId="4354"/>
    <cellStyle name="강조색1 3" xfId="347"/>
    <cellStyle name="강조색1 30" xfId="4355"/>
    <cellStyle name="강조색1 31" xfId="4356"/>
    <cellStyle name="강조색1 32" xfId="4357"/>
    <cellStyle name="강조색1 33" xfId="4358"/>
    <cellStyle name="강조색1 34" xfId="4359"/>
    <cellStyle name="강조색1 35" xfId="4360"/>
    <cellStyle name="강조색1 36" xfId="4361"/>
    <cellStyle name="강조색1 37" xfId="4362"/>
    <cellStyle name="강조색1 38" xfId="4363"/>
    <cellStyle name="강조색1 39" xfId="4364"/>
    <cellStyle name="강조색1 4" xfId="11724" hidden="1"/>
    <cellStyle name="강조색1 4" xfId="11770" hidden="1"/>
    <cellStyle name="강조색1 4" xfId="11816" hidden="1"/>
    <cellStyle name="강조색1 4" xfId="11862" hidden="1"/>
    <cellStyle name="강조색1 4" xfId="11908" hidden="1"/>
    <cellStyle name="강조색1 4" xfId="11954" hidden="1"/>
    <cellStyle name="강조색1 4" xfId="12000" hidden="1"/>
    <cellStyle name="강조색1 4" xfId="12046" hidden="1"/>
    <cellStyle name="강조색1 4" xfId="12092" hidden="1"/>
    <cellStyle name="강조색1 4" xfId="12138" hidden="1"/>
    <cellStyle name="강조색1 4" xfId="12184" hidden="1"/>
    <cellStyle name="강조색1 4" xfId="12230" hidden="1"/>
    <cellStyle name="강조색1 4" xfId="12320" hidden="1"/>
    <cellStyle name="강조색1 4" xfId="12361" hidden="1"/>
    <cellStyle name="강조색1 4" xfId="12403" hidden="1"/>
    <cellStyle name="강조색1 4" xfId="12445" hidden="1"/>
    <cellStyle name="강조색1 4" xfId="12487" hidden="1"/>
    <cellStyle name="강조색1 4" xfId="12529" hidden="1"/>
    <cellStyle name="강조색1 4" xfId="12571" hidden="1"/>
    <cellStyle name="강조색1 4" xfId="12613" hidden="1"/>
    <cellStyle name="강조색1 4" xfId="12655" hidden="1"/>
    <cellStyle name="강조색1 4" xfId="12697" hidden="1"/>
    <cellStyle name="강조색1 4" xfId="12739" hidden="1"/>
    <cellStyle name="강조색1 4" xfId="12781" hidden="1"/>
    <cellStyle name="강조색1 4" xfId="12275" hidden="1"/>
    <cellStyle name="강조색1 4" xfId="12963" hidden="1"/>
    <cellStyle name="강조색1 4" xfId="13003" hidden="1"/>
    <cellStyle name="강조색1 4" xfId="13043" hidden="1"/>
    <cellStyle name="강조색1 4" xfId="13083" hidden="1"/>
    <cellStyle name="강조색1 4" xfId="13123" hidden="1"/>
    <cellStyle name="강조색1 4" xfId="13163" hidden="1"/>
    <cellStyle name="강조색1 4" xfId="13203" hidden="1"/>
    <cellStyle name="강조색1 4" xfId="13243" hidden="1"/>
    <cellStyle name="강조색1 4" xfId="13283" hidden="1"/>
    <cellStyle name="강조색1 4" xfId="13323" hidden="1"/>
    <cellStyle name="강조색1 4" xfId="13363" hidden="1"/>
    <cellStyle name="강조색1 4" xfId="13403" hidden="1"/>
    <cellStyle name="강조색1 4" xfId="12871" hidden="1"/>
    <cellStyle name="강조색1 4" xfId="12832" hidden="1"/>
    <cellStyle name="강조색1 4" xfId="13445" hidden="1"/>
    <cellStyle name="강조색1 4" xfId="13487" hidden="1"/>
    <cellStyle name="강조색1 4" xfId="13529" hidden="1"/>
    <cellStyle name="강조색1 4" xfId="13571" hidden="1"/>
    <cellStyle name="강조색1 4" xfId="13613" hidden="1"/>
    <cellStyle name="강조색1 4" xfId="13655" hidden="1"/>
    <cellStyle name="강조색1 4" xfId="13697" hidden="1"/>
    <cellStyle name="강조색1 4" xfId="13739" hidden="1"/>
    <cellStyle name="강조색1 4" xfId="13781" hidden="1"/>
    <cellStyle name="강조색1 4" xfId="13823" hidden="1"/>
    <cellStyle name="강조색1 4" xfId="12925" hidden="1"/>
    <cellStyle name="강조색1 4" xfId="13851" hidden="1"/>
    <cellStyle name="강조색1 4" xfId="13891" hidden="1"/>
    <cellStyle name="강조색1 4" xfId="13931" hidden="1"/>
    <cellStyle name="강조색1 4" xfId="13971" hidden="1"/>
    <cellStyle name="강조색1 4" xfId="14011" hidden="1"/>
    <cellStyle name="강조색1 4" xfId="14051" hidden="1"/>
    <cellStyle name="강조색1 4" xfId="14091" hidden="1"/>
    <cellStyle name="강조색1 4" xfId="14131" hidden="1"/>
    <cellStyle name="강조색1 4" xfId="14171" hidden="1"/>
    <cellStyle name="강조색1 4" xfId="14211" hidden="1"/>
    <cellStyle name="강조색1 4" xfId="14251" hidden="1"/>
    <cellStyle name="강조색1 4" xfId="14291" hidden="1"/>
    <cellStyle name="강조색1 4" xfId="14397" hidden="1"/>
    <cellStyle name="강조색1 4" xfId="14437" hidden="1"/>
    <cellStyle name="강조색1 4" xfId="14477" hidden="1"/>
    <cellStyle name="강조색1 4" xfId="14517" hidden="1"/>
    <cellStyle name="강조색1 4" xfId="14557" hidden="1"/>
    <cellStyle name="강조색1 4" xfId="14597" hidden="1"/>
    <cellStyle name="강조색1 4" xfId="14637" hidden="1"/>
    <cellStyle name="강조색1 4" xfId="14677" hidden="1"/>
    <cellStyle name="강조색1 4" xfId="14717" hidden="1"/>
    <cellStyle name="강조색1 4" xfId="14757" hidden="1"/>
    <cellStyle name="강조색1 4" xfId="14797" hidden="1"/>
    <cellStyle name="강조색1 4" xfId="14837" hidden="1"/>
    <cellStyle name="강조색1 4" xfId="14921" hidden="1"/>
    <cellStyle name="강조색1 4" xfId="14962" hidden="1"/>
    <cellStyle name="강조색1 4" xfId="15004" hidden="1"/>
    <cellStyle name="강조색1 4" xfId="15046" hidden="1"/>
    <cellStyle name="강조색1 4" xfId="15088" hidden="1"/>
    <cellStyle name="강조색1 4" xfId="15130" hidden="1"/>
    <cellStyle name="강조색1 4" xfId="15172" hidden="1"/>
    <cellStyle name="강조색1 4" xfId="15214" hidden="1"/>
    <cellStyle name="강조색1 4" xfId="15256" hidden="1"/>
    <cellStyle name="강조색1 4" xfId="15298" hidden="1"/>
    <cellStyle name="강조색1 4" xfId="15340" hidden="1"/>
    <cellStyle name="강조색1 4" xfId="15382" hidden="1"/>
    <cellStyle name="강조색1 4" xfId="14878" hidden="1"/>
    <cellStyle name="강조색1 4" xfId="15561" hidden="1"/>
    <cellStyle name="강조색1 4" xfId="15601" hidden="1"/>
    <cellStyle name="강조색1 4" xfId="15641" hidden="1"/>
    <cellStyle name="강조색1 4" xfId="15681" hidden="1"/>
    <cellStyle name="강조색1 4" xfId="15721" hidden="1"/>
    <cellStyle name="강조색1 4" xfId="15761" hidden="1"/>
    <cellStyle name="강조색1 4" xfId="15801" hidden="1"/>
    <cellStyle name="강조색1 4" xfId="15841" hidden="1"/>
    <cellStyle name="강조색1 4" xfId="15881" hidden="1"/>
    <cellStyle name="강조색1 4" xfId="15921" hidden="1"/>
    <cellStyle name="강조색1 4" xfId="15961" hidden="1"/>
    <cellStyle name="강조색1 4" xfId="16001" hidden="1"/>
    <cellStyle name="강조색1 4" xfId="15471" hidden="1"/>
    <cellStyle name="강조색1 4" xfId="15432" hidden="1"/>
    <cellStyle name="강조색1 4" xfId="16043" hidden="1"/>
    <cellStyle name="강조색1 4" xfId="16085" hidden="1"/>
    <cellStyle name="강조색1 4" xfId="16127" hidden="1"/>
    <cellStyle name="강조색1 4" xfId="16169" hidden="1"/>
    <cellStyle name="강조색1 4" xfId="16211" hidden="1"/>
    <cellStyle name="강조색1 4" xfId="16253" hidden="1"/>
    <cellStyle name="강조색1 4" xfId="16295" hidden="1"/>
    <cellStyle name="강조색1 4" xfId="16337" hidden="1"/>
    <cellStyle name="강조색1 4" xfId="16379" hidden="1"/>
    <cellStyle name="강조색1 4" xfId="16421" hidden="1"/>
    <cellStyle name="강조색1 4" xfId="15524" hidden="1"/>
    <cellStyle name="강조색1 4" xfId="16449" hidden="1"/>
    <cellStyle name="강조색1 4" xfId="16489" hidden="1"/>
    <cellStyle name="강조색1 4" xfId="16529" hidden="1"/>
    <cellStyle name="강조색1 4" xfId="16569" hidden="1"/>
    <cellStyle name="강조색1 4" xfId="16609" hidden="1"/>
    <cellStyle name="강조색1 4" xfId="16649" hidden="1"/>
    <cellStyle name="강조색1 4" xfId="16689" hidden="1"/>
    <cellStyle name="강조색1 4" xfId="16729" hidden="1"/>
    <cellStyle name="강조색1 4" xfId="16769" hidden="1"/>
    <cellStyle name="강조색1 4" xfId="16809" hidden="1"/>
    <cellStyle name="강조색1 4" xfId="16849" hidden="1"/>
    <cellStyle name="강조색1 4" xfId="16889" hidden="1"/>
    <cellStyle name="강조색1 4" xfId="14328" hidden="1"/>
    <cellStyle name="강조색1 4" xfId="16940" hidden="1"/>
    <cellStyle name="강조색1 4" xfId="16981" hidden="1"/>
    <cellStyle name="강조색1 4" xfId="17021" hidden="1"/>
    <cellStyle name="강조색1 4" xfId="17061" hidden="1"/>
    <cellStyle name="강조색1 4" xfId="17101" hidden="1"/>
    <cellStyle name="강조색1 4" xfId="17141" hidden="1"/>
    <cellStyle name="강조색1 4" xfId="17181" hidden="1"/>
    <cellStyle name="강조색1 4" xfId="17221" hidden="1"/>
    <cellStyle name="강조색1 4" xfId="17261" hidden="1"/>
    <cellStyle name="강조색1 4" xfId="17301" hidden="1"/>
    <cellStyle name="강조색1 4" xfId="17341" hidden="1"/>
    <cellStyle name="강조색1 4" xfId="17425" hidden="1"/>
    <cellStyle name="강조색1 4" xfId="17466" hidden="1"/>
    <cellStyle name="강조색1 4" xfId="17508" hidden="1"/>
    <cellStyle name="강조색1 4" xfId="17550" hidden="1"/>
    <cellStyle name="강조색1 4" xfId="17592" hidden="1"/>
    <cellStyle name="강조색1 4" xfId="17634" hidden="1"/>
    <cellStyle name="강조색1 4" xfId="17676" hidden="1"/>
    <cellStyle name="강조색1 4" xfId="17718" hidden="1"/>
    <cellStyle name="강조색1 4" xfId="17760" hidden="1"/>
    <cellStyle name="강조색1 4" xfId="17802" hidden="1"/>
    <cellStyle name="강조색1 4" xfId="17844" hidden="1"/>
    <cellStyle name="강조색1 4" xfId="17886" hidden="1"/>
    <cellStyle name="강조색1 4" xfId="17382" hidden="1"/>
    <cellStyle name="강조색1 4" xfId="18065" hidden="1"/>
    <cellStyle name="강조색1 4" xfId="18105" hidden="1"/>
    <cellStyle name="강조색1 4" xfId="18145" hidden="1"/>
    <cellStyle name="강조색1 4" xfId="18185" hidden="1"/>
    <cellStyle name="강조색1 4" xfId="18225" hidden="1"/>
    <cellStyle name="강조색1 4" xfId="18265" hidden="1"/>
    <cellStyle name="강조색1 4" xfId="18305" hidden="1"/>
    <cellStyle name="강조색1 4" xfId="18345" hidden="1"/>
    <cellStyle name="강조색1 4" xfId="18385" hidden="1"/>
    <cellStyle name="강조색1 4" xfId="18425" hidden="1"/>
    <cellStyle name="강조색1 4" xfId="18465" hidden="1"/>
    <cellStyle name="강조색1 4" xfId="18505" hidden="1"/>
    <cellStyle name="강조색1 4" xfId="17975" hidden="1"/>
    <cellStyle name="강조색1 4" xfId="17936" hidden="1"/>
    <cellStyle name="강조색1 4" xfId="18547" hidden="1"/>
    <cellStyle name="강조색1 4" xfId="18589" hidden="1"/>
    <cellStyle name="강조색1 4" xfId="18631" hidden="1"/>
    <cellStyle name="강조색1 4" xfId="18673" hidden="1"/>
    <cellStyle name="강조색1 4" xfId="18715" hidden="1"/>
    <cellStyle name="강조색1 4" xfId="18757" hidden="1"/>
    <cellStyle name="강조색1 4" xfId="18799" hidden="1"/>
    <cellStyle name="강조색1 4" xfId="18841" hidden="1"/>
    <cellStyle name="강조색1 4" xfId="18883" hidden="1"/>
    <cellStyle name="강조색1 4" xfId="18925" hidden="1"/>
    <cellStyle name="강조색1 4" xfId="18028" hidden="1"/>
    <cellStyle name="강조색1 4" xfId="18953" hidden="1"/>
    <cellStyle name="강조색1 4" xfId="18993" hidden="1"/>
    <cellStyle name="강조색1 4" xfId="19033" hidden="1"/>
    <cellStyle name="강조색1 4" xfId="19073" hidden="1"/>
    <cellStyle name="강조색1 4" xfId="19113" hidden="1"/>
    <cellStyle name="강조색1 4" xfId="19153" hidden="1"/>
    <cellStyle name="강조색1 4" xfId="19193" hidden="1"/>
    <cellStyle name="강조색1 4" xfId="19233" hidden="1"/>
    <cellStyle name="강조색1 4" xfId="19273" hidden="1"/>
    <cellStyle name="강조색1 4" xfId="19313" hidden="1"/>
    <cellStyle name="강조색1 4" xfId="19353" hidden="1"/>
    <cellStyle name="강조색1 4" xfId="19393" hidden="1"/>
    <cellStyle name="강조색1 4" xfId="14364" hidden="1"/>
    <cellStyle name="강조색1 4" xfId="19443" hidden="1"/>
    <cellStyle name="강조색1 4" xfId="19483" hidden="1"/>
    <cellStyle name="강조색1 4" xfId="19523" hidden="1"/>
    <cellStyle name="강조색1 4" xfId="19563" hidden="1"/>
    <cellStyle name="강조색1 4" xfId="19603" hidden="1"/>
    <cellStyle name="강조색1 4" xfId="19643" hidden="1"/>
    <cellStyle name="강조색1 4" xfId="19683" hidden="1"/>
    <cellStyle name="강조색1 4" xfId="19723" hidden="1"/>
    <cellStyle name="강조색1 4" xfId="19763" hidden="1"/>
    <cellStyle name="강조색1 4" xfId="19803" hidden="1"/>
    <cellStyle name="강조색1 4" xfId="19843" hidden="1"/>
    <cellStyle name="강조색1 4" xfId="19927" hidden="1"/>
    <cellStyle name="강조색1 4" xfId="19968" hidden="1"/>
    <cellStyle name="강조색1 4" xfId="20010" hidden="1"/>
    <cellStyle name="강조색1 4" xfId="20052" hidden="1"/>
    <cellStyle name="강조색1 4" xfId="20094" hidden="1"/>
    <cellStyle name="강조색1 4" xfId="20136" hidden="1"/>
    <cellStyle name="강조색1 4" xfId="20178" hidden="1"/>
    <cellStyle name="강조색1 4" xfId="20220" hidden="1"/>
    <cellStyle name="강조색1 4" xfId="20262" hidden="1"/>
    <cellStyle name="강조색1 4" xfId="20304" hidden="1"/>
    <cellStyle name="강조색1 4" xfId="20346" hidden="1"/>
    <cellStyle name="강조색1 4" xfId="20388" hidden="1"/>
    <cellStyle name="강조색1 4" xfId="19884" hidden="1"/>
    <cellStyle name="강조색1 4" xfId="20567" hidden="1"/>
    <cellStyle name="강조색1 4" xfId="20607" hidden="1"/>
    <cellStyle name="강조색1 4" xfId="20647" hidden="1"/>
    <cellStyle name="강조색1 4" xfId="20687" hidden="1"/>
    <cellStyle name="강조색1 4" xfId="20727" hidden="1"/>
    <cellStyle name="강조색1 4" xfId="20767" hidden="1"/>
    <cellStyle name="강조색1 4" xfId="20807" hidden="1"/>
    <cellStyle name="강조색1 4" xfId="20847" hidden="1"/>
    <cellStyle name="강조색1 4" xfId="20887" hidden="1"/>
    <cellStyle name="강조색1 4" xfId="20927" hidden="1"/>
    <cellStyle name="강조색1 4" xfId="20967" hidden="1"/>
    <cellStyle name="강조색1 4" xfId="21007" hidden="1"/>
    <cellStyle name="강조색1 4" xfId="20477" hidden="1"/>
    <cellStyle name="강조색1 4" xfId="20438" hidden="1"/>
    <cellStyle name="강조색1 4" xfId="21049" hidden="1"/>
    <cellStyle name="강조색1 4" xfId="21091" hidden="1"/>
    <cellStyle name="강조색1 4" xfId="21133" hidden="1"/>
    <cellStyle name="강조색1 4" xfId="21175" hidden="1"/>
    <cellStyle name="강조색1 4" xfId="21217" hidden="1"/>
    <cellStyle name="강조색1 4" xfId="21259" hidden="1"/>
    <cellStyle name="강조색1 4" xfId="21301" hidden="1"/>
    <cellStyle name="강조색1 4" xfId="21343" hidden="1"/>
    <cellStyle name="강조색1 4" xfId="21385" hidden="1"/>
    <cellStyle name="강조색1 4" xfId="21427" hidden="1"/>
    <cellStyle name="강조색1 4" xfId="20530" hidden="1"/>
    <cellStyle name="강조색1 4" xfId="21455" hidden="1"/>
    <cellStyle name="강조색1 4" xfId="21495" hidden="1"/>
    <cellStyle name="강조색1 4" xfId="21535" hidden="1"/>
    <cellStyle name="강조색1 4" xfId="21575" hidden="1"/>
    <cellStyle name="강조색1 4" xfId="21615" hidden="1"/>
    <cellStyle name="강조색1 4" xfId="21655" hidden="1"/>
    <cellStyle name="강조색1 4" xfId="21695" hidden="1"/>
    <cellStyle name="강조색1 4" xfId="21735" hidden="1"/>
    <cellStyle name="강조색1 4" xfId="21775" hidden="1"/>
    <cellStyle name="강조색1 4" xfId="21815" hidden="1"/>
    <cellStyle name="강조색1 4" xfId="21855" hidden="1"/>
    <cellStyle name="강조색1 4" xfId="21895" hidden="1"/>
    <cellStyle name="강조색1 4" xfId="21963" hidden="1"/>
    <cellStyle name="강조색1 4" xfId="22003" hidden="1"/>
    <cellStyle name="강조색1 4" xfId="22043" hidden="1"/>
    <cellStyle name="강조색1 4" xfId="22083" hidden="1"/>
    <cellStyle name="강조색1 4" xfId="22123" hidden="1"/>
    <cellStyle name="강조색1 4" xfId="22163" hidden="1"/>
    <cellStyle name="강조색1 4" xfId="22203" hidden="1"/>
    <cellStyle name="강조색1 4" xfId="22243" hidden="1"/>
    <cellStyle name="강조색1 4" xfId="22283" hidden="1"/>
    <cellStyle name="강조색1 4" xfId="22323" hidden="1"/>
    <cellStyle name="강조색1 4" xfId="22363" hidden="1"/>
    <cellStyle name="강조색1 4" xfId="22403" hidden="1"/>
    <cellStyle name="강조색1 4" xfId="22487" hidden="1"/>
    <cellStyle name="강조색1 4" xfId="22528" hidden="1"/>
    <cellStyle name="강조색1 4" xfId="22570" hidden="1"/>
    <cellStyle name="강조색1 4" xfId="22612" hidden="1"/>
    <cellStyle name="강조색1 4" xfId="22654" hidden="1"/>
    <cellStyle name="강조색1 4" xfId="22696" hidden="1"/>
    <cellStyle name="강조색1 4" xfId="22738" hidden="1"/>
    <cellStyle name="강조색1 4" xfId="22780" hidden="1"/>
    <cellStyle name="강조색1 4" xfId="22822" hidden="1"/>
    <cellStyle name="강조색1 4" xfId="22864" hidden="1"/>
    <cellStyle name="강조색1 4" xfId="22906" hidden="1"/>
    <cellStyle name="강조색1 4" xfId="22948" hidden="1"/>
    <cellStyle name="강조색1 4" xfId="22444" hidden="1"/>
    <cellStyle name="강조색1 4" xfId="23127" hidden="1"/>
    <cellStyle name="강조색1 4" xfId="23167" hidden="1"/>
    <cellStyle name="강조색1 4" xfId="23207" hidden="1"/>
    <cellStyle name="강조색1 4" xfId="23247" hidden="1"/>
    <cellStyle name="강조색1 4" xfId="23287" hidden="1"/>
    <cellStyle name="강조색1 4" xfId="23327" hidden="1"/>
    <cellStyle name="강조색1 4" xfId="23367" hidden="1"/>
    <cellStyle name="강조색1 4" xfId="23407" hidden="1"/>
    <cellStyle name="강조색1 4" xfId="23447" hidden="1"/>
    <cellStyle name="강조색1 4" xfId="23487" hidden="1"/>
    <cellStyle name="강조색1 4" xfId="23527" hidden="1"/>
    <cellStyle name="강조색1 4" xfId="23567" hidden="1"/>
    <cellStyle name="강조색1 4" xfId="23037" hidden="1"/>
    <cellStyle name="강조색1 4" xfId="22998" hidden="1"/>
    <cellStyle name="강조색1 4" xfId="23609" hidden="1"/>
    <cellStyle name="강조색1 4" xfId="23651" hidden="1"/>
    <cellStyle name="강조색1 4" xfId="23693" hidden="1"/>
    <cellStyle name="강조색1 4" xfId="23735" hidden="1"/>
    <cellStyle name="강조색1 4" xfId="23777" hidden="1"/>
    <cellStyle name="강조색1 4" xfId="23819" hidden="1"/>
    <cellStyle name="강조색1 4" xfId="23861" hidden="1"/>
    <cellStyle name="강조색1 4" xfId="23903" hidden="1"/>
    <cellStyle name="강조색1 4" xfId="23945" hidden="1"/>
    <cellStyle name="강조색1 4" xfId="23987" hidden="1"/>
    <cellStyle name="강조색1 4" xfId="23090" hidden="1"/>
    <cellStyle name="강조색1 4" xfId="24015" hidden="1"/>
    <cellStyle name="강조색1 4" xfId="24055" hidden="1"/>
    <cellStyle name="강조색1 4" xfId="24095" hidden="1"/>
    <cellStyle name="강조색1 4" xfId="24135" hidden="1"/>
    <cellStyle name="강조색1 4" xfId="24175" hidden="1"/>
    <cellStyle name="강조색1 4" xfId="24215" hidden="1"/>
    <cellStyle name="강조색1 4" xfId="24255" hidden="1"/>
    <cellStyle name="강조색1 4" xfId="24295" hidden="1"/>
    <cellStyle name="강조색1 4" xfId="24335" hidden="1"/>
    <cellStyle name="강조색1 4" xfId="24375" hidden="1"/>
    <cellStyle name="강조색1 4" xfId="24415" hidden="1"/>
    <cellStyle name="강조색1 4" xfId="24455" hidden="1"/>
    <cellStyle name="강조색1 4" xfId="24553" hidden="1"/>
    <cellStyle name="강조색1 4" xfId="24593" hidden="1"/>
    <cellStyle name="강조색1 4" xfId="24635" hidden="1"/>
    <cellStyle name="강조색1 4" xfId="24676" hidden="1"/>
    <cellStyle name="강조색1 4" xfId="24716" hidden="1"/>
    <cellStyle name="강조색1 4" xfId="24756" hidden="1"/>
    <cellStyle name="강조색1 4" xfId="24796" hidden="1"/>
    <cellStyle name="강조색1 4" xfId="24836" hidden="1"/>
    <cellStyle name="강조색1 4" xfId="24876" hidden="1"/>
    <cellStyle name="강조색1 4" xfId="24916" hidden="1"/>
    <cellStyle name="강조색1 4" xfId="24956" hidden="1"/>
    <cellStyle name="강조색1 4" xfId="24996" hidden="1"/>
    <cellStyle name="강조색1 4" xfId="25080" hidden="1"/>
    <cellStyle name="강조색1 4" xfId="25121" hidden="1"/>
    <cellStyle name="강조색1 4" xfId="25163" hidden="1"/>
    <cellStyle name="강조색1 4" xfId="25205" hidden="1"/>
    <cellStyle name="강조색1 4" xfId="25247" hidden="1"/>
    <cellStyle name="강조색1 4" xfId="25289" hidden="1"/>
    <cellStyle name="강조색1 4" xfId="25331" hidden="1"/>
    <cellStyle name="강조색1 4" xfId="25373" hidden="1"/>
    <cellStyle name="강조색1 4" xfId="25415" hidden="1"/>
    <cellStyle name="강조색1 4" xfId="25457" hidden="1"/>
    <cellStyle name="강조색1 4" xfId="25499" hidden="1"/>
    <cellStyle name="강조색1 4" xfId="25541" hidden="1"/>
    <cellStyle name="강조색1 4" xfId="25037" hidden="1"/>
    <cellStyle name="강조색1 4" xfId="25720" hidden="1"/>
    <cellStyle name="강조색1 4" xfId="25760" hidden="1"/>
    <cellStyle name="강조색1 4" xfId="25800" hidden="1"/>
    <cellStyle name="강조색1 4" xfId="25840" hidden="1"/>
    <cellStyle name="강조색1 4" xfId="25880" hidden="1"/>
    <cellStyle name="강조색1 4" xfId="25920" hidden="1"/>
    <cellStyle name="강조색1 4" xfId="25960" hidden="1"/>
    <cellStyle name="강조색1 4" xfId="26000" hidden="1"/>
    <cellStyle name="강조색1 4" xfId="26040" hidden="1"/>
    <cellStyle name="강조색1 4" xfId="26080" hidden="1"/>
    <cellStyle name="강조색1 4" xfId="26120" hidden="1"/>
    <cellStyle name="강조색1 4" xfId="26160" hidden="1"/>
    <cellStyle name="강조색1 4" xfId="25630" hidden="1"/>
    <cellStyle name="강조색1 4" xfId="25591" hidden="1"/>
    <cellStyle name="강조색1 4" xfId="26202" hidden="1"/>
    <cellStyle name="강조색1 4" xfId="26244" hidden="1"/>
    <cellStyle name="강조색1 4" xfId="26286" hidden="1"/>
    <cellStyle name="강조색1 4" xfId="26328" hidden="1"/>
    <cellStyle name="강조색1 4" xfId="26370" hidden="1"/>
    <cellStyle name="강조색1 4" xfId="26412" hidden="1"/>
    <cellStyle name="강조색1 4" xfId="26454" hidden="1"/>
    <cellStyle name="강조색1 4" xfId="26496" hidden="1"/>
    <cellStyle name="강조색1 4" xfId="26538" hidden="1"/>
    <cellStyle name="강조색1 4" xfId="26580" hidden="1"/>
    <cellStyle name="강조색1 4" xfId="25683" hidden="1"/>
    <cellStyle name="강조색1 4" xfId="26608" hidden="1"/>
    <cellStyle name="강조색1 4" xfId="26648" hidden="1"/>
    <cellStyle name="강조색1 4" xfId="26688" hidden="1"/>
    <cellStyle name="강조색1 4" xfId="26728" hidden="1"/>
    <cellStyle name="강조색1 4" xfId="26768" hidden="1"/>
    <cellStyle name="강조색1 4" xfId="26808" hidden="1"/>
    <cellStyle name="강조색1 4" xfId="26848" hidden="1"/>
    <cellStyle name="강조색1 4" xfId="26888" hidden="1"/>
    <cellStyle name="강조색1 4" xfId="26928" hidden="1"/>
    <cellStyle name="강조색1 4" xfId="26968" hidden="1"/>
    <cellStyle name="강조색1 4" xfId="27008" hidden="1"/>
    <cellStyle name="강조색1 4" xfId="27048" hidden="1"/>
    <cellStyle name="강조색1 4" xfId="24490" hidden="1"/>
    <cellStyle name="강조색1 4" xfId="27099" hidden="1"/>
    <cellStyle name="강조색1 4" xfId="27139" hidden="1"/>
    <cellStyle name="강조색1 4" xfId="27179" hidden="1"/>
    <cellStyle name="강조색1 4" xfId="27219" hidden="1"/>
    <cellStyle name="강조색1 4" xfId="27259" hidden="1"/>
    <cellStyle name="강조색1 4" xfId="27299" hidden="1"/>
    <cellStyle name="강조색1 4" xfId="27339" hidden="1"/>
    <cellStyle name="강조색1 4" xfId="27379" hidden="1"/>
    <cellStyle name="강조색1 4" xfId="27419" hidden="1"/>
    <cellStyle name="강조색1 4" xfId="27459" hidden="1"/>
    <cellStyle name="강조색1 4" xfId="27499" hidden="1"/>
    <cellStyle name="강조색1 4" xfId="27583" hidden="1"/>
    <cellStyle name="강조색1 4" xfId="27624" hidden="1"/>
    <cellStyle name="강조색1 4" xfId="27666" hidden="1"/>
    <cellStyle name="강조색1 4" xfId="27708" hidden="1"/>
    <cellStyle name="강조색1 4" xfId="27750" hidden="1"/>
    <cellStyle name="강조색1 4" xfId="27792" hidden="1"/>
    <cellStyle name="강조색1 4" xfId="27834" hidden="1"/>
    <cellStyle name="강조색1 4" xfId="27876" hidden="1"/>
    <cellStyle name="강조색1 4" xfId="27918" hidden="1"/>
    <cellStyle name="강조색1 4" xfId="27960" hidden="1"/>
    <cellStyle name="강조색1 4" xfId="28002" hidden="1"/>
    <cellStyle name="강조색1 4" xfId="28044" hidden="1"/>
    <cellStyle name="강조색1 4" xfId="27540" hidden="1"/>
    <cellStyle name="강조색1 4" xfId="28223" hidden="1"/>
    <cellStyle name="강조색1 4" xfId="28263" hidden="1"/>
    <cellStyle name="강조색1 4" xfId="28303" hidden="1"/>
    <cellStyle name="강조색1 4" xfId="28343" hidden="1"/>
    <cellStyle name="강조색1 4" xfId="28383" hidden="1"/>
    <cellStyle name="강조색1 4" xfId="28423" hidden="1"/>
    <cellStyle name="강조색1 4" xfId="28463" hidden="1"/>
    <cellStyle name="강조색1 4" xfId="28503" hidden="1"/>
    <cellStyle name="강조색1 4" xfId="28543" hidden="1"/>
    <cellStyle name="강조색1 4" xfId="28583" hidden="1"/>
    <cellStyle name="강조색1 4" xfId="28623" hidden="1"/>
    <cellStyle name="강조색1 4" xfId="28663" hidden="1"/>
    <cellStyle name="강조색1 4" xfId="28133" hidden="1"/>
    <cellStyle name="강조색1 4" xfId="28094" hidden="1"/>
    <cellStyle name="강조색1 4" xfId="28705" hidden="1"/>
    <cellStyle name="강조색1 4" xfId="28747" hidden="1"/>
    <cellStyle name="강조색1 4" xfId="28789" hidden="1"/>
    <cellStyle name="강조색1 4" xfId="28831" hidden="1"/>
    <cellStyle name="강조색1 4" xfId="28873" hidden="1"/>
    <cellStyle name="강조색1 4" xfId="28915" hidden="1"/>
    <cellStyle name="강조색1 4" xfId="28957" hidden="1"/>
    <cellStyle name="강조색1 4" xfId="28999" hidden="1"/>
    <cellStyle name="강조색1 4" xfId="29041" hidden="1"/>
    <cellStyle name="강조색1 4" xfId="29083" hidden="1"/>
    <cellStyle name="강조색1 4" xfId="28186" hidden="1"/>
    <cellStyle name="강조색1 4" xfId="29111" hidden="1"/>
    <cellStyle name="강조색1 4" xfId="29151" hidden="1"/>
    <cellStyle name="강조색1 4" xfId="29191" hidden="1"/>
    <cellStyle name="강조색1 4" xfId="29231" hidden="1"/>
    <cellStyle name="강조색1 4" xfId="29271" hidden="1"/>
    <cellStyle name="강조색1 4" xfId="29311" hidden="1"/>
    <cellStyle name="강조색1 4" xfId="29351" hidden="1"/>
    <cellStyle name="강조색1 4" xfId="29391" hidden="1"/>
    <cellStyle name="강조색1 4" xfId="29431" hidden="1"/>
    <cellStyle name="강조색1 4" xfId="29471" hidden="1"/>
    <cellStyle name="강조색1 4" xfId="29511" hidden="1"/>
    <cellStyle name="강조색1 4" xfId="29551" hidden="1"/>
    <cellStyle name="강조색1 4" xfId="24522" hidden="1"/>
    <cellStyle name="강조색1 4" xfId="29601" hidden="1"/>
    <cellStyle name="강조색1 4" xfId="29641" hidden="1"/>
    <cellStyle name="강조색1 4" xfId="29681" hidden="1"/>
    <cellStyle name="강조색1 4" xfId="29721" hidden="1"/>
    <cellStyle name="강조색1 4" xfId="29761" hidden="1"/>
    <cellStyle name="강조색1 4" xfId="29801" hidden="1"/>
    <cellStyle name="강조색1 4" xfId="29841" hidden="1"/>
    <cellStyle name="강조색1 4" xfId="29881" hidden="1"/>
    <cellStyle name="강조색1 4" xfId="29921" hidden="1"/>
    <cellStyle name="강조색1 4" xfId="29961" hidden="1"/>
    <cellStyle name="강조색1 4" xfId="30001" hidden="1"/>
    <cellStyle name="강조색1 4" xfId="30085" hidden="1"/>
    <cellStyle name="강조색1 4" xfId="30126" hidden="1"/>
    <cellStyle name="강조색1 4" xfId="30168" hidden="1"/>
    <cellStyle name="강조색1 4" xfId="30210" hidden="1"/>
    <cellStyle name="강조색1 4" xfId="30252" hidden="1"/>
    <cellStyle name="강조색1 4" xfId="30294" hidden="1"/>
    <cellStyle name="강조색1 4" xfId="30336" hidden="1"/>
    <cellStyle name="강조색1 4" xfId="30378" hidden="1"/>
    <cellStyle name="강조색1 4" xfId="30420" hidden="1"/>
    <cellStyle name="강조색1 4" xfId="30462" hidden="1"/>
    <cellStyle name="강조색1 4" xfId="30504" hidden="1"/>
    <cellStyle name="강조색1 4" xfId="30546" hidden="1"/>
    <cellStyle name="강조색1 4" xfId="30042" hidden="1"/>
    <cellStyle name="강조색1 4" xfId="30725" hidden="1"/>
    <cellStyle name="강조색1 4" xfId="30765" hidden="1"/>
    <cellStyle name="강조색1 4" xfId="30805" hidden="1"/>
    <cellStyle name="강조색1 4" xfId="30845" hidden="1"/>
    <cellStyle name="강조색1 4" xfId="30885" hidden="1"/>
    <cellStyle name="강조색1 4" xfId="30925" hidden="1"/>
    <cellStyle name="강조색1 4" xfId="30965" hidden="1"/>
    <cellStyle name="강조색1 4" xfId="31005" hidden="1"/>
    <cellStyle name="강조색1 4" xfId="31045" hidden="1"/>
    <cellStyle name="강조색1 4" xfId="31085" hidden="1"/>
    <cellStyle name="강조색1 4" xfId="31125" hidden="1"/>
    <cellStyle name="강조색1 4" xfId="31165" hidden="1"/>
    <cellStyle name="강조색1 4" xfId="30635" hidden="1"/>
    <cellStyle name="강조색1 4" xfId="30596" hidden="1"/>
    <cellStyle name="강조색1 4" xfId="31207" hidden="1"/>
    <cellStyle name="강조색1 4" xfId="31249" hidden="1"/>
    <cellStyle name="강조색1 4" xfId="31291" hidden="1"/>
    <cellStyle name="강조색1 4" xfId="31333" hidden="1"/>
    <cellStyle name="강조색1 4" xfId="31375" hidden="1"/>
    <cellStyle name="강조색1 4" xfId="31417" hidden="1"/>
    <cellStyle name="강조색1 4" xfId="31459" hidden="1"/>
    <cellStyle name="강조색1 4" xfId="31501" hidden="1"/>
    <cellStyle name="강조색1 4" xfId="31543" hidden="1"/>
    <cellStyle name="강조색1 4" xfId="31585" hidden="1"/>
    <cellStyle name="강조색1 4" xfId="30688" hidden="1"/>
    <cellStyle name="강조색1 4" xfId="31613" hidden="1"/>
    <cellStyle name="강조색1 4" xfId="31653" hidden="1"/>
    <cellStyle name="강조색1 4" xfId="31693" hidden="1"/>
    <cellStyle name="강조색1 4" xfId="31733" hidden="1"/>
    <cellStyle name="강조색1 4" xfId="31773" hidden="1"/>
    <cellStyle name="강조색1 4" xfId="31813" hidden="1"/>
    <cellStyle name="강조색1 4" xfId="31853" hidden="1"/>
    <cellStyle name="강조색1 4" xfId="31893" hidden="1"/>
    <cellStyle name="강조색1 4" xfId="31933" hidden="1"/>
    <cellStyle name="강조색1 4" xfId="31973" hidden="1"/>
    <cellStyle name="강조색1 4" xfId="32013" hidden="1"/>
    <cellStyle name="강조색1 4" xfId="32053" hidden="1"/>
    <cellStyle name="강조색1 4" xfId="32115" hidden="1"/>
    <cellStyle name="강조색1 4" xfId="32155" hidden="1"/>
    <cellStyle name="강조색1 4" xfId="32195" hidden="1"/>
    <cellStyle name="강조색1 4" xfId="32235" hidden="1"/>
    <cellStyle name="강조색1 4" xfId="32275" hidden="1"/>
    <cellStyle name="강조색1 4" xfId="32315" hidden="1"/>
    <cellStyle name="강조색1 4" xfId="32355" hidden="1"/>
    <cellStyle name="강조색1 4" xfId="32395" hidden="1"/>
    <cellStyle name="강조색1 4" xfId="32435" hidden="1"/>
    <cellStyle name="강조색1 4" xfId="32475" hidden="1"/>
    <cellStyle name="강조색1 4" xfId="32515" hidden="1"/>
    <cellStyle name="강조색1 4" xfId="32555" hidden="1"/>
    <cellStyle name="강조색1 4" xfId="32640" hidden="1"/>
    <cellStyle name="강조색1 4" xfId="32681" hidden="1"/>
    <cellStyle name="강조색1 4" xfId="32723" hidden="1"/>
    <cellStyle name="강조색1 4" xfId="32765" hidden="1"/>
    <cellStyle name="강조색1 4" xfId="32807" hidden="1"/>
    <cellStyle name="강조색1 4" xfId="32849" hidden="1"/>
    <cellStyle name="강조색1 4" xfId="32891" hidden="1"/>
    <cellStyle name="강조색1 4" xfId="32933" hidden="1"/>
    <cellStyle name="강조색1 4" xfId="32975" hidden="1"/>
    <cellStyle name="강조색1 4" xfId="33017" hidden="1"/>
    <cellStyle name="강조색1 4" xfId="33059" hidden="1"/>
    <cellStyle name="강조색1 4" xfId="33101" hidden="1"/>
    <cellStyle name="강조색1 4" xfId="32597" hidden="1"/>
    <cellStyle name="강조색1 4" xfId="33280" hidden="1"/>
    <cellStyle name="강조색1 4" xfId="33320" hidden="1"/>
    <cellStyle name="강조색1 4" xfId="33360" hidden="1"/>
    <cellStyle name="강조색1 4" xfId="33400" hidden="1"/>
    <cellStyle name="강조색1 4" xfId="33440" hidden="1"/>
    <cellStyle name="강조색1 4" xfId="33480" hidden="1"/>
    <cellStyle name="강조색1 4" xfId="33520" hidden="1"/>
    <cellStyle name="강조색1 4" xfId="33560" hidden="1"/>
    <cellStyle name="강조색1 4" xfId="33600" hidden="1"/>
    <cellStyle name="강조색1 4" xfId="33640" hidden="1"/>
    <cellStyle name="강조색1 4" xfId="33680" hidden="1"/>
    <cellStyle name="강조색1 4" xfId="33720" hidden="1"/>
    <cellStyle name="강조색1 4" xfId="33190" hidden="1"/>
    <cellStyle name="강조색1 4" xfId="33151" hidden="1"/>
    <cellStyle name="강조색1 4" xfId="33762" hidden="1"/>
    <cellStyle name="강조색1 4" xfId="33804" hidden="1"/>
    <cellStyle name="강조색1 4" xfId="33846" hidden="1"/>
    <cellStyle name="강조색1 4" xfId="33888" hidden="1"/>
    <cellStyle name="강조색1 4" xfId="33930" hidden="1"/>
    <cellStyle name="강조색1 4" xfId="33972" hidden="1"/>
    <cellStyle name="강조색1 4" xfId="34014" hidden="1"/>
    <cellStyle name="강조색1 4" xfId="34056" hidden="1"/>
    <cellStyle name="강조색1 4" xfId="34098" hidden="1"/>
    <cellStyle name="강조색1 4" xfId="34140" hidden="1"/>
    <cellStyle name="강조색1 4" xfId="33243" hidden="1"/>
    <cellStyle name="강조색1 4" xfId="34168" hidden="1"/>
    <cellStyle name="강조색1 4" xfId="34208" hidden="1"/>
    <cellStyle name="강조색1 4" xfId="34248" hidden="1"/>
    <cellStyle name="강조색1 4" xfId="34288" hidden="1"/>
    <cellStyle name="강조색1 4" xfId="34328" hidden="1"/>
    <cellStyle name="강조색1 4" xfId="34368" hidden="1"/>
    <cellStyle name="강조색1 4" xfId="34408" hidden="1"/>
    <cellStyle name="강조색1 4" xfId="34448" hidden="1"/>
    <cellStyle name="강조색1 4" xfId="34488" hidden="1"/>
    <cellStyle name="강조색1 4" xfId="34528" hidden="1"/>
    <cellStyle name="강조색1 4" xfId="34568" hidden="1"/>
    <cellStyle name="강조색1 4" xfId="34608" hidden="1"/>
    <cellStyle name="강조색1 4" xfId="34705" hidden="1"/>
    <cellStyle name="강조색1 4" xfId="34745" hidden="1"/>
    <cellStyle name="강조색1 4" xfId="34785" hidden="1"/>
    <cellStyle name="강조색1 4" xfId="34825" hidden="1"/>
    <cellStyle name="강조색1 4" xfId="34865" hidden="1"/>
    <cellStyle name="강조색1 4" xfId="34905" hidden="1"/>
    <cellStyle name="강조색1 4" xfId="34945" hidden="1"/>
    <cellStyle name="강조색1 4" xfId="34985" hidden="1"/>
    <cellStyle name="강조색1 4" xfId="35025" hidden="1"/>
    <cellStyle name="강조색1 4" xfId="35065" hidden="1"/>
    <cellStyle name="강조색1 4" xfId="35105" hidden="1"/>
    <cellStyle name="강조색1 4" xfId="35145" hidden="1"/>
    <cellStyle name="강조색1 4" xfId="35229" hidden="1"/>
    <cellStyle name="강조색1 4" xfId="35270" hidden="1"/>
    <cellStyle name="강조색1 4" xfId="35312" hidden="1"/>
    <cellStyle name="강조색1 4" xfId="35354" hidden="1"/>
    <cellStyle name="강조색1 4" xfId="35396" hidden="1"/>
    <cellStyle name="강조색1 4" xfId="35438" hidden="1"/>
    <cellStyle name="강조색1 4" xfId="35480" hidden="1"/>
    <cellStyle name="강조색1 4" xfId="35522" hidden="1"/>
    <cellStyle name="강조색1 4" xfId="35564" hidden="1"/>
    <cellStyle name="강조색1 4" xfId="35606" hidden="1"/>
    <cellStyle name="강조색1 4" xfId="35648" hidden="1"/>
    <cellStyle name="강조색1 4" xfId="35690" hidden="1"/>
    <cellStyle name="강조색1 4" xfId="35186" hidden="1"/>
    <cellStyle name="강조색1 4" xfId="35869" hidden="1"/>
    <cellStyle name="강조색1 4" xfId="35909" hidden="1"/>
    <cellStyle name="강조색1 4" xfId="35949" hidden="1"/>
    <cellStyle name="강조색1 4" xfId="35989" hidden="1"/>
    <cellStyle name="강조색1 4" xfId="36029" hidden="1"/>
    <cellStyle name="강조색1 4" xfId="36069" hidden="1"/>
    <cellStyle name="강조색1 4" xfId="36109" hidden="1"/>
    <cellStyle name="강조색1 4" xfId="36149" hidden="1"/>
    <cellStyle name="강조색1 4" xfId="36189" hidden="1"/>
    <cellStyle name="강조색1 4" xfId="36229" hidden="1"/>
    <cellStyle name="강조색1 4" xfId="36269" hidden="1"/>
    <cellStyle name="강조색1 4" xfId="36309" hidden="1"/>
    <cellStyle name="강조색1 4" xfId="35779" hidden="1"/>
    <cellStyle name="강조색1 4" xfId="35740" hidden="1"/>
    <cellStyle name="강조색1 4" xfId="36351" hidden="1"/>
    <cellStyle name="강조색1 4" xfId="36393" hidden="1"/>
    <cellStyle name="강조색1 4" xfId="36435" hidden="1"/>
    <cellStyle name="강조색1 4" xfId="36477" hidden="1"/>
    <cellStyle name="강조색1 4" xfId="36519" hidden="1"/>
    <cellStyle name="강조색1 4" xfId="36561" hidden="1"/>
    <cellStyle name="강조색1 4" xfId="36603" hidden="1"/>
    <cellStyle name="강조색1 4" xfId="36645" hidden="1"/>
    <cellStyle name="강조색1 4" xfId="36687" hidden="1"/>
    <cellStyle name="강조색1 4" xfId="36729" hidden="1"/>
    <cellStyle name="강조색1 4" xfId="35832" hidden="1"/>
    <cellStyle name="강조색1 4" xfId="36757" hidden="1"/>
    <cellStyle name="강조색1 4" xfId="36797" hidden="1"/>
    <cellStyle name="강조색1 4" xfId="36837" hidden="1"/>
    <cellStyle name="강조색1 4" xfId="36877" hidden="1"/>
    <cellStyle name="강조색1 4" xfId="36917" hidden="1"/>
    <cellStyle name="강조색1 4" xfId="36957" hidden="1"/>
    <cellStyle name="강조색1 4" xfId="36997" hidden="1"/>
    <cellStyle name="강조색1 4" xfId="37037" hidden="1"/>
    <cellStyle name="강조색1 4" xfId="37077" hidden="1"/>
    <cellStyle name="강조색1 4" xfId="37117" hidden="1"/>
    <cellStyle name="강조색1 4" xfId="37157" hidden="1"/>
    <cellStyle name="강조색1 4" xfId="37197" hidden="1"/>
    <cellStyle name="강조색1 4" xfId="34642" hidden="1"/>
    <cellStyle name="강조색1 4" xfId="37248" hidden="1"/>
    <cellStyle name="강조색1 4" xfId="37289" hidden="1"/>
    <cellStyle name="강조색1 4" xfId="37329" hidden="1"/>
    <cellStyle name="강조색1 4" xfId="37369" hidden="1"/>
    <cellStyle name="강조색1 4" xfId="37409" hidden="1"/>
    <cellStyle name="강조색1 4" xfId="37449" hidden="1"/>
    <cellStyle name="강조색1 4" xfId="37489" hidden="1"/>
    <cellStyle name="강조색1 4" xfId="37529" hidden="1"/>
    <cellStyle name="강조색1 4" xfId="37569" hidden="1"/>
    <cellStyle name="강조색1 4" xfId="37609" hidden="1"/>
    <cellStyle name="강조색1 4" xfId="37649" hidden="1"/>
    <cellStyle name="강조색1 4" xfId="37733" hidden="1"/>
    <cellStyle name="강조색1 4" xfId="37774" hidden="1"/>
    <cellStyle name="강조색1 4" xfId="37816" hidden="1"/>
    <cellStyle name="강조색1 4" xfId="37858" hidden="1"/>
    <cellStyle name="강조색1 4" xfId="37900" hidden="1"/>
    <cellStyle name="강조색1 4" xfId="37942" hidden="1"/>
    <cellStyle name="강조색1 4" xfId="37984" hidden="1"/>
    <cellStyle name="강조색1 4" xfId="38026" hidden="1"/>
    <cellStyle name="강조색1 4" xfId="38068" hidden="1"/>
    <cellStyle name="강조색1 4" xfId="38110" hidden="1"/>
    <cellStyle name="강조색1 4" xfId="38152" hidden="1"/>
    <cellStyle name="강조색1 4" xfId="38194" hidden="1"/>
    <cellStyle name="강조색1 4" xfId="37690" hidden="1"/>
    <cellStyle name="강조색1 4" xfId="38373" hidden="1"/>
    <cellStyle name="강조색1 4" xfId="38413" hidden="1"/>
    <cellStyle name="강조색1 4" xfId="38453" hidden="1"/>
    <cellStyle name="강조색1 4" xfId="38493" hidden="1"/>
    <cellStyle name="강조색1 4" xfId="38533" hidden="1"/>
    <cellStyle name="강조색1 4" xfId="38573" hidden="1"/>
    <cellStyle name="강조색1 4" xfId="38613" hidden="1"/>
    <cellStyle name="강조색1 4" xfId="38653" hidden="1"/>
    <cellStyle name="강조색1 4" xfId="38693" hidden="1"/>
    <cellStyle name="강조색1 4" xfId="38733" hidden="1"/>
    <cellStyle name="강조색1 4" xfId="38773" hidden="1"/>
    <cellStyle name="강조색1 4" xfId="38813" hidden="1"/>
    <cellStyle name="강조색1 4" xfId="38283" hidden="1"/>
    <cellStyle name="강조색1 4" xfId="38244" hidden="1"/>
    <cellStyle name="강조색1 4" xfId="38855" hidden="1"/>
    <cellStyle name="강조색1 4" xfId="38897" hidden="1"/>
    <cellStyle name="강조색1 4" xfId="38939" hidden="1"/>
    <cellStyle name="강조색1 4" xfId="38981" hidden="1"/>
    <cellStyle name="강조색1 4" xfId="39023" hidden="1"/>
    <cellStyle name="강조색1 4" xfId="39065" hidden="1"/>
    <cellStyle name="강조색1 4" xfId="39107" hidden="1"/>
    <cellStyle name="강조색1 4" xfId="39149" hidden="1"/>
    <cellStyle name="강조색1 4" xfId="39191" hidden="1"/>
    <cellStyle name="강조색1 4" xfId="39233" hidden="1"/>
    <cellStyle name="강조색1 4" xfId="38336" hidden="1"/>
    <cellStyle name="강조색1 4" xfId="39261" hidden="1"/>
    <cellStyle name="강조색1 4" xfId="39301" hidden="1"/>
    <cellStyle name="강조색1 4" xfId="39341" hidden="1"/>
    <cellStyle name="강조색1 4" xfId="39381" hidden="1"/>
    <cellStyle name="강조색1 4" xfId="39421" hidden="1"/>
    <cellStyle name="강조색1 4" xfId="39461" hidden="1"/>
    <cellStyle name="강조색1 4" xfId="39501" hidden="1"/>
    <cellStyle name="강조색1 4" xfId="39541" hidden="1"/>
    <cellStyle name="강조색1 4" xfId="39581" hidden="1"/>
    <cellStyle name="강조색1 4" xfId="39621" hidden="1"/>
    <cellStyle name="강조색1 4" xfId="39661" hidden="1"/>
    <cellStyle name="강조색1 4" xfId="39701" hidden="1"/>
    <cellStyle name="강조색1 4" xfId="34674" hidden="1"/>
    <cellStyle name="강조색1 4" xfId="39751" hidden="1"/>
    <cellStyle name="강조색1 4" xfId="39791" hidden="1"/>
    <cellStyle name="강조색1 4" xfId="39831" hidden="1"/>
    <cellStyle name="강조색1 4" xfId="39871" hidden="1"/>
    <cellStyle name="강조색1 4" xfId="39911" hidden="1"/>
    <cellStyle name="강조색1 4" xfId="39951" hidden="1"/>
    <cellStyle name="강조색1 4" xfId="39991" hidden="1"/>
    <cellStyle name="강조색1 4" xfId="40031" hidden="1"/>
    <cellStyle name="강조색1 4" xfId="40071" hidden="1"/>
    <cellStyle name="강조색1 4" xfId="40111" hidden="1"/>
    <cellStyle name="강조색1 4" xfId="40151" hidden="1"/>
    <cellStyle name="강조색1 4" xfId="40235" hidden="1"/>
    <cellStyle name="강조색1 4" xfId="40276" hidden="1"/>
    <cellStyle name="강조색1 4" xfId="40318" hidden="1"/>
    <cellStyle name="강조색1 4" xfId="40360" hidden="1"/>
    <cellStyle name="강조색1 4" xfId="40402" hidden="1"/>
    <cellStyle name="강조색1 4" xfId="40444" hidden="1"/>
    <cellStyle name="강조색1 4" xfId="40486" hidden="1"/>
    <cellStyle name="강조색1 4" xfId="40528" hidden="1"/>
    <cellStyle name="강조색1 4" xfId="40570" hidden="1"/>
    <cellStyle name="강조색1 4" xfId="40612" hidden="1"/>
    <cellStyle name="강조색1 4" xfId="40654" hidden="1"/>
    <cellStyle name="강조색1 4" xfId="40696" hidden="1"/>
    <cellStyle name="강조색1 4" xfId="40192" hidden="1"/>
    <cellStyle name="강조색1 4" xfId="40875" hidden="1"/>
    <cellStyle name="강조색1 4" xfId="40915" hidden="1"/>
    <cellStyle name="강조색1 4" xfId="40955" hidden="1"/>
    <cellStyle name="강조색1 4" xfId="40995" hidden="1"/>
    <cellStyle name="강조색1 4" xfId="41035" hidden="1"/>
    <cellStyle name="강조색1 4" xfId="41075" hidden="1"/>
    <cellStyle name="강조색1 4" xfId="41115" hidden="1"/>
    <cellStyle name="강조색1 4" xfId="41155" hidden="1"/>
    <cellStyle name="강조색1 4" xfId="41195" hidden="1"/>
    <cellStyle name="강조색1 4" xfId="41235" hidden="1"/>
    <cellStyle name="강조색1 4" xfId="41275" hidden="1"/>
    <cellStyle name="강조색1 4" xfId="41315" hidden="1"/>
    <cellStyle name="강조색1 4" xfId="40785" hidden="1"/>
    <cellStyle name="강조색1 4" xfId="40746" hidden="1"/>
    <cellStyle name="강조색1 4" xfId="41357" hidden="1"/>
    <cellStyle name="강조색1 4" xfId="41399" hidden="1"/>
    <cellStyle name="강조색1 4" xfId="41441" hidden="1"/>
    <cellStyle name="강조색1 4" xfId="41483" hidden="1"/>
    <cellStyle name="강조색1 4" xfId="41525" hidden="1"/>
    <cellStyle name="강조색1 4" xfId="41567" hidden="1"/>
    <cellStyle name="강조색1 4" xfId="41609" hidden="1"/>
    <cellStyle name="강조색1 4" xfId="41651" hidden="1"/>
    <cellStyle name="강조색1 4" xfId="41693" hidden="1"/>
    <cellStyle name="강조색1 4" xfId="41735" hidden="1"/>
    <cellStyle name="강조색1 4" xfId="40838" hidden="1"/>
    <cellStyle name="강조색1 4" xfId="41763" hidden="1"/>
    <cellStyle name="강조색1 4" xfId="41803" hidden="1"/>
    <cellStyle name="강조색1 4" xfId="41843" hidden="1"/>
    <cellStyle name="강조색1 4" xfId="41883" hidden="1"/>
    <cellStyle name="강조색1 4" xfId="41923" hidden="1"/>
    <cellStyle name="강조색1 4" xfId="41963" hidden="1"/>
    <cellStyle name="강조색1 4" xfId="42003" hidden="1"/>
    <cellStyle name="강조색1 4" xfId="42043" hidden="1"/>
    <cellStyle name="강조색1 4" xfId="42083" hidden="1"/>
    <cellStyle name="강조색1 4" xfId="42123" hidden="1"/>
    <cellStyle name="강조색1 4" xfId="42163" hidden="1"/>
    <cellStyle name="강조색1 4" xfId="42203" hidden="1"/>
    <cellStyle name="강조색1 4" xfId="42246" hidden="1"/>
    <cellStyle name="강조색1 4" xfId="42286" hidden="1"/>
    <cellStyle name="강조색1 4" xfId="42326" hidden="1"/>
    <cellStyle name="강조색1 4" xfId="42366" hidden="1"/>
    <cellStyle name="강조색1 4" xfId="42406" hidden="1"/>
    <cellStyle name="강조색1 4" xfId="42446" hidden="1"/>
    <cellStyle name="강조색1 4" xfId="42486" hidden="1"/>
    <cellStyle name="강조색1 4" xfId="42526" hidden="1"/>
    <cellStyle name="강조색1 4" xfId="42566" hidden="1"/>
    <cellStyle name="강조색1 4" xfId="42606" hidden="1"/>
    <cellStyle name="강조색1 4" xfId="42646" hidden="1"/>
    <cellStyle name="강조색1 4" xfId="42686" hidden="1"/>
    <cellStyle name="강조색1 4" xfId="42770" hidden="1"/>
    <cellStyle name="강조색1 4" xfId="42811" hidden="1"/>
    <cellStyle name="강조색1 4" xfId="42853" hidden="1"/>
    <cellStyle name="강조색1 4" xfId="42895" hidden="1"/>
    <cellStyle name="강조색1 4" xfId="42937" hidden="1"/>
    <cellStyle name="강조색1 4" xfId="42979" hidden="1"/>
    <cellStyle name="강조색1 4" xfId="43021" hidden="1"/>
    <cellStyle name="강조색1 4" xfId="43063" hidden="1"/>
    <cellStyle name="강조색1 4" xfId="43105" hidden="1"/>
    <cellStyle name="강조색1 4" xfId="43147" hidden="1"/>
    <cellStyle name="강조색1 4" xfId="43189" hidden="1"/>
    <cellStyle name="강조색1 4" xfId="43231" hidden="1"/>
    <cellStyle name="강조색1 4" xfId="42727" hidden="1"/>
    <cellStyle name="강조색1 4" xfId="43410" hidden="1"/>
    <cellStyle name="강조색1 4" xfId="43450" hidden="1"/>
    <cellStyle name="강조색1 4" xfId="43490" hidden="1"/>
    <cellStyle name="강조색1 4" xfId="43530" hidden="1"/>
    <cellStyle name="강조색1 4" xfId="43570" hidden="1"/>
    <cellStyle name="강조색1 4" xfId="43610" hidden="1"/>
    <cellStyle name="강조색1 4" xfId="43650" hidden="1"/>
    <cellStyle name="강조색1 4" xfId="43690" hidden="1"/>
    <cellStyle name="강조색1 4" xfId="43730" hidden="1"/>
    <cellStyle name="강조색1 4" xfId="43770" hidden="1"/>
    <cellStyle name="강조색1 4" xfId="43810" hidden="1"/>
    <cellStyle name="강조색1 4" xfId="43850" hidden="1"/>
    <cellStyle name="강조색1 4" xfId="43320" hidden="1"/>
    <cellStyle name="강조색1 4" xfId="43281" hidden="1"/>
    <cellStyle name="강조색1 4" xfId="43892" hidden="1"/>
    <cellStyle name="강조색1 4" xfId="43934" hidden="1"/>
    <cellStyle name="강조색1 4" xfId="43976" hidden="1"/>
    <cellStyle name="강조색1 4" xfId="44018" hidden="1"/>
    <cellStyle name="강조색1 4" xfId="44060" hidden="1"/>
    <cellStyle name="강조색1 4" xfId="44102" hidden="1"/>
    <cellStyle name="강조색1 4" xfId="44144" hidden="1"/>
    <cellStyle name="강조색1 4" xfId="44186" hidden="1"/>
    <cellStyle name="강조색1 4" xfId="44228" hidden="1"/>
    <cellStyle name="강조색1 4" xfId="44270" hidden="1"/>
    <cellStyle name="강조색1 4" xfId="43373" hidden="1"/>
    <cellStyle name="강조색1 4" xfId="44298" hidden="1"/>
    <cellStyle name="강조색1 4" xfId="44338" hidden="1"/>
    <cellStyle name="강조색1 4" xfId="44378" hidden="1"/>
    <cellStyle name="강조색1 4" xfId="44418" hidden="1"/>
    <cellStyle name="강조색1 4" xfId="44458" hidden="1"/>
    <cellStyle name="강조색1 4" xfId="44498" hidden="1"/>
    <cellStyle name="강조색1 4" xfId="44538" hidden="1"/>
    <cellStyle name="강조색1 4" xfId="44578" hidden="1"/>
    <cellStyle name="강조색1 4" xfId="44618" hidden="1"/>
    <cellStyle name="강조색1 4" xfId="44658" hidden="1"/>
    <cellStyle name="강조색1 4" xfId="44698" hidden="1"/>
    <cellStyle name="강조색1 4" xfId="44738" hidden="1"/>
    <cellStyle name="강조색1 4" xfId="44834" hidden="1"/>
    <cellStyle name="강조색1 4" xfId="44874" hidden="1"/>
    <cellStyle name="강조색1 4" xfId="44916" hidden="1"/>
    <cellStyle name="강조색1 4" xfId="44957" hidden="1"/>
    <cellStyle name="강조색1 4" xfId="44997" hidden="1"/>
    <cellStyle name="강조색1 4" xfId="45037" hidden="1"/>
    <cellStyle name="강조색1 4" xfId="45077" hidden="1"/>
    <cellStyle name="강조색1 4" xfId="45117" hidden="1"/>
    <cellStyle name="강조색1 4" xfId="45157" hidden="1"/>
    <cellStyle name="강조색1 4" xfId="45197" hidden="1"/>
    <cellStyle name="강조색1 4" xfId="45237" hidden="1"/>
    <cellStyle name="강조색1 4" xfId="45277" hidden="1"/>
    <cellStyle name="강조색1 4" xfId="45361" hidden="1"/>
    <cellStyle name="강조색1 4" xfId="45402" hidden="1"/>
    <cellStyle name="강조색1 4" xfId="45444" hidden="1"/>
    <cellStyle name="강조색1 4" xfId="45486" hidden="1"/>
    <cellStyle name="강조색1 4" xfId="45528" hidden="1"/>
    <cellStyle name="강조색1 4" xfId="45570" hidden="1"/>
    <cellStyle name="강조색1 4" xfId="45612" hidden="1"/>
    <cellStyle name="강조색1 4" xfId="45654" hidden="1"/>
    <cellStyle name="강조색1 4" xfId="45696" hidden="1"/>
    <cellStyle name="강조색1 4" xfId="45738" hidden="1"/>
    <cellStyle name="강조색1 4" xfId="45780" hidden="1"/>
    <cellStyle name="강조색1 4" xfId="45822" hidden="1"/>
    <cellStyle name="강조색1 4" xfId="45318" hidden="1"/>
    <cellStyle name="강조색1 4" xfId="46001" hidden="1"/>
    <cellStyle name="강조색1 4" xfId="46041" hidden="1"/>
    <cellStyle name="강조색1 4" xfId="46081" hidden="1"/>
    <cellStyle name="강조색1 4" xfId="46121" hidden="1"/>
    <cellStyle name="강조색1 4" xfId="46161" hidden="1"/>
    <cellStyle name="강조색1 4" xfId="46201" hidden="1"/>
    <cellStyle name="강조색1 4" xfId="46241" hidden="1"/>
    <cellStyle name="강조색1 4" xfId="46281" hidden="1"/>
    <cellStyle name="강조색1 4" xfId="46321" hidden="1"/>
    <cellStyle name="강조색1 4" xfId="46361" hidden="1"/>
    <cellStyle name="강조색1 4" xfId="46401" hidden="1"/>
    <cellStyle name="강조색1 4" xfId="46441" hidden="1"/>
    <cellStyle name="강조색1 4" xfId="45911" hidden="1"/>
    <cellStyle name="강조색1 4" xfId="45872" hidden="1"/>
    <cellStyle name="강조색1 4" xfId="46483" hidden="1"/>
    <cellStyle name="강조색1 4" xfId="46525" hidden="1"/>
    <cellStyle name="강조색1 4" xfId="46567" hidden="1"/>
    <cellStyle name="강조색1 4" xfId="46609" hidden="1"/>
    <cellStyle name="강조색1 4" xfId="46651" hidden="1"/>
    <cellStyle name="강조색1 4" xfId="46693" hidden="1"/>
    <cellStyle name="강조색1 4" xfId="46735" hidden="1"/>
    <cellStyle name="강조색1 4" xfId="46777" hidden="1"/>
    <cellStyle name="강조색1 4" xfId="46819" hidden="1"/>
    <cellStyle name="강조색1 4" xfId="46861" hidden="1"/>
    <cellStyle name="강조색1 4" xfId="45964" hidden="1"/>
    <cellStyle name="강조색1 4" xfId="46889" hidden="1"/>
    <cellStyle name="강조색1 4" xfId="46929" hidden="1"/>
    <cellStyle name="강조색1 4" xfId="46969" hidden="1"/>
    <cellStyle name="강조색1 4" xfId="47009" hidden="1"/>
    <cellStyle name="강조색1 4" xfId="47049" hidden="1"/>
    <cellStyle name="강조색1 4" xfId="47089" hidden="1"/>
    <cellStyle name="강조색1 4" xfId="47129" hidden="1"/>
    <cellStyle name="강조색1 4" xfId="47169" hidden="1"/>
    <cellStyle name="강조색1 4" xfId="47209" hidden="1"/>
    <cellStyle name="강조색1 4" xfId="47249" hidden="1"/>
    <cellStyle name="강조색1 4" xfId="47289" hidden="1"/>
    <cellStyle name="강조색1 4" xfId="47329" hidden="1"/>
    <cellStyle name="강조색1 4" xfId="44772" hidden="1"/>
    <cellStyle name="강조색1 4" xfId="47380" hidden="1"/>
    <cellStyle name="강조색1 4" xfId="47420" hidden="1"/>
    <cellStyle name="강조색1 4" xfId="47460" hidden="1"/>
    <cellStyle name="강조색1 4" xfId="47500" hidden="1"/>
    <cellStyle name="강조색1 4" xfId="47540" hidden="1"/>
    <cellStyle name="강조색1 4" xfId="47580" hidden="1"/>
    <cellStyle name="강조색1 4" xfId="47620" hidden="1"/>
    <cellStyle name="강조색1 4" xfId="47660" hidden="1"/>
    <cellStyle name="강조색1 4" xfId="47700" hidden="1"/>
    <cellStyle name="강조색1 4" xfId="47740" hidden="1"/>
    <cellStyle name="강조색1 4" xfId="47780" hidden="1"/>
    <cellStyle name="강조색1 4" xfId="47864" hidden="1"/>
    <cellStyle name="강조색1 4" xfId="47905" hidden="1"/>
    <cellStyle name="강조색1 4" xfId="47947" hidden="1"/>
    <cellStyle name="강조색1 4" xfId="47989" hidden="1"/>
    <cellStyle name="강조색1 4" xfId="48031" hidden="1"/>
    <cellStyle name="강조색1 4" xfId="48073" hidden="1"/>
    <cellStyle name="강조색1 4" xfId="48115" hidden="1"/>
    <cellStyle name="강조색1 4" xfId="48157" hidden="1"/>
    <cellStyle name="강조색1 4" xfId="48199" hidden="1"/>
    <cellStyle name="강조색1 4" xfId="48241" hidden="1"/>
    <cellStyle name="강조색1 4" xfId="48283" hidden="1"/>
    <cellStyle name="강조색1 4" xfId="48325" hidden="1"/>
    <cellStyle name="강조색1 4" xfId="47821" hidden="1"/>
    <cellStyle name="강조색1 4" xfId="48504" hidden="1"/>
    <cellStyle name="강조색1 4" xfId="48544" hidden="1"/>
    <cellStyle name="강조색1 4" xfId="48584" hidden="1"/>
    <cellStyle name="강조색1 4" xfId="48624" hidden="1"/>
    <cellStyle name="강조색1 4" xfId="48664" hidden="1"/>
    <cellStyle name="강조색1 4" xfId="48704" hidden="1"/>
    <cellStyle name="강조색1 4" xfId="48744" hidden="1"/>
    <cellStyle name="강조색1 4" xfId="48784" hidden="1"/>
    <cellStyle name="강조색1 4" xfId="48824" hidden="1"/>
    <cellStyle name="강조색1 4" xfId="48864" hidden="1"/>
    <cellStyle name="강조색1 4" xfId="48904" hidden="1"/>
    <cellStyle name="강조색1 4" xfId="48944" hidden="1"/>
    <cellStyle name="강조색1 4" xfId="48414" hidden="1"/>
    <cellStyle name="강조색1 4" xfId="48375" hidden="1"/>
    <cellStyle name="강조색1 4" xfId="48986" hidden="1"/>
    <cellStyle name="강조색1 4" xfId="49028" hidden="1"/>
    <cellStyle name="강조색1 4" xfId="49070" hidden="1"/>
    <cellStyle name="강조색1 4" xfId="49112" hidden="1"/>
    <cellStyle name="강조색1 4" xfId="49154" hidden="1"/>
    <cellStyle name="강조색1 4" xfId="49196" hidden="1"/>
    <cellStyle name="강조색1 4" xfId="49238" hidden="1"/>
    <cellStyle name="강조색1 4" xfId="49280" hidden="1"/>
    <cellStyle name="강조색1 4" xfId="49322" hidden="1"/>
    <cellStyle name="강조색1 4" xfId="49364" hidden="1"/>
    <cellStyle name="강조색1 4" xfId="48467" hidden="1"/>
    <cellStyle name="강조색1 4" xfId="49392" hidden="1"/>
    <cellStyle name="강조색1 4" xfId="49432" hidden="1"/>
    <cellStyle name="강조색1 4" xfId="49472" hidden="1"/>
    <cellStyle name="강조색1 4" xfId="49512" hidden="1"/>
    <cellStyle name="강조색1 4" xfId="49552" hidden="1"/>
    <cellStyle name="강조색1 4" xfId="49592" hidden="1"/>
    <cellStyle name="강조색1 4" xfId="49632" hidden="1"/>
    <cellStyle name="강조색1 4" xfId="49672" hidden="1"/>
    <cellStyle name="강조색1 4" xfId="49712" hidden="1"/>
    <cellStyle name="강조색1 4" xfId="49752" hidden="1"/>
    <cellStyle name="강조색1 4" xfId="49792" hidden="1"/>
    <cellStyle name="강조색1 4" xfId="49832" hidden="1"/>
    <cellStyle name="강조색1 4" xfId="44803" hidden="1"/>
    <cellStyle name="강조색1 4" xfId="49882" hidden="1"/>
    <cellStyle name="강조색1 4" xfId="49922" hidden="1"/>
    <cellStyle name="강조색1 4" xfId="49962" hidden="1"/>
    <cellStyle name="강조색1 4" xfId="50002" hidden="1"/>
    <cellStyle name="강조색1 4" xfId="50042" hidden="1"/>
    <cellStyle name="강조색1 4" xfId="50082" hidden="1"/>
    <cellStyle name="강조색1 4" xfId="50122" hidden="1"/>
    <cellStyle name="강조색1 4" xfId="50162" hidden="1"/>
    <cellStyle name="강조색1 4" xfId="50202" hidden="1"/>
    <cellStyle name="강조색1 4" xfId="50242" hidden="1"/>
    <cellStyle name="강조색1 4" xfId="50282" hidden="1"/>
    <cellStyle name="강조색1 4" xfId="50366" hidden="1"/>
    <cellStyle name="강조색1 4" xfId="50407" hidden="1"/>
    <cellStyle name="강조색1 4" xfId="50449" hidden="1"/>
    <cellStyle name="강조색1 4" xfId="50491" hidden="1"/>
    <cellStyle name="강조색1 4" xfId="50533" hidden="1"/>
    <cellStyle name="강조색1 4" xfId="50575" hidden="1"/>
    <cellStyle name="강조색1 4" xfId="50617" hidden="1"/>
    <cellStyle name="강조색1 4" xfId="50659" hidden="1"/>
    <cellStyle name="강조색1 4" xfId="50701" hidden="1"/>
    <cellStyle name="강조색1 4" xfId="50743" hidden="1"/>
    <cellStyle name="강조색1 4" xfId="50785" hidden="1"/>
    <cellStyle name="강조색1 4" xfId="50827" hidden="1"/>
    <cellStyle name="강조색1 4" xfId="50323" hidden="1"/>
    <cellStyle name="강조색1 4" xfId="51006" hidden="1"/>
    <cellStyle name="강조색1 4" xfId="51046" hidden="1"/>
    <cellStyle name="강조색1 4" xfId="51086" hidden="1"/>
    <cellStyle name="강조색1 4" xfId="51126" hidden="1"/>
    <cellStyle name="강조색1 4" xfId="51166" hidden="1"/>
    <cellStyle name="강조색1 4" xfId="51206" hidden="1"/>
    <cellStyle name="강조색1 4" xfId="51246" hidden="1"/>
    <cellStyle name="강조색1 4" xfId="51286" hidden="1"/>
    <cellStyle name="강조색1 4" xfId="51326" hidden="1"/>
    <cellStyle name="강조색1 4" xfId="51366" hidden="1"/>
    <cellStyle name="강조색1 4" xfId="51406" hidden="1"/>
    <cellStyle name="강조색1 4" xfId="51446" hidden="1"/>
    <cellStyle name="강조색1 4" xfId="50916" hidden="1"/>
    <cellStyle name="강조색1 4" xfId="50877" hidden="1"/>
    <cellStyle name="강조색1 4" xfId="51488" hidden="1"/>
    <cellStyle name="강조색1 4" xfId="51530" hidden="1"/>
    <cellStyle name="강조색1 4" xfId="51572" hidden="1"/>
    <cellStyle name="강조색1 4" xfId="51614" hidden="1"/>
    <cellStyle name="강조색1 4" xfId="51656" hidden="1"/>
    <cellStyle name="강조색1 4" xfId="51698" hidden="1"/>
    <cellStyle name="강조색1 4" xfId="51740" hidden="1"/>
    <cellStyle name="강조색1 4" xfId="51782" hidden="1"/>
    <cellStyle name="강조색1 4" xfId="51824" hidden="1"/>
    <cellStyle name="강조색1 4" xfId="51866" hidden="1"/>
    <cellStyle name="강조색1 4" xfId="50969" hidden="1"/>
    <cellStyle name="강조색1 4" xfId="51894" hidden="1"/>
    <cellStyle name="강조색1 4" xfId="51934" hidden="1"/>
    <cellStyle name="강조색1 4" xfId="51974" hidden="1"/>
    <cellStyle name="강조색1 4" xfId="52014" hidden="1"/>
    <cellStyle name="강조색1 4" xfId="52054" hidden="1"/>
    <cellStyle name="강조색1 4" xfId="52094" hidden="1"/>
    <cellStyle name="강조색1 4" xfId="52134" hidden="1"/>
    <cellStyle name="강조색1 4" xfId="52174" hidden="1"/>
    <cellStyle name="강조색1 4" xfId="52214" hidden="1"/>
    <cellStyle name="강조색1 4" xfId="52254" hidden="1"/>
    <cellStyle name="강조색1 4" xfId="52294" hidden="1"/>
    <cellStyle name="강조색1 4" xfId="52334" hidden="1"/>
    <cellStyle name="강조색1 4 2" xfId="4365"/>
    <cellStyle name="강조색1 4 3" xfId="4366"/>
    <cellStyle name="강조색1 4 4" xfId="4367"/>
    <cellStyle name="강조색1 4 5" xfId="4368"/>
    <cellStyle name="강조색1 40" xfId="4369"/>
    <cellStyle name="강조색1 41" xfId="4370"/>
    <cellStyle name="강조색1 42" xfId="4371"/>
    <cellStyle name="강조색1 43" xfId="4372"/>
    <cellStyle name="강조색1 44" xfId="4373"/>
    <cellStyle name="강조색1 45" xfId="4374"/>
    <cellStyle name="강조색1 46" xfId="4375"/>
    <cellStyle name="강조색1 47" xfId="4376"/>
    <cellStyle name="강조색1 48" xfId="4377"/>
    <cellStyle name="강조색1 49" xfId="4378"/>
    <cellStyle name="강조색1 5" xfId="4379"/>
    <cellStyle name="강조색1 50" xfId="4380"/>
    <cellStyle name="강조색1 51" xfId="4381"/>
    <cellStyle name="강조색1 52" xfId="4382"/>
    <cellStyle name="강조색1 6" xfId="4383"/>
    <cellStyle name="강조색1 7" xfId="4384"/>
    <cellStyle name="강조색1 8" xfId="4385"/>
    <cellStyle name="강조색1 9" xfId="4386"/>
    <cellStyle name="강조색2 10" xfId="4387"/>
    <cellStyle name="강조색2 11" xfId="4388"/>
    <cellStyle name="강조색2 12" xfId="4389"/>
    <cellStyle name="강조색2 13" xfId="4390"/>
    <cellStyle name="강조색2 14" xfId="4391"/>
    <cellStyle name="강조색2 15" xfId="4392"/>
    <cellStyle name="강조색2 16" xfId="4393"/>
    <cellStyle name="강조색2 17" xfId="4394"/>
    <cellStyle name="강조색2 18" xfId="4395"/>
    <cellStyle name="강조색2 19" xfId="4396"/>
    <cellStyle name="강조색2 2" xfId="348"/>
    <cellStyle name="강조색2 2 10" xfId="4397"/>
    <cellStyle name="강조색2 2 100" xfId="4398"/>
    <cellStyle name="강조색2 2 101" xfId="4399"/>
    <cellStyle name="강조색2 2 102" xfId="4400"/>
    <cellStyle name="강조색2 2 103" xfId="4401"/>
    <cellStyle name="강조색2 2 104" xfId="4402"/>
    <cellStyle name="강조색2 2 105" xfId="4403"/>
    <cellStyle name="강조색2 2 106" xfId="4404"/>
    <cellStyle name="강조색2 2 107" xfId="4405"/>
    <cellStyle name="강조색2 2 108" xfId="4406"/>
    <cellStyle name="강조색2 2 109" xfId="4407"/>
    <cellStyle name="강조색2 2 11" xfId="4408"/>
    <cellStyle name="강조색2 2 110" xfId="4409"/>
    <cellStyle name="강조색2 2 111" xfId="4410"/>
    <cellStyle name="강조색2 2 112" xfId="4411"/>
    <cellStyle name="강조색2 2 12" xfId="4412"/>
    <cellStyle name="강조색2 2 13" xfId="4413"/>
    <cellStyle name="강조색2 2 14" xfId="4414"/>
    <cellStyle name="강조색2 2 15" xfId="4415"/>
    <cellStyle name="강조색2 2 16" xfId="4416"/>
    <cellStyle name="강조색2 2 17" xfId="4417"/>
    <cellStyle name="강조색2 2 18" xfId="4418"/>
    <cellStyle name="강조색2 2 19" xfId="4419"/>
    <cellStyle name="강조색2 2 2" xfId="4420"/>
    <cellStyle name="강조색2 2 2 2" xfId="4421"/>
    <cellStyle name="강조색2 2 2 3" xfId="4422"/>
    <cellStyle name="강조색2 2 2 4" xfId="4423"/>
    <cellStyle name="강조색2 2 2 5" xfId="4424"/>
    <cellStyle name="강조색2 2 20" xfId="4425"/>
    <cellStyle name="강조색2 2 21" xfId="4426"/>
    <cellStyle name="강조색2 2 22" xfId="4427"/>
    <cellStyle name="강조색2 2 23" xfId="4428"/>
    <cellStyle name="강조색2 2 24" xfId="4429"/>
    <cellStyle name="강조색2 2 25" xfId="4430"/>
    <cellStyle name="강조색2 2 26" xfId="4431"/>
    <cellStyle name="강조색2 2 27" xfId="4432"/>
    <cellStyle name="강조색2 2 28" xfId="4433"/>
    <cellStyle name="강조색2 2 29" xfId="4434"/>
    <cellStyle name="강조색2 2 3" xfId="4435"/>
    <cellStyle name="강조색2 2 30" xfId="4436"/>
    <cellStyle name="강조색2 2 31" xfId="4437"/>
    <cellStyle name="강조색2 2 32" xfId="4438"/>
    <cellStyle name="강조색2 2 33" xfId="4439"/>
    <cellStyle name="강조색2 2 34" xfId="4440"/>
    <cellStyle name="강조색2 2 35" xfId="4441"/>
    <cellStyle name="강조색2 2 36" xfId="4442"/>
    <cellStyle name="강조색2 2 37" xfId="4443"/>
    <cellStyle name="강조색2 2 38" xfId="4444"/>
    <cellStyle name="강조색2 2 39" xfId="4445"/>
    <cellStyle name="강조색2 2 4" xfId="4446"/>
    <cellStyle name="강조색2 2 40" xfId="4447"/>
    <cellStyle name="강조색2 2 41" xfId="4448"/>
    <cellStyle name="강조색2 2 42" xfId="4449"/>
    <cellStyle name="강조색2 2 43" xfId="4450"/>
    <cellStyle name="강조색2 2 44" xfId="4451"/>
    <cellStyle name="강조색2 2 45" xfId="4452"/>
    <cellStyle name="강조색2 2 46" xfId="4453"/>
    <cellStyle name="강조색2 2 47" xfId="4454"/>
    <cellStyle name="강조색2 2 48" xfId="4455"/>
    <cellStyle name="강조색2 2 49" xfId="4456"/>
    <cellStyle name="강조색2 2 5" xfId="4457"/>
    <cellStyle name="강조색2 2 50" xfId="4458"/>
    <cellStyle name="강조색2 2 51" xfId="4459"/>
    <cellStyle name="강조색2 2 52" xfId="4460"/>
    <cellStyle name="강조색2 2 53" xfId="4461"/>
    <cellStyle name="강조색2 2 54" xfId="4462"/>
    <cellStyle name="강조색2 2 55" xfId="4463"/>
    <cellStyle name="강조색2 2 56" xfId="4464"/>
    <cellStyle name="강조색2 2 57" xfId="4465"/>
    <cellStyle name="강조색2 2 58" xfId="4466"/>
    <cellStyle name="강조색2 2 59" xfId="4467"/>
    <cellStyle name="강조색2 2 6" xfId="4468"/>
    <cellStyle name="강조색2 2 60" xfId="4469"/>
    <cellStyle name="강조색2 2 61" xfId="4470"/>
    <cellStyle name="강조색2 2 62" xfId="4471"/>
    <cellStyle name="강조색2 2 63" xfId="4472"/>
    <cellStyle name="강조색2 2 64" xfId="4473"/>
    <cellStyle name="강조색2 2 65" xfId="4474"/>
    <cellStyle name="강조색2 2 66" xfId="4475"/>
    <cellStyle name="강조색2 2 67" xfId="4476"/>
    <cellStyle name="강조색2 2 68" xfId="4477"/>
    <cellStyle name="강조색2 2 69" xfId="4478"/>
    <cellStyle name="강조색2 2 7" xfId="4479"/>
    <cellStyle name="강조색2 2 70" xfId="4480"/>
    <cellStyle name="강조색2 2 71" xfId="4481"/>
    <cellStyle name="강조색2 2 72" xfId="4482"/>
    <cellStyle name="강조색2 2 73" xfId="4483"/>
    <cellStyle name="강조색2 2 74" xfId="4484"/>
    <cellStyle name="강조색2 2 75" xfId="4485"/>
    <cellStyle name="강조색2 2 76" xfId="4486"/>
    <cellStyle name="강조색2 2 77" xfId="4487"/>
    <cellStyle name="강조색2 2 78" xfId="4488"/>
    <cellStyle name="강조색2 2 79" xfId="4489"/>
    <cellStyle name="강조색2 2 8" xfId="4490"/>
    <cellStyle name="강조색2 2 80" xfId="4491"/>
    <cellStyle name="강조색2 2 81" xfId="4492"/>
    <cellStyle name="강조색2 2 82" xfId="4493"/>
    <cellStyle name="강조색2 2 83" xfId="4494"/>
    <cellStyle name="강조색2 2 84" xfId="4495"/>
    <cellStyle name="강조색2 2 85" xfId="4496"/>
    <cellStyle name="강조색2 2 86" xfId="4497"/>
    <cellStyle name="강조색2 2 87" xfId="4498"/>
    <cellStyle name="강조색2 2 88" xfId="4499"/>
    <cellStyle name="강조색2 2 89" xfId="4500"/>
    <cellStyle name="강조색2 2 9" xfId="4501"/>
    <cellStyle name="강조색2 2 90" xfId="4502"/>
    <cellStyle name="강조색2 2 91" xfId="4503"/>
    <cellStyle name="강조색2 2 92" xfId="4504"/>
    <cellStyle name="강조색2 2 93" xfId="4505"/>
    <cellStyle name="강조색2 2 94" xfId="4506"/>
    <cellStyle name="강조색2 2 95" xfId="4507"/>
    <cellStyle name="강조색2 2 96" xfId="4508"/>
    <cellStyle name="강조색2 2 97" xfId="4509"/>
    <cellStyle name="강조색2 2 98" xfId="4510"/>
    <cellStyle name="강조색2 2 99" xfId="4511"/>
    <cellStyle name="강조색2 20" xfId="4512"/>
    <cellStyle name="강조색2 21" xfId="4513"/>
    <cellStyle name="강조색2 22" xfId="4514"/>
    <cellStyle name="강조색2 23" xfId="4515"/>
    <cellStyle name="강조색2 24" xfId="4516"/>
    <cellStyle name="강조색2 25" xfId="4517"/>
    <cellStyle name="강조색2 26" xfId="4518"/>
    <cellStyle name="강조색2 27" xfId="4519"/>
    <cellStyle name="강조색2 28" xfId="4520"/>
    <cellStyle name="강조색2 29" xfId="4521"/>
    <cellStyle name="강조색2 3" xfId="349"/>
    <cellStyle name="강조색2 30" xfId="4522"/>
    <cellStyle name="강조색2 31" xfId="4523"/>
    <cellStyle name="강조색2 32" xfId="4524"/>
    <cellStyle name="강조색2 33" xfId="4525"/>
    <cellStyle name="강조색2 34" xfId="4526"/>
    <cellStyle name="강조색2 35" xfId="4527"/>
    <cellStyle name="강조색2 36" xfId="4528"/>
    <cellStyle name="강조색2 37" xfId="4529"/>
    <cellStyle name="강조색2 38" xfId="4530"/>
    <cellStyle name="강조색2 39" xfId="4531"/>
    <cellStyle name="강조색2 4" xfId="11728" hidden="1"/>
    <cellStyle name="강조색2 4" xfId="11774" hidden="1"/>
    <cellStyle name="강조색2 4" xfId="11820" hidden="1"/>
    <cellStyle name="강조색2 4" xfId="11866" hidden="1"/>
    <cellStyle name="강조색2 4" xfId="11912" hidden="1"/>
    <cellStyle name="강조색2 4" xfId="11958" hidden="1"/>
    <cellStyle name="강조색2 4" xfId="12004" hidden="1"/>
    <cellStyle name="강조색2 4" xfId="12050" hidden="1"/>
    <cellStyle name="강조색2 4" xfId="12096" hidden="1"/>
    <cellStyle name="강조색2 4" xfId="12142" hidden="1"/>
    <cellStyle name="강조색2 4" xfId="12188" hidden="1"/>
    <cellStyle name="강조색2 4" xfId="12234" hidden="1"/>
    <cellStyle name="강조색2 4" xfId="12324" hidden="1"/>
    <cellStyle name="강조색2 4" xfId="12365" hidden="1"/>
    <cellStyle name="강조색2 4" xfId="12407" hidden="1"/>
    <cellStyle name="강조색2 4" xfId="12449" hidden="1"/>
    <cellStyle name="강조색2 4" xfId="12491" hidden="1"/>
    <cellStyle name="강조색2 4" xfId="12533" hidden="1"/>
    <cellStyle name="강조색2 4" xfId="12575" hidden="1"/>
    <cellStyle name="강조색2 4" xfId="12617" hidden="1"/>
    <cellStyle name="강조색2 4" xfId="12659" hidden="1"/>
    <cellStyle name="강조색2 4" xfId="12701" hidden="1"/>
    <cellStyle name="강조색2 4" xfId="12743" hidden="1"/>
    <cellStyle name="강조색2 4" xfId="12785" hidden="1"/>
    <cellStyle name="강조색2 4" xfId="12279" hidden="1"/>
    <cellStyle name="강조색2 4" xfId="12967" hidden="1"/>
    <cellStyle name="강조색2 4" xfId="13007" hidden="1"/>
    <cellStyle name="강조색2 4" xfId="13047" hidden="1"/>
    <cellStyle name="강조색2 4" xfId="13087" hidden="1"/>
    <cellStyle name="강조색2 4" xfId="13127" hidden="1"/>
    <cellStyle name="강조색2 4" xfId="13167" hidden="1"/>
    <cellStyle name="강조색2 4" xfId="13207" hidden="1"/>
    <cellStyle name="강조색2 4" xfId="13247" hidden="1"/>
    <cellStyle name="강조색2 4" xfId="13287" hidden="1"/>
    <cellStyle name="강조색2 4" xfId="13327" hidden="1"/>
    <cellStyle name="강조색2 4" xfId="13367" hidden="1"/>
    <cellStyle name="강조색2 4" xfId="13407" hidden="1"/>
    <cellStyle name="강조색2 4" xfId="12867" hidden="1"/>
    <cellStyle name="강조색2 4" xfId="12828" hidden="1"/>
    <cellStyle name="강조색2 4" xfId="13449" hidden="1"/>
    <cellStyle name="강조색2 4" xfId="13491" hidden="1"/>
    <cellStyle name="강조색2 4" xfId="13533" hidden="1"/>
    <cellStyle name="강조색2 4" xfId="13575" hidden="1"/>
    <cellStyle name="강조색2 4" xfId="13617" hidden="1"/>
    <cellStyle name="강조색2 4" xfId="13659" hidden="1"/>
    <cellStyle name="강조색2 4" xfId="13701" hidden="1"/>
    <cellStyle name="강조색2 4" xfId="13743" hidden="1"/>
    <cellStyle name="강조색2 4" xfId="13785" hidden="1"/>
    <cellStyle name="강조색2 4" xfId="13827" hidden="1"/>
    <cellStyle name="강조색2 4" xfId="12921" hidden="1"/>
    <cellStyle name="강조색2 4" xfId="13855" hidden="1"/>
    <cellStyle name="강조색2 4" xfId="13895" hidden="1"/>
    <cellStyle name="강조색2 4" xfId="13935" hidden="1"/>
    <cellStyle name="강조색2 4" xfId="13975" hidden="1"/>
    <cellStyle name="강조색2 4" xfId="14015" hidden="1"/>
    <cellStyle name="강조색2 4" xfId="14055" hidden="1"/>
    <cellStyle name="강조색2 4" xfId="14095" hidden="1"/>
    <cellStyle name="강조색2 4" xfId="14135" hidden="1"/>
    <cellStyle name="강조색2 4" xfId="14175" hidden="1"/>
    <cellStyle name="강조색2 4" xfId="14215" hidden="1"/>
    <cellStyle name="강조색2 4" xfId="14255" hidden="1"/>
    <cellStyle name="강조색2 4" xfId="14295" hidden="1"/>
    <cellStyle name="강조색2 4" xfId="14401" hidden="1"/>
    <cellStyle name="강조색2 4" xfId="14441" hidden="1"/>
    <cellStyle name="강조색2 4" xfId="14481" hidden="1"/>
    <cellStyle name="강조색2 4" xfId="14521" hidden="1"/>
    <cellStyle name="강조색2 4" xfId="14561" hidden="1"/>
    <cellStyle name="강조색2 4" xfId="14601" hidden="1"/>
    <cellStyle name="강조색2 4" xfId="14641" hidden="1"/>
    <cellStyle name="강조색2 4" xfId="14681" hidden="1"/>
    <cellStyle name="강조색2 4" xfId="14721" hidden="1"/>
    <cellStyle name="강조색2 4" xfId="14761" hidden="1"/>
    <cellStyle name="강조색2 4" xfId="14801" hidden="1"/>
    <cellStyle name="강조색2 4" xfId="14841" hidden="1"/>
    <cellStyle name="강조색2 4" xfId="14925" hidden="1"/>
    <cellStyle name="강조색2 4" xfId="14966" hidden="1"/>
    <cellStyle name="강조색2 4" xfId="15008" hidden="1"/>
    <cellStyle name="강조색2 4" xfId="15050" hidden="1"/>
    <cellStyle name="강조색2 4" xfId="15092" hidden="1"/>
    <cellStyle name="강조색2 4" xfId="15134" hidden="1"/>
    <cellStyle name="강조색2 4" xfId="15176" hidden="1"/>
    <cellStyle name="강조색2 4" xfId="15218" hidden="1"/>
    <cellStyle name="강조색2 4" xfId="15260" hidden="1"/>
    <cellStyle name="강조색2 4" xfId="15302" hidden="1"/>
    <cellStyle name="강조색2 4" xfId="15344" hidden="1"/>
    <cellStyle name="강조색2 4" xfId="15386" hidden="1"/>
    <cellStyle name="강조색2 4" xfId="14882" hidden="1"/>
    <cellStyle name="강조색2 4" xfId="15565" hidden="1"/>
    <cellStyle name="강조색2 4" xfId="15605" hidden="1"/>
    <cellStyle name="강조색2 4" xfId="15645" hidden="1"/>
    <cellStyle name="강조색2 4" xfId="15685" hidden="1"/>
    <cellStyle name="강조색2 4" xfId="15725" hidden="1"/>
    <cellStyle name="강조색2 4" xfId="15765" hidden="1"/>
    <cellStyle name="강조색2 4" xfId="15805" hidden="1"/>
    <cellStyle name="강조색2 4" xfId="15845" hidden="1"/>
    <cellStyle name="강조색2 4" xfId="15885" hidden="1"/>
    <cellStyle name="강조색2 4" xfId="15925" hidden="1"/>
    <cellStyle name="강조색2 4" xfId="15965" hidden="1"/>
    <cellStyle name="강조색2 4" xfId="16005" hidden="1"/>
    <cellStyle name="강조색2 4" xfId="15467" hidden="1"/>
    <cellStyle name="강조색2 4" xfId="15428" hidden="1"/>
    <cellStyle name="강조색2 4" xfId="16047" hidden="1"/>
    <cellStyle name="강조색2 4" xfId="16089" hidden="1"/>
    <cellStyle name="강조색2 4" xfId="16131" hidden="1"/>
    <cellStyle name="강조색2 4" xfId="16173" hidden="1"/>
    <cellStyle name="강조색2 4" xfId="16215" hidden="1"/>
    <cellStyle name="강조색2 4" xfId="16257" hidden="1"/>
    <cellStyle name="강조색2 4" xfId="16299" hidden="1"/>
    <cellStyle name="강조색2 4" xfId="16341" hidden="1"/>
    <cellStyle name="강조색2 4" xfId="16383" hidden="1"/>
    <cellStyle name="강조색2 4" xfId="16425" hidden="1"/>
    <cellStyle name="강조색2 4" xfId="15520" hidden="1"/>
    <cellStyle name="강조색2 4" xfId="16453" hidden="1"/>
    <cellStyle name="강조색2 4" xfId="16493" hidden="1"/>
    <cellStyle name="강조색2 4" xfId="16533" hidden="1"/>
    <cellStyle name="강조색2 4" xfId="16573" hidden="1"/>
    <cellStyle name="강조색2 4" xfId="16613" hidden="1"/>
    <cellStyle name="강조색2 4" xfId="16653" hidden="1"/>
    <cellStyle name="강조색2 4" xfId="16693" hidden="1"/>
    <cellStyle name="강조색2 4" xfId="16733" hidden="1"/>
    <cellStyle name="강조색2 4" xfId="16773" hidden="1"/>
    <cellStyle name="강조색2 4" xfId="16813" hidden="1"/>
    <cellStyle name="강조색2 4" xfId="16853" hidden="1"/>
    <cellStyle name="강조색2 4" xfId="16893" hidden="1"/>
    <cellStyle name="강조색2 4" xfId="406" hidden="1"/>
    <cellStyle name="강조색2 4" xfId="16944" hidden="1"/>
    <cellStyle name="강조색2 4" xfId="16985" hidden="1"/>
    <cellStyle name="강조색2 4" xfId="17025" hidden="1"/>
    <cellStyle name="강조색2 4" xfId="17065" hidden="1"/>
    <cellStyle name="강조색2 4" xfId="17105" hidden="1"/>
    <cellStyle name="강조색2 4" xfId="17145" hidden="1"/>
    <cellStyle name="강조색2 4" xfId="17185" hidden="1"/>
    <cellStyle name="강조색2 4" xfId="17225" hidden="1"/>
    <cellStyle name="강조색2 4" xfId="17265" hidden="1"/>
    <cellStyle name="강조색2 4" xfId="17305" hidden="1"/>
    <cellStyle name="강조색2 4" xfId="17345" hidden="1"/>
    <cellStyle name="강조색2 4" xfId="17429" hidden="1"/>
    <cellStyle name="강조색2 4" xfId="17470" hidden="1"/>
    <cellStyle name="강조색2 4" xfId="17512" hidden="1"/>
    <cellStyle name="강조색2 4" xfId="17554" hidden="1"/>
    <cellStyle name="강조색2 4" xfId="17596" hidden="1"/>
    <cellStyle name="강조색2 4" xfId="17638" hidden="1"/>
    <cellStyle name="강조색2 4" xfId="17680" hidden="1"/>
    <cellStyle name="강조색2 4" xfId="17722" hidden="1"/>
    <cellStyle name="강조색2 4" xfId="17764" hidden="1"/>
    <cellStyle name="강조색2 4" xfId="17806" hidden="1"/>
    <cellStyle name="강조색2 4" xfId="17848" hidden="1"/>
    <cellStyle name="강조색2 4" xfId="17890" hidden="1"/>
    <cellStyle name="강조색2 4" xfId="17386" hidden="1"/>
    <cellStyle name="강조색2 4" xfId="18069" hidden="1"/>
    <cellStyle name="강조색2 4" xfId="18109" hidden="1"/>
    <cellStyle name="강조색2 4" xfId="18149" hidden="1"/>
    <cellStyle name="강조색2 4" xfId="18189" hidden="1"/>
    <cellStyle name="강조색2 4" xfId="18229" hidden="1"/>
    <cellStyle name="강조색2 4" xfId="18269" hidden="1"/>
    <cellStyle name="강조색2 4" xfId="18309" hidden="1"/>
    <cellStyle name="강조색2 4" xfId="18349" hidden="1"/>
    <cellStyle name="강조색2 4" xfId="18389" hidden="1"/>
    <cellStyle name="강조색2 4" xfId="18429" hidden="1"/>
    <cellStyle name="강조색2 4" xfId="18469" hidden="1"/>
    <cellStyle name="강조색2 4" xfId="18509" hidden="1"/>
    <cellStyle name="강조색2 4" xfId="17971" hidden="1"/>
    <cellStyle name="강조색2 4" xfId="17932" hidden="1"/>
    <cellStyle name="강조색2 4" xfId="18551" hidden="1"/>
    <cellStyle name="강조색2 4" xfId="18593" hidden="1"/>
    <cellStyle name="강조색2 4" xfId="18635" hidden="1"/>
    <cellStyle name="강조색2 4" xfId="18677" hidden="1"/>
    <cellStyle name="강조색2 4" xfId="18719" hidden="1"/>
    <cellStyle name="강조색2 4" xfId="18761" hidden="1"/>
    <cellStyle name="강조색2 4" xfId="18803" hidden="1"/>
    <cellStyle name="강조색2 4" xfId="18845" hidden="1"/>
    <cellStyle name="강조색2 4" xfId="18887" hidden="1"/>
    <cellStyle name="강조색2 4" xfId="18929" hidden="1"/>
    <cellStyle name="강조색2 4" xfId="18024" hidden="1"/>
    <cellStyle name="강조색2 4" xfId="18957" hidden="1"/>
    <cellStyle name="강조색2 4" xfId="18997" hidden="1"/>
    <cellStyle name="강조색2 4" xfId="19037" hidden="1"/>
    <cellStyle name="강조색2 4" xfId="19077" hidden="1"/>
    <cellStyle name="강조색2 4" xfId="19117" hidden="1"/>
    <cellStyle name="강조색2 4" xfId="19157" hidden="1"/>
    <cellStyle name="강조색2 4" xfId="19197" hidden="1"/>
    <cellStyle name="강조색2 4" xfId="19237" hidden="1"/>
    <cellStyle name="강조색2 4" xfId="19277" hidden="1"/>
    <cellStyle name="강조색2 4" xfId="19317" hidden="1"/>
    <cellStyle name="강조색2 4" xfId="19357" hidden="1"/>
    <cellStyle name="강조색2 4" xfId="19397" hidden="1"/>
    <cellStyle name="강조색2 4" xfId="14369" hidden="1"/>
    <cellStyle name="강조색2 4" xfId="19447" hidden="1"/>
    <cellStyle name="강조색2 4" xfId="19487" hidden="1"/>
    <cellStyle name="강조색2 4" xfId="19527" hidden="1"/>
    <cellStyle name="강조색2 4" xfId="19567" hidden="1"/>
    <cellStyle name="강조색2 4" xfId="19607" hidden="1"/>
    <cellStyle name="강조색2 4" xfId="19647" hidden="1"/>
    <cellStyle name="강조색2 4" xfId="19687" hidden="1"/>
    <cellStyle name="강조색2 4" xfId="19727" hidden="1"/>
    <cellStyle name="강조색2 4" xfId="19767" hidden="1"/>
    <cellStyle name="강조색2 4" xfId="19807" hidden="1"/>
    <cellStyle name="강조색2 4" xfId="19847" hidden="1"/>
    <cellStyle name="강조색2 4" xfId="19931" hidden="1"/>
    <cellStyle name="강조색2 4" xfId="19972" hidden="1"/>
    <cellStyle name="강조색2 4" xfId="20014" hidden="1"/>
    <cellStyle name="강조색2 4" xfId="20056" hidden="1"/>
    <cellStyle name="강조색2 4" xfId="20098" hidden="1"/>
    <cellStyle name="강조색2 4" xfId="20140" hidden="1"/>
    <cellStyle name="강조색2 4" xfId="20182" hidden="1"/>
    <cellStyle name="강조색2 4" xfId="20224" hidden="1"/>
    <cellStyle name="강조색2 4" xfId="20266" hidden="1"/>
    <cellStyle name="강조색2 4" xfId="20308" hidden="1"/>
    <cellStyle name="강조색2 4" xfId="20350" hidden="1"/>
    <cellStyle name="강조색2 4" xfId="20392" hidden="1"/>
    <cellStyle name="강조색2 4" xfId="19888" hidden="1"/>
    <cellStyle name="강조색2 4" xfId="20571" hidden="1"/>
    <cellStyle name="강조색2 4" xfId="20611" hidden="1"/>
    <cellStyle name="강조색2 4" xfId="20651" hidden="1"/>
    <cellStyle name="강조색2 4" xfId="20691" hidden="1"/>
    <cellStyle name="강조색2 4" xfId="20731" hidden="1"/>
    <cellStyle name="강조색2 4" xfId="20771" hidden="1"/>
    <cellStyle name="강조색2 4" xfId="20811" hidden="1"/>
    <cellStyle name="강조색2 4" xfId="20851" hidden="1"/>
    <cellStyle name="강조색2 4" xfId="20891" hidden="1"/>
    <cellStyle name="강조색2 4" xfId="20931" hidden="1"/>
    <cellStyle name="강조색2 4" xfId="20971" hidden="1"/>
    <cellStyle name="강조색2 4" xfId="21011" hidden="1"/>
    <cellStyle name="강조색2 4" xfId="20473" hidden="1"/>
    <cellStyle name="강조색2 4" xfId="20434" hidden="1"/>
    <cellStyle name="강조색2 4" xfId="21053" hidden="1"/>
    <cellStyle name="강조색2 4" xfId="21095" hidden="1"/>
    <cellStyle name="강조색2 4" xfId="21137" hidden="1"/>
    <cellStyle name="강조색2 4" xfId="21179" hidden="1"/>
    <cellStyle name="강조색2 4" xfId="21221" hidden="1"/>
    <cellStyle name="강조색2 4" xfId="21263" hidden="1"/>
    <cellStyle name="강조색2 4" xfId="21305" hidden="1"/>
    <cellStyle name="강조색2 4" xfId="21347" hidden="1"/>
    <cellStyle name="강조색2 4" xfId="21389" hidden="1"/>
    <cellStyle name="강조색2 4" xfId="21431" hidden="1"/>
    <cellStyle name="강조색2 4" xfId="20526" hidden="1"/>
    <cellStyle name="강조색2 4" xfId="21459" hidden="1"/>
    <cellStyle name="강조색2 4" xfId="21499" hidden="1"/>
    <cellStyle name="강조색2 4" xfId="21539" hidden="1"/>
    <cellStyle name="강조색2 4" xfId="21579" hidden="1"/>
    <cellStyle name="강조색2 4" xfId="21619" hidden="1"/>
    <cellStyle name="강조색2 4" xfId="21659" hidden="1"/>
    <cellStyle name="강조색2 4" xfId="21699" hidden="1"/>
    <cellStyle name="강조색2 4" xfId="21739" hidden="1"/>
    <cellStyle name="강조색2 4" xfId="21779" hidden="1"/>
    <cellStyle name="강조색2 4" xfId="21819" hidden="1"/>
    <cellStyle name="강조색2 4" xfId="21859" hidden="1"/>
    <cellStyle name="강조색2 4" xfId="21899" hidden="1"/>
    <cellStyle name="강조색2 4" xfId="21967" hidden="1"/>
    <cellStyle name="강조색2 4" xfId="22007" hidden="1"/>
    <cellStyle name="강조색2 4" xfId="22047" hidden="1"/>
    <cellStyle name="강조색2 4" xfId="22087" hidden="1"/>
    <cellStyle name="강조색2 4" xfId="22127" hidden="1"/>
    <cellStyle name="강조색2 4" xfId="22167" hidden="1"/>
    <cellStyle name="강조색2 4" xfId="22207" hidden="1"/>
    <cellStyle name="강조색2 4" xfId="22247" hidden="1"/>
    <cellStyle name="강조색2 4" xfId="22287" hidden="1"/>
    <cellStyle name="강조색2 4" xfId="22327" hidden="1"/>
    <cellStyle name="강조색2 4" xfId="22367" hidden="1"/>
    <cellStyle name="강조색2 4" xfId="22407" hidden="1"/>
    <cellStyle name="강조색2 4" xfId="22491" hidden="1"/>
    <cellStyle name="강조색2 4" xfId="22532" hidden="1"/>
    <cellStyle name="강조색2 4" xfId="22574" hidden="1"/>
    <cellStyle name="강조색2 4" xfId="22616" hidden="1"/>
    <cellStyle name="강조색2 4" xfId="22658" hidden="1"/>
    <cellStyle name="강조색2 4" xfId="22700" hidden="1"/>
    <cellStyle name="강조색2 4" xfId="22742" hidden="1"/>
    <cellStyle name="강조색2 4" xfId="22784" hidden="1"/>
    <cellStyle name="강조색2 4" xfId="22826" hidden="1"/>
    <cellStyle name="강조색2 4" xfId="22868" hidden="1"/>
    <cellStyle name="강조색2 4" xfId="22910" hidden="1"/>
    <cellStyle name="강조색2 4" xfId="22952" hidden="1"/>
    <cellStyle name="강조색2 4" xfId="22448" hidden="1"/>
    <cellStyle name="강조색2 4" xfId="23131" hidden="1"/>
    <cellStyle name="강조색2 4" xfId="23171" hidden="1"/>
    <cellStyle name="강조색2 4" xfId="23211" hidden="1"/>
    <cellStyle name="강조색2 4" xfId="23251" hidden="1"/>
    <cellStyle name="강조색2 4" xfId="23291" hidden="1"/>
    <cellStyle name="강조색2 4" xfId="23331" hidden="1"/>
    <cellStyle name="강조색2 4" xfId="23371" hidden="1"/>
    <cellStyle name="강조색2 4" xfId="23411" hidden="1"/>
    <cellStyle name="강조색2 4" xfId="23451" hidden="1"/>
    <cellStyle name="강조색2 4" xfId="23491" hidden="1"/>
    <cellStyle name="강조색2 4" xfId="23531" hidden="1"/>
    <cellStyle name="강조색2 4" xfId="23571" hidden="1"/>
    <cellStyle name="강조색2 4" xfId="23033" hidden="1"/>
    <cellStyle name="강조색2 4" xfId="22994" hidden="1"/>
    <cellStyle name="강조색2 4" xfId="23613" hidden="1"/>
    <cellStyle name="강조색2 4" xfId="23655" hidden="1"/>
    <cellStyle name="강조색2 4" xfId="23697" hidden="1"/>
    <cellStyle name="강조색2 4" xfId="23739" hidden="1"/>
    <cellStyle name="강조색2 4" xfId="23781" hidden="1"/>
    <cellStyle name="강조색2 4" xfId="23823" hidden="1"/>
    <cellStyle name="강조색2 4" xfId="23865" hidden="1"/>
    <cellStyle name="강조색2 4" xfId="23907" hidden="1"/>
    <cellStyle name="강조색2 4" xfId="23949" hidden="1"/>
    <cellStyle name="강조색2 4" xfId="23991" hidden="1"/>
    <cellStyle name="강조색2 4" xfId="23086" hidden="1"/>
    <cellStyle name="강조색2 4" xfId="24019" hidden="1"/>
    <cellStyle name="강조색2 4" xfId="24059" hidden="1"/>
    <cellStyle name="강조색2 4" xfId="24099" hidden="1"/>
    <cellStyle name="강조색2 4" xfId="24139" hidden="1"/>
    <cellStyle name="강조색2 4" xfId="24179" hidden="1"/>
    <cellStyle name="강조색2 4" xfId="24219" hidden="1"/>
    <cellStyle name="강조색2 4" xfId="24259" hidden="1"/>
    <cellStyle name="강조색2 4" xfId="24299" hidden="1"/>
    <cellStyle name="강조색2 4" xfId="24339" hidden="1"/>
    <cellStyle name="강조색2 4" xfId="24379" hidden="1"/>
    <cellStyle name="강조색2 4" xfId="24419" hidden="1"/>
    <cellStyle name="강조색2 4" xfId="24459" hidden="1"/>
    <cellStyle name="강조색2 4" xfId="24557" hidden="1"/>
    <cellStyle name="강조색2 4" xfId="24597" hidden="1"/>
    <cellStyle name="강조색2 4" xfId="24639" hidden="1"/>
    <cellStyle name="강조색2 4" xfId="24680" hidden="1"/>
    <cellStyle name="강조색2 4" xfId="24720" hidden="1"/>
    <cellStyle name="강조색2 4" xfId="24760" hidden="1"/>
    <cellStyle name="강조색2 4" xfId="24800" hidden="1"/>
    <cellStyle name="강조색2 4" xfId="24840" hidden="1"/>
    <cellStyle name="강조색2 4" xfId="24880" hidden="1"/>
    <cellStyle name="강조색2 4" xfId="24920" hidden="1"/>
    <cellStyle name="강조색2 4" xfId="24960" hidden="1"/>
    <cellStyle name="강조색2 4" xfId="25000" hidden="1"/>
    <cellStyle name="강조색2 4" xfId="25084" hidden="1"/>
    <cellStyle name="강조색2 4" xfId="25125" hidden="1"/>
    <cellStyle name="강조색2 4" xfId="25167" hidden="1"/>
    <cellStyle name="강조색2 4" xfId="25209" hidden="1"/>
    <cellStyle name="강조색2 4" xfId="25251" hidden="1"/>
    <cellStyle name="강조색2 4" xfId="25293" hidden="1"/>
    <cellStyle name="강조색2 4" xfId="25335" hidden="1"/>
    <cellStyle name="강조색2 4" xfId="25377" hidden="1"/>
    <cellStyle name="강조색2 4" xfId="25419" hidden="1"/>
    <cellStyle name="강조색2 4" xfId="25461" hidden="1"/>
    <cellStyle name="강조색2 4" xfId="25503" hidden="1"/>
    <cellStyle name="강조색2 4" xfId="25545" hidden="1"/>
    <cellStyle name="강조색2 4" xfId="25041" hidden="1"/>
    <cellStyle name="강조색2 4" xfId="25724" hidden="1"/>
    <cellStyle name="강조색2 4" xfId="25764" hidden="1"/>
    <cellStyle name="강조색2 4" xfId="25804" hidden="1"/>
    <cellStyle name="강조색2 4" xfId="25844" hidden="1"/>
    <cellStyle name="강조색2 4" xfId="25884" hidden="1"/>
    <cellStyle name="강조색2 4" xfId="25924" hidden="1"/>
    <cellStyle name="강조색2 4" xfId="25964" hidden="1"/>
    <cellStyle name="강조색2 4" xfId="26004" hidden="1"/>
    <cellStyle name="강조색2 4" xfId="26044" hidden="1"/>
    <cellStyle name="강조색2 4" xfId="26084" hidden="1"/>
    <cellStyle name="강조색2 4" xfId="26124" hidden="1"/>
    <cellStyle name="강조색2 4" xfId="26164" hidden="1"/>
    <cellStyle name="강조색2 4" xfId="25626" hidden="1"/>
    <cellStyle name="강조색2 4" xfId="25587" hidden="1"/>
    <cellStyle name="강조색2 4" xfId="26206" hidden="1"/>
    <cellStyle name="강조색2 4" xfId="26248" hidden="1"/>
    <cellStyle name="강조색2 4" xfId="26290" hidden="1"/>
    <cellStyle name="강조색2 4" xfId="26332" hidden="1"/>
    <cellStyle name="강조색2 4" xfId="26374" hidden="1"/>
    <cellStyle name="강조색2 4" xfId="26416" hidden="1"/>
    <cellStyle name="강조색2 4" xfId="26458" hidden="1"/>
    <cellStyle name="강조색2 4" xfId="26500" hidden="1"/>
    <cellStyle name="강조색2 4" xfId="26542" hidden="1"/>
    <cellStyle name="강조색2 4" xfId="26584" hidden="1"/>
    <cellStyle name="강조색2 4" xfId="25679" hidden="1"/>
    <cellStyle name="강조색2 4" xfId="26612" hidden="1"/>
    <cellStyle name="강조색2 4" xfId="26652" hidden="1"/>
    <cellStyle name="강조색2 4" xfId="26692" hidden="1"/>
    <cellStyle name="강조색2 4" xfId="26732" hidden="1"/>
    <cellStyle name="강조색2 4" xfId="26772" hidden="1"/>
    <cellStyle name="강조색2 4" xfId="26812" hidden="1"/>
    <cellStyle name="강조색2 4" xfId="26852" hidden="1"/>
    <cellStyle name="강조색2 4" xfId="26892" hidden="1"/>
    <cellStyle name="강조색2 4" xfId="26932" hidden="1"/>
    <cellStyle name="강조색2 4" xfId="26972" hidden="1"/>
    <cellStyle name="강조색2 4" xfId="27012" hidden="1"/>
    <cellStyle name="강조색2 4" xfId="27052" hidden="1"/>
    <cellStyle name="강조색2 4" xfId="21944" hidden="1"/>
    <cellStyle name="강조색2 4" xfId="27103" hidden="1"/>
    <cellStyle name="강조색2 4" xfId="27143" hidden="1"/>
    <cellStyle name="강조색2 4" xfId="27183" hidden="1"/>
    <cellStyle name="강조색2 4" xfId="27223" hidden="1"/>
    <cellStyle name="강조색2 4" xfId="27263" hidden="1"/>
    <cellStyle name="강조색2 4" xfId="27303" hidden="1"/>
    <cellStyle name="강조색2 4" xfId="27343" hidden="1"/>
    <cellStyle name="강조색2 4" xfId="27383" hidden="1"/>
    <cellStyle name="강조색2 4" xfId="27423" hidden="1"/>
    <cellStyle name="강조색2 4" xfId="27463" hidden="1"/>
    <cellStyle name="강조색2 4" xfId="27503" hidden="1"/>
    <cellStyle name="강조색2 4" xfId="27587" hidden="1"/>
    <cellStyle name="강조색2 4" xfId="27628" hidden="1"/>
    <cellStyle name="강조색2 4" xfId="27670" hidden="1"/>
    <cellStyle name="강조색2 4" xfId="27712" hidden="1"/>
    <cellStyle name="강조색2 4" xfId="27754" hidden="1"/>
    <cellStyle name="강조색2 4" xfId="27796" hidden="1"/>
    <cellStyle name="강조색2 4" xfId="27838" hidden="1"/>
    <cellStyle name="강조색2 4" xfId="27880" hidden="1"/>
    <cellStyle name="강조색2 4" xfId="27922" hidden="1"/>
    <cellStyle name="강조색2 4" xfId="27964" hidden="1"/>
    <cellStyle name="강조색2 4" xfId="28006" hidden="1"/>
    <cellStyle name="강조색2 4" xfId="28048" hidden="1"/>
    <cellStyle name="강조색2 4" xfId="27544" hidden="1"/>
    <cellStyle name="강조색2 4" xfId="28227" hidden="1"/>
    <cellStyle name="강조색2 4" xfId="28267" hidden="1"/>
    <cellStyle name="강조색2 4" xfId="28307" hidden="1"/>
    <cellStyle name="강조색2 4" xfId="28347" hidden="1"/>
    <cellStyle name="강조색2 4" xfId="28387" hidden="1"/>
    <cellStyle name="강조색2 4" xfId="28427" hidden="1"/>
    <cellStyle name="강조색2 4" xfId="28467" hidden="1"/>
    <cellStyle name="강조색2 4" xfId="28507" hidden="1"/>
    <cellStyle name="강조색2 4" xfId="28547" hidden="1"/>
    <cellStyle name="강조색2 4" xfId="28587" hidden="1"/>
    <cellStyle name="강조색2 4" xfId="28627" hidden="1"/>
    <cellStyle name="강조색2 4" xfId="28667" hidden="1"/>
    <cellStyle name="강조색2 4" xfId="28129" hidden="1"/>
    <cellStyle name="강조색2 4" xfId="28090" hidden="1"/>
    <cellStyle name="강조색2 4" xfId="28709" hidden="1"/>
    <cellStyle name="강조색2 4" xfId="28751" hidden="1"/>
    <cellStyle name="강조색2 4" xfId="28793" hidden="1"/>
    <cellStyle name="강조색2 4" xfId="28835" hidden="1"/>
    <cellStyle name="강조색2 4" xfId="28877" hidden="1"/>
    <cellStyle name="강조색2 4" xfId="28919" hidden="1"/>
    <cellStyle name="강조색2 4" xfId="28961" hidden="1"/>
    <cellStyle name="강조색2 4" xfId="29003" hidden="1"/>
    <cellStyle name="강조색2 4" xfId="29045" hidden="1"/>
    <cellStyle name="강조색2 4" xfId="29087" hidden="1"/>
    <cellStyle name="강조색2 4" xfId="28182" hidden="1"/>
    <cellStyle name="강조색2 4" xfId="29115" hidden="1"/>
    <cellStyle name="강조색2 4" xfId="29155" hidden="1"/>
    <cellStyle name="강조색2 4" xfId="29195" hidden="1"/>
    <cellStyle name="강조색2 4" xfId="29235" hidden="1"/>
    <cellStyle name="강조색2 4" xfId="29275" hidden="1"/>
    <cellStyle name="강조색2 4" xfId="29315" hidden="1"/>
    <cellStyle name="강조색2 4" xfId="29355" hidden="1"/>
    <cellStyle name="강조색2 4" xfId="29395" hidden="1"/>
    <cellStyle name="강조색2 4" xfId="29435" hidden="1"/>
    <cellStyle name="강조색2 4" xfId="29475" hidden="1"/>
    <cellStyle name="강조색2 4" xfId="29515" hidden="1"/>
    <cellStyle name="강조색2 4" xfId="29555" hidden="1"/>
    <cellStyle name="강조색2 4" xfId="24527" hidden="1"/>
    <cellStyle name="강조색2 4" xfId="29605" hidden="1"/>
    <cellStyle name="강조색2 4" xfId="29645" hidden="1"/>
    <cellStyle name="강조색2 4" xfId="29685" hidden="1"/>
    <cellStyle name="강조색2 4" xfId="29725" hidden="1"/>
    <cellStyle name="강조색2 4" xfId="29765" hidden="1"/>
    <cellStyle name="강조색2 4" xfId="29805" hidden="1"/>
    <cellStyle name="강조색2 4" xfId="29845" hidden="1"/>
    <cellStyle name="강조색2 4" xfId="29885" hidden="1"/>
    <cellStyle name="강조색2 4" xfId="29925" hidden="1"/>
    <cellStyle name="강조색2 4" xfId="29965" hidden="1"/>
    <cellStyle name="강조색2 4" xfId="30005" hidden="1"/>
    <cellStyle name="강조색2 4" xfId="30089" hidden="1"/>
    <cellStyle name="강조색2 4" xfId="30130" hidden="1"/>
    <cellStyle name="강조색2 4" xfId="30172" hidden="1"/>
    <cellStyle name="강조색2 4" xfId="30214" hidden="1"/>
    <cellStyle name="강조색2 4" xfId="30256" hidden="1"/>
    <cellStyle name="강조색2 4" xfId="30298" hidden="1"/>
    <cellStyle name="강조색2 4" xfId="30340" hidden="1"/>
    <cellStyle name="강조색2 4" xfId="30382" hidden="1"/>
    <cellStyle name="강조색2 4" xfId="30424" hidden="1"/>
    <cellStyle name="강조색2 4" xfId="30466" hidden="1"/>
    <cellStyle name="강조색2 4" xfId="30508" hidden="1"/>
    <cellStyle name="강조색2 4" xfId="30550" hidden="1"/>
    <cellStyle name="강조색2 4" xfId="30046" hidden="1"/>
    <cellStyle name="강조색2 4" xfId="30729" hidden="1"/>
    <cellStyle name="강조색2 4" xfId="30769" hidden="1"/>
    <cellStyle name="강조색2 4" xfId="30809" hidden="1"/>
    <cellStyle name="강조색2 4" xfId="30849" hidden="1"/>
    <cellStyle name="강조색2 4" xfId="30889" hidden="1"/>
    <cellStyle name="강조색2 4" xfId="30929" hidden="1"/>
    <cellStyle name="강조색2 4" xfId="30969" hidden="1"/>
    <cellStyle name="강조색2 4" xfId="31009" hidden="1"/>
    <cellStyle name="강조색2 4" xfId="31049" hidden="1"/>
    <cellStyle name="강조색2 4" xfId="31089" hidden="1"/>
    <cellStyle name="강조색2 4" xfId="31129" hidden="1"/>
    <cellStyle name="강조색2 4" xfId="31169" hidden="1"/>
    <cellStyle name="강조색2 4" xfId="30631" hidden="1"/>
    <cellStyle name="강조색2 4" xfId="30592" hidden="1"/>
    <cellStyle name="강조색2 4" xfId="31211" hidden="1"/>
    <cellStyle name="강조색2 4" xfId="31253" hidden="1"/>
    <cellStyle name="강조색2 4" xfId="31295" hidden="1"/>
    <cellStyle name="강조색2 4" xfId="31337" hidden="1"/>
    <cellStyle name="강조색2 4" xfId="31379" hidden="1"/>
    <cellStyle name="강조색2 4" xfId="31421" hidden="1"/>
    <cellStyle name="강조색2 4" xfId="31463" hidden="1"/>
    <cellStyle name="강조색2 4" xfId="31505" hidden="1"/>
    <cellStyle name="강조색2 4" xfId="31547" hidden="1"/>
    <cellStyle name="강조색2 4" xfId="31589" hidden="1"/>
    <cellStyle name="강조색2 4" xfId="30684" hidden="1"/>
    <cellStyle name="강조색2 4" xfId="31617" hidden="1"/>
    <cellStyle name="강조색2 4" xfId="31657" hidden="1"/>
    <cellStyle name="강조색2 4" xfId="31697" hidden="1"/>
    <cellStyle name="강조색2 4" xfId="31737" hidden="1"/>
    <cellStyle name="강조색2 4" xfId="31777" hidden="1"/>
    <cellStyle name="강조색2 4" xfId="31817" hidden="1"/>
    <cellStyle name="강조색2 4" xfId="31857" hidden="1"/>
    <cellStyle name="강조색2 4" xfId="31897" hidden="1"/>
    <cellStyle name="강조색2 4" xfId="31937" hidden="1"/>
    <cellStyle name="강조색2 4" xfId="31977" hidden="1"/>
    <cellStyle name="강조색2 4" xfId="32017" hidden="1"/>
    <cellStyle name="강조색2 4" xfId="32057" hidden="1"/>
    <cellStyle name="강조색2 4" xfId="32119" hidden="1"/>
    <cellStyle name="강조색2 4" xfId="32159" hidden="1"/>
    <cellStyle name="강조색2 4" xfId="32199" hidden="1"/>
    <cellStyle name="강조색2 4" xfId="32239" hidden="1"/>
    <cellStyle name="강조색2 4" xfId="32279" hidden="1"/>
    <cellStyle name="강조색2 4" xfId="32319" hidden="1"/>
    <cellStyle name="강조색2 4" xfId="32359" hidden="1"/>
    <cellStyle name="강조색2 4" xfId="32399" hidden="1"/>
    <cellStyle name="강조색2 4" xfId="32439" hidden="1"/>
    <cellStyle name="강조색2 4" xfId="32479" hidden="1"/>
    <cellStyle name="강조색2 4" xfId="32519" hidden="1"/>
    <cellStyle name="강조색2 4" xfId="32559" hidden="1"/>
    <cellStyle name="강조색2 4" xfId="32644" hidden="1"/>
    <cellStyle name="강조색2 4" xfId="32685" hidden="1"/>
    <cellStyle name="강조색2 4" xfId="32727" hidden="1"/>
    <cellStyle name="강조색2 4" xfId="32769" hidden="1"/>
    <cellStyle name="강조색2 4" xfId="32811" hidden="1"/>
    <cellStyle name="강조색2 4" xfId="32853" hidden="1"/>
    <cellStyle name="강조색2 4" xfId="32895" hidden="1"/>
    <cellStyle name="강조색2 4" xfId="32937" hidden="1"/>
    <cellStyle name="강조색2 4" xfId="32979" hidden="1"/>
    <cellStyle name="강조색2 4" xfId="33021" hidden="1"/>
    <cellStyle name="강조색2 4" xfId="33063" hidden="1"/>
    <cellStyle name="강조색2 4" xfId="33105" hidden="1"/>
    <cellStyle name="강조색2 4" xfId="32601" hidden="1"/>
    <cellStyle name="강조색2 4" xfId="33284" hidden="1"/>
    <cellStyle name="강조색2 4" xfId="33324" hidden="1"/>
    <cellStyle name="강조색2 4" xfId="33364" hidden="1"/>
    <cellStyle name="강조색2 4" xfId="33404" hidden="1"/>
    <cellStyle name="강조색2 4" xfId="33444" hidden="1"/>
    <cellStyle name="강조색2 4" xfId="33484" hidden="1"/>
    <cellStyle name="강조색2 4" xfId="33524" hidden="1"/>
    <cellStyle name="강조색2 4" xfId="33564" hidden="1"/>
    <cellStyle name="강조색2 4" xfId="33604" hidden="1"/>
    <cellStyle name="강조색2 4" xfId="33644" hidden="1"/>
    <cellStyle name="강조색2 4" xfId="33684" hidden="1"/>
    <cellStyle name="강조색2 4" xfId="33724" hidden="1"/>
    <cellStyle name="강조색2 4" xfId="33186" hidden="1"/>
    <cellStyle name="강조색2 4" xfId="33147" hidden="1"/>
    <cellStyle name="강조색2 4" xfId="33766" hidden="1"/>
    <cellStyle name="강조색2 4" xfId="33808" hidden="1"/>
    <cellStyle name="강조색2 4" xfId="33850" hidden="1"/>
    <cellStyle name="강조색2 4" xfId="33892" hidden="1"/>
    <cellStyle name="강조색2 4" xfId="33934" hidden="1"/>
    <cellStyle name="강조색2 4" xfId="33976" hidden="1"/>
    <cellStyle name="강조색2 4" xfId="34018" hidden="1"/>
    <cellStyle name="강조색2 4" xfId="34060" hidden="1"/>
    <cellStyle name="강조색2 4" xfId="34102" hidden="1"/>
    <cellStyle name="강조색2 4" xfId="34144" hidden="1"/>
    <cellStyle name="강조색2 4" xfId="33239" hidden="1"/>
    <cellStyle name="강조색2 4" xfId="34172" hidden="1"/>
    <cellStyle name="강조색2 4" xfId="34212" hidden="1"/>
    <cellStyle name="강조색2 4" xfId="34252" hidden="1"/>
    <cellStyle name="강조색2 4" xfId="34292" hidden="1"/>
    <cellStyle name="강조색2 4" xfId="34332" hidden="1"/>
    <cellStyle name="강조색2 4" xfId="34372" hidden="1"/>
    <cellStyle name="강조색2 4" xfId="34412" hidden="1"/>
    <cellStyle name="강조색2 4" xfId="34452" hidden="1"/>
    <cellStyle name="강조색2 4" xfId="34492" hidden="1"/>
    <cellStyle name="강조색2 4" xfId="34532" hidden="1"/>
    <cellStyle name="강조색2 4" xfId="34572" hidden="1"/>
    <cellStyle name="강조색2 4" xfId="34612" hidden="1"/>
    <cellStyle name="강조색2 4" xfId="34709" hidden="1"/>
    <cellStyle name="강조색2 4" xfId="34749" hidden="1"/>
    <cellStyle name="강조색2 4" xfId="34789" hidden="1"/>
    <cellStyle name="강조색2 4" xfId="34829" hidden="1"/>
    <cellStyle name="강조색2 4" xfId="34869" hidden="1"/>
    <cellStyle name="강조색2 4" xfId="34909" hidden="1"/>
    <cellStyle name="강조색2 4" xfId="34949" hidden="1"/>
    <cellStyle name="강조색2 4" xfId="34989" hidden="1"/>
    <cellStyle name="강조색2 4" xfId="35029" hidden="1"/>
    <cellStyle name="강조색2 4" xfId="35069" hidden="1"/>
    <cellStyle name="강조색2 4" xfId="35109" hidden="1"/>
    <cellStyle name="강조색2 4" xfId="35149" hidden="1"/>
    <cellStyle name="강조색2 4" xfId="35233" hidden="1"/>
    <cellStyle name="강조색2 4" xfId="35274" hidden="1"/>
    <cellStyle name="강조색2 4" xfId="35316" hidden="1"/>
    <cellStyle name="강조색2 4" xfId="35358" hidden="1"/>
    <cellStyle name="강조색2 4" xfId="35400" hidden="1"/>
    <cellStyle name="강조색2 4" xfId="35442" hidden="1"/>
    <cellStyle name="강조색2 4" xfId="35484" hidden="1"/>
    <cellStyle name="강조색2 4" xfId="35526" hidden="1"/>
    <cellStyle name="강조색2 4" xfId="35568" hidden="1"/>
    <cellStyle name="강조색2 4" xfId="35610" hidden="1"/>
    <cellStyle name="강조색2 4" xfId="35652" hidden="1"/>
    <cellStyle name="강조색2 4" xfId="35694" hidden="1"/>
    <cellStyle name="강조색2 4" xfId="35190" hidden="1"/>
    <cellStyle name="강조색2 4" xfId="35873" hidden="1"/>
    <cellStyle name="강조색2 4" xfId="35913" hidden="1"/>
    <cellStyle name="강조색2 4" xfId="35953" hidden="1"/>
    <cellStyle name="강조색2 4" xfId="35993" hidden="1"/>
    <cellStyle name="강조색2 4" xfId="36033" hidden="1"/>
    <cellStyle name="강조색2 4" xfId="36073" hidden="1"/>
    <cellStyle name="강조색2 4" xfId="36113" hidden="1"/>
    <cellStyle name="강조색2 4" xfId="36153" hidden="1"/>
    <cellStyle name="강조색2 4" xfId="36193" hidden="1"/>
    <cellStyle name="강조색2 4" xfId="36233" hidden="1"/>
    <cellStyle name="강조색2 4" xfId="36273" hidden="1"/>
    <cellStyle name="강조색2 4" xfId="36313" hidden="1"/>
    <cellStyle name="강조색2 4" xfId="35775" hidden="1"/>
    <cellStyle name="강조색2 4" xfId="35736" hidden="1"/>
    <cellStyle name="강조색2 4" xfId="36355" hidden="1"/>
    <cellStyle name="강조색2 4" xfId="36397" hidden="1"/>
    <cellStyle name="강조색2 4" xfId="36439" hidden="1"/>
    <cellStyle name="강조색2 4" xfId="36481" hidden="1"/>
    <cellStyle name="강조색2 4" xfId="36523" hidden="1"/>
    <cellStyle name="강조색2 4" xfId="36565" hidden="1"/>
    <cellStyle name="강조색2 4" xfId="36607" hidden="1"/>
    <cellStyle name="강조색2 4" xfId="36649" hidden="1"/>
    <cellStyle name="강조색2 4" xfId="36691" hidden="1"/>
    <cellStyle name="강조색2 4" xfId="36733" hidden="1"/>
    <cellStyle name="강조색2 4" xfId="35828" hidden="1"/>
    <cellStyle name="강조색2 4" xfId="36761" hidden="1"/>
    <cellStyle name="강조색2 4" xfId="36801" hidden="1"/>
    <cellStyle name="강조색2 4" xfId="36841" hidden="1"/>
    <cellStyle name="강조색2 4" xfId="36881" hidden="1"/>
    <cellStyle name="강조색2 4" xfId="36921" hidden="1"/>
    <cellStyle name="강조색2 4" xfId="36961" hidden="1"/>
    <cellStyle name="강조색2 4" xfId="37001" hidden="1"/>
    <cellStyle name="강조색2 4" xfId="37041" hidden="1"/>
    <cellStyle name="강조색2 4" xfId="37081" hidden="1"/>
    <cellStyle name="강조색2 4" xfId="37121" hidden="1"/>
    <cellStyle name="강조색2 4" xfId="37161" hidden="1"/>
    <cellStyle name="강조색2 4" xfId="37201" hidden="1"/>
    <cellStyle name="강조색2 4" xfId="32097" hidden="1"/>
    <cellStyle name="강조색2 4" xfId="37252" hidden="1"/>
    <cellStyle name="강조색2 4" xfId="37293" hidden="1"/>
    <cellStyle name="강조색2 4" xfId="37333" hidden="1"/>
    <cellStyle name="강조색2 4" xfId="37373" hidden="1"/>
    <cellStyle name="강조색2 4" xfId="37413" hidden="1"/>
    <cellStyle name="강조색2 4" xfId="37453" hidden="1"/>
    <cellStyle name="강조색2 4" xfId="37493" hidden="1"/>
    <cellStyle name="강조색2 4" xfId="37533" hidden="1"/>
    <cellStyle name="강조색2 4" xfId="37573" hidden="1"/>
    <cellStyle name="강조색2 4" xfId="37613" hidden="1"/>
    <cellStyle name="강조색2 4" xfId="37653" hidden="1"/>
    <cellStyle name="강조색2 4" xfId="37737" hidden="1"/>
    <cellStyle name="강조색2 4" xfId="37778" hidden="1"/>
    <cellStyle name="강조색2 4" xfId="37820" hidden="1"/>
    <cellStyle name="강조색2 4" xfId="37862" hidden="1"/>
    <cellStyle name="강조색2 4" xfId="37904" hidden="1"/>
    <cellStyle name="강조색2 4" xfId="37946" hidden="1"/>
    <cellStyle name="강조색2 4" xfId="37988" hidden="1"/>
    <cellStyle name="강조색2 4" xfId="38030" hidden="1"/>
    <cellStyle name="강조색2 4" xfId="38072" hidden="1"/>
    <cellStyle name="강조색2 4" xfId="38114" hidden="1"/>
    <cellStyle name="강조색2 4" xfId="38156" hidden="1"/>
    <cellStyle name="강조색2 4" xfId="38198" hidden="1"/>
    <cellStyle name="강조색2 4" xfId="37694" hidden="1"/>
    <cellStyle name="강조색2 4" xfId="38377" hidden="1"/>
    <cellStyle name="강조색2 4" xfId="38417" hidden="1"/>
    <cellStyle name="강조색2 4" xfId="38457" hidden="1"/>
    <cellStyle name="강조색2 4" xfId="38497" hidden="1"/>
    <cellStyle name="강조색2 4" xfId="38537" hidden="1"/>
    <cellStyle name="강조색2 4" xfId="38577" hidden="1"/>
    <cellStyle name="강조색2 4" xfId="38617" hidden="1"/>
    <cellStyle name="강조색2 4" xfId="38657" hidden="1"/>
    <cellStyle name="강조색2 4" xfId="38697" hidden="1"/>
    <cellStyle name="강조색2 4" xfId="38737" hidden="1"/>
    <cellStyle name="강조색2 4" xfId="38777" hidden="1"/>
    <cellStyle name="강조색2 4" xfId="38817" hidden="1"/>
    <cellStyle name="강조색2 4" xfId="38279" hidden="1"/>
    <cellStyle name="강조색2 4" xfId="38240" hidden="1"/>
    <cellStyle name="강조색2 4" xfId="38859" hidden="1"/>
    <cellStyle name="강조색2 4" xfId="38901" hidden="1"/>
    <cellStyle name="강조색2 4" xfId="38943" hidden="1"/>
    <cellStyle name="강조색2 4" xfId="38985" hidden="1"/>
    <cellStyle name="강조색2 4" xfId="39027" hidden="1"/>
    <cellStyle name="강조색2 4" xfId="39069" hidden="1"/>
    <cellStyle name="강조색2 4" xfId="39111" hidden="1"/>
    <cellStyle name="강조색2 4" xfId="39153" hidden="1"/>
    <cellStyle name="강조색2 4" xfId="39195" hidden="1"/>
    <cellStyle name="강조색2 4" xfId="39237" hidden="1"/>
    <cellStyle name="강조색2 4" xfId="38332" hidden="1"/>
    <cellStyle name="강조색2 4" xfId="39265" hidden="1"/>
    <cellStyle name="강조색2 4" xfId="39305" hidden="1"/>
    <cellStyle name="강조색2 4" xfId="39345" hidden="1"/>
    <cellStyle name="강조색2 4" xfId="39385" hidden="1"/>
    <cellStyle name="강조색2 4" xfId="39425" hidden="1"/>
    <cellStyle name="강조색2 4" xfId="39465" hidden="1"/>
    <cellStyle name="강조색2 4" xfId="39505" hidden="1"/>
    <cellStyle name="강조색2 4" xfId="39545" hidden="1"/>
    <cellStyle name="강조색2 4" xfId="39585" hidden="1"/>
    <cellStyle name="강조색2 4" xfId="39625" hidden="1"/>
    <cellStyle name="강조색2 4" xfId="39665" hidden="1"/>
    <cellStyle name="강조색2 4" xfId="39705" hidden="1"/>
    <cellStyle name="강조색2 4" xfId="34679" hidden="1"/>
    <cellStyle name="강조색2 4" xfId="39755" hidden="1"/>
    <cellStyle name="강조색2 4" xfId="39795" hidden="1"/>
    <cellStyle name="강조색2 4" xfId="39835" hidden="1"/>
    <cellStyle name="강조색2 4" xfId="39875" hidden="1"/>
    <cellStyle name="강조색2 4" xfId="39915" hidden="1"/>
    <cellStyle name="강조색2 4" xfId="39955" hidden="1"/>
    <cellStyle name="강조색2 4" xfId="39995" hidden="1"/>
    <cellStyle name="강조색2 4" xfId="40035" hidden="1"/>
    <cellStyle name="강조색2 4" xfId="40075" hidden="1"/>
    <cellStyle name="강조색2 4" xfId="40115" hidden="1"/>
    <cellStyle name="강조색2 4" xfId="40155" hidden="1"/>
    <cellStyle name="강조색2 4" xfId="40239" hidden="1"/>
    <cellStyle name="강조색2 4" xfId="40280" hidden="1"/>
    <cellStyle name="강조색2 4" xfId="40322" hidden="1"/>
    <cellStyle name="강조색2 4" xfId="40364" hidden="1"/>
    <cellStyle name="강조색2 4" xfId="40406" hidden="1"/>
    <cellStyle name="강조색2 4" xfId="40448" hidden="1"/>
    <cellStyle name="강조색2 4" xfId="40490" hidden="1"/>
    <cellStyle name="강조색2 4" xfId="40532" hidden="1"/>
    <cellStyle name="강조색2 4" xfId="40574" hidden="1"/>
    <cellStyle name="강조색2 4" xfId="40616" hidden="1"/>
    <cellStyle name="강조색2 4" xfId="40658" hidden="1"/>
    <cellStyle name="강조색2 4" xfId="40700" hidden="1"/>
    <cellStyle name="강조색2 4" xfId="40196" hidden="1"/>
    <cellStyle name="강조색2 4" xfId="40879" hidden="1"/>
    <cellStyle name="강조색2 4" xfId="40919" hidden="1"/>
    <cellStyle name="강조색2 4" xfId="40959" hidden="1"/>
    <cellStyle name="강조색2 4" xfId="40999" hidden="1"/>
    <cellStyle name="강조색2 4" xfId="41039" hidden="1"/>
    <cellStyle name="강조색2 4" xfId="41079" hidden="1"/>
    <cellStyle name="강조색2 4" xfId="41119" hidden="1"/>
    <cellStyle name="강조색2 4" xfId="41159" hidden="1"/>
    <cellStyle name="강조색2 4" xfId="41199" hidden="1"/>
    <cellStyle name="강조색2 4" xfId="41239" hidden="1"/>
    <cellStyle name="강조색2 4" xfId="41279" hidden="1"/>
    <cellStyle name="강조색2 4" xfId="41319" hidden="1"/>
    <cellStyle name="강조색2 4" xfId="40781" hidden="1"/>
    <cellStyle name="강조색2 4" xfId="40742" hidden="1"/>
    <cellStyle name="강조색2 4" xfId="41361" hidden="1"/>
    <cellStyle name="강조색2 4" xfId="41403" hidden="1"/>
    <cellStyle name="강조색2 4" xfId="41445" hidden="1"/>
    <cellStyle name="강조색2 4" xfId="41487" hidden="1"/>
    <cellStyle name="강조색2 4" xfId="41529" hidden="1"/>
    <cellStyle name="강조색2 4" xfId="41571" hidden="1"/>
    <cellStyle name="강조색2 4" xfId="41613" hidden="1"/>
    <cellStyle name="강조색2 4" xfId="41655" hidden="1"/>
    <cellStyle name="강조색2 4" xfId="41697" hidden="1"/>
    <cellStyle name="강조색2 4" xfId="41739" hidden="1"/>
    <cellStyle name="강조색2 4" xfId="40834" hidden="1"/>
    <cellStyle name="강조색2 4" xfId="41767" hidden="1"/>
    <cellStyle name="강조색2 4" xfId="41807" hidden="1"/>
    <cellStyle name="강조색2 4" xfId="41847" hidden="1"/>
    <cellStyle name="강조색2 4" xfId="41887" hidden="1"/>
    <cellStyle name="강조색2 4" xfId="41927" hidden="1"/>
    <cellStyle name="강조색2 4" xfId="41967" hidden="1"/>
    <cellStyle name="강조색2 4" xfId="42007" hidden="1"/>
    <cellStyle name="강조색2 4" xfId="42047" hidden="1"/>
    <cellStyle name="강조색2 4" xfId="42087" hidden="1"/>
    <cellStyle name="강조색2 4" xfId="42127" hidden="1"/>
    <cellStyle name="강조색2 4" xfId="42167" hidden="1"/>
    <cellStyle name="강조색2 4" xfId="42207" hidden="1"/>
    <cellStyle name="강조색2 4" xfId="42250" hidden="1"/>
    <cellStyle name="강조색2 4" xfId="42290" hidden="1"/>
    <cellStyle name="강조색2 4" xfId="42330" hidden="1"/>
    <cellStyle name="강조색2 4" xfId="42370" hidden="1"/>
    <cellStyle name="강조색2 4" xfId="42410" hidden="1"/>
    <cellStyle name="강조색2 4" xfId="42450" hidden="1"/>
    <cellStyle name="강조색2 4" xfId="42490" hidden="1"/>
    <cellStyle name="강조색2 4" xfId="42530" hidden="1"/>
    <cellStyle name="강조색2 4" xfId="42570" hidden="1"/>
    <cellStyle name="강조색2 4" xfId="42610" hidden="1"/>
    <cellStyle name="강조색2 4" xfId="42650" hidden="1"/>
    <cellStyle name="강조색2 4" xfId="42690" hidden="1"/>
    <cellStyle name="강조색2 4" xfId="42774" hidden="1"/>
    <cellStyle name="강조색2 4" xfId="42815" hidden="1"/>
    <cellStyle name="강조색2 4" xfId="42857" hidden="1"/>
    <cellStyle name="강조색2 4" xfId="42899" hidden="1"/>
    <cellStyle name="강조색2 4" xfId="42941" hidden="1"/>
    <cellStyle name="강조색2 4" xfId="42983" hidden="1"/>
    <cellStyle name="강조색2 4" xfId="43025" hidden="1"/>
    <cellStyle name="강조색2 4" xfId="43067" hidden="1"/>
    <cellStyle name="강조색2 4" xfId="43109" hidden="1"/>
    <cellStyle name="강조색2 4" xfId="43151" hidden="1"/>
    <cellStyle name="강조색2 4" xfId="43193" hidden="1"/>
    <cellStyle name="강조색2 4" xfId="43235" hidden="1"/>
    <cellStyle name="강조색2 4" xfId="42731" hidden="1"/>
    <cellStyle name="강조색2 4" xfId="43414" hidden="1"/>
    <cellStyle name="강조색2 4" xfId="43454" hidden="1"/>
    <cellStyle name="강조색2 4" xfId="43494" hidden="1"/>
    <cellStyle name="강조색2 4" xfId="43534" hidden="1"/>
    <cellStyle name="강조색2 4" xfId="43574" hidden="1"/>
    <cellStyle name="강조색2 4" xfId="43614" hidden="1"/>
    <cellStyle name="강조색2 4" xfId="43654" hidden="1"/>
    <cellStyle name="강조색2 4" xfId="43694" hidden="1"/>
    <cellStyle name="강조색2 4" xfId="43734" hidden="1"/>
    <cellStyle name="강조색2 4" xfId="43774" hidden="1"/>
    <cellStyle name="강조색2 4" xfId="43814" hidden="1"/>
    <cellStyle name="강조색2 4" xfId="43854" hidden="1"/>
    <cellStyle name="강조색2 4" xfId="43316" hidden="1"/>
    <cellStyle name="강조색2 4" xfId="43277" hidden="1"/>
    <cellStyle name="강조색2 4" xfId="43896" hidden="1"/>
    <cellStyle name="강조색2 4" xfId="43938" hidden="1"/>
    <cellStyle name="강조색2 4" xfId="43980" hidden="1"/>
    <cellStyle name="강조색2 4" xfId="44022" hidden="1"/>
    <cellStyle name="강조색2 4" xfId="44064" hidden="1"/>
    <cellStyle name="강조색2 4" xfId="44106" hidden="1"/>
    <cellStyle name="강조색2 4" xfId="44148" hidden="1"/>
    <cellStyle name="강조색2 4" xfId="44190" hidden="1"/>
    <cellStyle name="강조색2 4" xfId="44232" hidden="1"/>
    <cellStyle name="강조색2 4" xfId="44274" hidden="1"/>
    <cellStyle name="강조색2 4" xfId="43369" hidden="1"/>
    <cellStyle name="강조색2 4" xfId="44302" hidden="1"/>
    <cellStyle name="강조색2 4" xfId="44342" hidden="1"/>
    <cellStyle name="강조색2 4" xfId="44382" hidden="1"/>
    <cellStyle name="강조색2 4" xfId="44422" hidden="1"/>
    <cellStyle name="강조색2 4" xfId="44462" hidden="1"/>
    <cellStyle name="강조색2 4" xfId="44502" hidden="1"/>
    <cellStyle name="강조색2 4" xfId="44542" hidden="1"/>
    <cellStyle name="강조색2 4" xfId="44582" hidden="1"/>
    <cellStyle name="강조색2 4" xfId="44622" hidden="1"/>
    <cellStyle name="강조색2 4" xfId="44662" hidden="1"/>
    <cellStyle name="강조색2 4" xfId="44702" hidden="1"/>
    <cellStyle name="강조색2 4" xfId="44742" hidden="1"/>
    <cellStyle name="강조색2 4" xfId="44838" hidden="1"/>
    <cellStyle name="강조색2 4" xfId="44878" hidden="1"/>
    <cellStyle name="강조색2 4" xfId="44920" hidden="1"/>
    <cellStyle name="강조색2 4" xfId="44961" hidden="1"/>
    <cellStyle name="강조색2 4" xfId="45001" hidden="1"/>
    <cellStyle name="강조색2 4" xfId="45041" hidden="1"/>
    <cellStyle name="강조색2 4" xfId="45081" hidden="1"/>
    <cellStyle name="강조색2 4" xfId="45121" hidden="1"/>
    <cellStyle name="강조색2 4" xfId="45161" hidden="1"/>
    <cellStyle name="강조색2 4" xfId="45201" hidden="1"/>
    <cellStyle name="강조색2 4" xfId="45241" hidden="1"/>
    <cellStyle name="강조색2 4" xfId="45281" hidden="1"/>
    <cellStyle name="강조색2 4" xfId="45365" hidden="1"/>
    <cellStyle name="강조색2 4" xfId="45406" hidden="1"/>
    <cellStyle name="강조색2 4" xfId="45448" hidden="1"/>
    <cellStyle name="강조색2 4" xfId="45490" hidden="1"/>
    <cellStyle name="강조색2 4" xfId="45532" hidden="1"/>
    <cellStyle name="강조색2 4" xfId="45574" hidden="1"/>
    <cellStyle name="강조색2 4" xfId="45616" hidden="1"/>
    <cellStyle name="강조색2 4" xfId="45658" hidden="1"/>
    <cellStyle name="강조색2 4" xfId="45700" hidden="1"/>
    <cellStyle name="강조색2 4" xfId="45742" hidden="1"/>
    <cellStyle name="강조색2 4" xfId="45784" hidden="1"/>
    <cellStyle name="강조색2 4" xfId="45826" hidden="1"/>
    <cellStyle name="강조색2 4" xfId="45322" hidden="1"/>
    <cellStyle name="강조색2 4" xfId="46005" hidden="1"/>
    <cellStyle name="강조색2 4" xfId="46045" hidden="1"/>
    <cellStyle name="강조색2 4" xfId="46085" hidden="1"/>
    <cellStyle name="강조색2 4" xfId="46125" hidden="1"/>
    <cellStyle name="강조색2 4" xfId="46165" hidden="1"/>
    <cellStyle name="강조색2 4" xfId="46205" hidden="1"/>
    <cellStyle name="강조색2 4" xfId="46245" hidden="1"/>
    <cellStyle name="강조색2 4" xfId="46285" hidden="1"/>
    <cellStyle name="강조색2 4" xfId="46325" hidden="1"/>
    <cellStyle name="강조색2 4" xfId="46365" hidden="1"/>
    <cellStyle name="강조색2 4" xfId="46405" hidden="1"/>
    <cellStyle name="강조색2 4" xfId="46445" hidden="1"/>
    <cellStyle name="강조색2 4" xfId="45907" hidden="1"/>
    <cellStyle name="강조색2 4" xfId="45868" hidden="1"/>
    <cellStyle name="강조색2 4" xfId="46487" hidden="1"/>
    <cellStyle name="강조색2 4" xfId="46529" hidden="1"/>
    <cellStyle name="강조색2 4" xfId="46571" hidden="1"/>
    <cellStyle name="강조색2 4" xfId="46613" hidden="1"/>
    <cellStyle name="강조색2 4" xfId="46655" hidden="1"/>
    <cellStyle name="강조색2 4" xfId="46697" hidden="1"/>
    <cellStyle name="강조색2 4" xfId="46739" hidden="1"/>
    <cellStyle name="강조색2 4" xfId="46781" hidden="1"/>
    <cellStyle name="강조색2 4" xfId="46823" hidden="1"/>
    <cellStyle name="강조색2 4" xfId="46865" hidden="1"/>
    <cellStyle name="강조색2 4" xfId="45960" hidden="1"/>
    <cellStyle name="강조색2 4" xfId="46893" hidden="1"/>
    <cellStyle name="강조색2 4" xfId="46933" hidden="1"/>
    <cellStyle name="강조색2 4" xfId="46973" hidden="1"/>
    <cellStyle name="강조색2 4" xfId="47013" hidden="1"/>
    <cellStyle name="강조색2 4" xfId="47053" hidden="1"/>
    <cellStyle name="강조색2 4" xfId="47093" hidden="1"/>
    <cellStyle name="강조색2 4" xfId="47133" hidden="1"/>
    <cellStyle name="강조색2 4" xfId="47173" hidden="1"/>
    <cellStyle name="강조색2 4" xfId="47213" hidden="1"/>
    <cellStyle name="강조색2 4" xfId="47253" hidden="1"/>
    <cellStyle name="강조색2 4" xfId="47293" hidden="1"/>
    <cellStyle name="강조색2 4" xfId="47333" hidden="1"/>
    <cellStyle name="강조색2 4" xfId="42228" hidden="1"/>
    <cellStyle name="강조색2 4" xfId="47384" hidden="1"/>
    <cellStyle name="강조색2 4" xfId="47424" hidden="1"/>
    <cellStyle name="강조색2 4" xfId="47464" hidden="1"/>
    <cellStyle name="강조색2 4" xfId="47504" hidden="1"/>
    <cellStyle name="강조색2 4" xfId="47544" hidden="1"/>
    <cellStyle name="강조색2 4" xfId="47584" hidden="1"/>
    <cellStyle name="강조색2 4" xfId="47624" hidden="1"/>
    <cellStyle name="강조색2 4" xfId="47664" hidden="1"/>
    <cellStyle name="강조색2 4" xfId="47704" hidden="1"/>
    <cellStyle name="강조색2 4" xfId="47744" hidden="1"/>
    <cellStyle name="강조색2 4" xfId="47784" hidden="1"/>
    <cellStyle name="강조색2 4" xfId="47868" hidden="1"/>
    <cellStyle name="강조색2 4" xfId="47909" hidden="1"/>
    <cellStyle name="강조색2 4" xfId="47951" hidden="1"/>
    <cellStyle name="강조색2 4" xfId="47993" hidden="1"/>
    <cellStyle name="강조색2 4" xfId="48035" hidden="1"/>
    <cellStyle name="강조색2 4" xfId="48077" hidden="1"/>
    <cellStyle name="강조색2 4" xfId="48119" hidden="1"/>
    <cellStyle name="강조색2 4" xfId="48161" hidden="1"/>
    <cellStyle name="강조색2 4" xfId="48203" hidden="1"/>
    <cellStyle name="강조색2 4" xfId="48245" hidden="1"/>
    <cellStyle name="강조색2 4" xfId="48287" hidden="1"/>
    <cellStyle name="강조색2 4" xfId="48329" hidden="1"/>
    <cellStyle name="강조색2 4" xfId="47825" hidden="1"/>
    <cellStyle name="강조색2 4" xfId="48508" hidden="1"/>
    <cellStyle name="강조색2 4" xfId="48548" hidden="1"/>
    <cellStyle name="강조색2 4" xfId="48588" hidden="1"/>
    <cellStyle name="강조색2 4" xfId="48628" hidden="1"/>
    <cellStyle name="강조색2 4" xfId="48668" hidden="1"/>
    <cellStyle name="강조색2 4" xfId="48708" hidden="1"/>
    <cellStyle name="강조색2 4" xfId="48748" hidden="1"/>
    <cellStyle name="강조색2 4" xfId="48788" hidden="1"/>
    <cellStyle name="강조색2 4" xfId="48828" hidden="1"/>
    <cellStyle name="강조색2 4" xfId="48868" hidden="1"/>
    <cellStyle name="강조색2 4" xfId="48908" hidden="1"/>
    <cellStyle name="강조색2 4" xfId="48948" hidden="1"/>
    <cellStyle name="강조색2 4" xfId="48410" hidden="1"/>
    <cellStyle name="강조색2 4" xfId="48371" hidden="1"/>
    <cellStyle name="강조색2 4" xfId="48990" hidden="1"/>
    <cellStyle name="강조색2 4" xfId="49032" hidden="1"/>
    <cellStyle name="강조색2 4" xfId="49074" hidden="1"/>
    <cellStyle name="강조색2 4" xfId="49116" hidden="1"/>
    <cellStyle name="강조색2 4" xfId="49158" hidden="1"/>
    <cellStyle name="강조색2 4" xfId="49200" hidden="1"/>
    <cellStyle name="강조색2 4" xfId="49242" hidden="1"/>
    <cellStyle name="강조색2 4" xfId="49284" hidden="1"/>
    <cellStyle name="강조색2 4" xfId="49326" hidden="1"/>
    <cellStyle name="강조색2 4" xfId="49368" hidden="1"/>
    <cellStyle name="강조색2 4" xfId="48463" hidden="1"/>
    <cellStyle name="강조색2 4" xfId="49396" hidden="1"/>
    <cellStyle name="강조색2 4" xfId="49436" hidden="1"/>
    <cellStyle name="강조색2 4" xfId="49476" hidden="1"/>
    <cellStyle name="강조색2 4" xfId="49516" hidden="1"/>
    <cellStyle name="강조색2 4" xfId="49556" hidden="1"/>
    <cellStyle name="강조색2 4" xfId="49596" hidden="1"/>
    <cellStyle name="강조색2 4" xfId="49636" hidden="1"/>
    <cellStyle name="강조색2 4" xfId="49676" hidden="1"/>
    <cellStyle name="강조색2 4" xfId="49716" hidden="1"/>
    <cellStyle name="강조색2 4" xfId="49756" hidden="1"/>
    <cellStyle name="강조색2 4" xfId="49796" hidden="1"/>
    <cellStyle name="강조색2 4" xfId="49836" hidden="1"/>
    <cellStyle name="강조색2 4" xfId="44808" hidden="1"/>
    <cellStyle name="강조색2 4" xfId="49886" hidden="1"/>
    <cellStyle name="강조색2 4" xfId="49926" hidden="1"/>
    <cellStyle name="강조색2 4" xfId="49966" hidden="1"/>
    <cellStyle name="강조색2 4" xfId="50006" hidden="1"/>
    <cellStyle name="강조색2 4" xfId="50046" hidden="1"/>
    <cellStyle name="강조색2 4" xfId="50086" hidden="1"/>
    <cellStyle name="강조색2 4" xfId="50126" hidden="1"/>
    <cellStyle name="강조색2 4" xfId="50166" hidden="1"/>
    <cellStyle name="강조색2 4" xfId="50206" hidden="1"/>
    <cellStyle name="강조색2 4" xfId="50246" hidden="1"/>
    <cellStyle name="강조색2 4" xfId="50286" hidden="1"/>
    <cellStyle name="강조색2 4" xfId="50370" hidden="1"/>
    <cellStyle name="강조색2 4" xfId="50411" hidden="1"/>
    <cellStyle name="강조색2 4" xfId="50453" hidden="1"/>
    <cellStyle name="강조색2 4" xfId="50495" hidden="1"/>
    <cellStyle name="강조색2 4" xfId="50537" hidden="1"/>
    <cellStyle name="강조색2 4" xfId="50579" hidden="1"/>
    <cellStyle name="강조색2 4" xfId="50621" hidden="1"/>
    <cellStyle name="강조색2 4" xfId="50663" hidden="1"/>
    <cellStyle name="강조색2 4" xfId="50705" hidden="1"/>
    <cellStyle name="강조색2 4" xfId="50747" hidden="1"/>
    <cellStyle name="강조색2 4" xfId="50789" hidden="1"/>
    <cellStyle name="강조색2 4" xfId="50831" hidden="1"/>
    <cellStyle name="강조색2 4" xfId="50327" hidden="1"/>
    <cellStyle name="강조색2 4" xfId="51010" hidden="1"/>
    <cellStyle name="강조색2 4" xfId="51050" hidden="1"/>
    <cellStyle name="강조색2 4" xfId="51090" hidden="1"/>
    <cellStyle name="강조색2 4" xfId="51130" hidden="1"/>
    <cellStyle name="강조색2 4" xfId="51170" hidden="1"/>
    <cellStyle name="강조색2 4" xfId="51210" hidden="1"/>
    <cellStyle name="강조색2 4" xfId="51250" hidden="1"/>
    <cellStyle name="강조색2 4" xfId="51290" hidden="1"/>
    <cellStyle name="강조색2 4" xfId="51330" hidden="1"/>
    <cellStyle name="강조색2 4" xfId="51370" hidden="1"/>
    <cellStyle name="강조색2 4" xfId="51410" hidden="1"/>
    <cellStyle name="강조색2 4" xfId="51450" hidden="1"/>
    <cellStyle name="강조색2 4" xfId="50912" hidden="1"/>
    <cellStyle name="강조색2 4" xfId="50873" hidden="1"/>
    <cellStyle name="강조색2 4" xfId="51492" hidden="1"/>
    <cellStyle name="강조색2 4" xfId="51534" hidden="1"/>
    <cellStyle name="강조색2 4" xfId="51576" hidden="1"/>
    <cellStyle name="강조색2 4" xfId="51618" hidden="1"/>
    <cellStyle name="강조색2 4" xfId="51660" hidden="1"/>
    <cellStyle name="강조색2 4" xfId="51702" hidden="1"/>
    <cellStyle name="강조색2 4" xfId="51744" hidden="1"/>
    <cellStyle name="강조색2 4" xfId="51786" hidden="1"/>
    <cellStyle name="강조색2 4" xfId="51828" hidden="1"/>
    <cellStyle name="강조색2 4" xfId="51870" hidden="1"/>
    <cellStyle name="강조색2 4" xfId="50965" hidden="1"/>
    <cellStyle name="강조색2 4" xfId="51898" hidden="1"/>
    <cellStyle name="강조색2 4" xfId="51938" hidden="1"/>
    <cellStyle name="강조색2 4" xfId="51978" hidden="1"/>
    <cellStyle name="강조색2 4" xfId="52018" hidden="1"/>
    <cellStyle name="강조색2 4" xfId="52058" hidden="1"/>
    <cellStyle name="강조색2 4" xfId="52098" hidden="1"/>
    <cellStyle name="강조색2 4" xfId="52138" hidden="1"/>
    <cellStyle name="강조색2 4" xfId="52178" hidden="1"/>
    <cellStyle name="강조색2 4" xfId="52218" hidden="1"/>
    <cellStyle name="강조색2 4" xfId="52258" hidden="1"/>
    <cellStyle name="강조색2 4" xfId="52298" hidden="1"/>
    <cellStyle name="강조색2 4" xfId="52338" hidden="1"/>
    <cellStyle name="강조색2 4 2" xfId="4532"/>
    <cellStyle name="강조색2 4 3" xfId="4533"/>
    <cellStyle name="강조색2 4 4" xfId="4534"/>
    <cellStyle name="강조색2 4 5" xfId="4535"/>
    <cellStyle name="강조색2 40" xfId="4536"/>
    <cellStyle name="강조색2 41" xfId="4537"/>
    <cellStyle name="강조색2 42" xfId="4538"/>
    <cellStyle name="강조색2 43" xfId="4539"/>
    <cellStyle name="강조색2 44" xfId="4540"/>
    <cellStyle name="강조색2 45" xfId="4541"/>
    <cellStyle name="강조색2 46" xfId="4542"/>
    <cellStyle name="강조색2 47" xfId="4543"/>
    <cellStyle name="강조색2 48" xfId="4544"/>
    <cellStyle name="강조색2 49" xfId="4545"/>
    <cellStyle name="강조색2 5" xfId="4546"/>
    <cellStyle name="강조색2 50" xfId="4547"/>
    <cellStyle name="강조색2 51" xfId="4548"/>
    <cellStyle name="강조색2 52" xfId="4549"/>
    <cellStyle name="강조색2 6" xfId="4550"/>
    <cellStyle name="강조색2 7" xfId="4551"/>
    <cellStyle name="강조색2 8" xfId="4552"/>
    <cellStyle name="강조색2 9" xfId="4553"/>
    <cellStyle name="강조색3 10" xfId="4554"/>
    <cellStyle name="강조색3 11" xfId="4555"/>
    <cellStyle name="강조색3 12" xfId="4556"/>
    <cellStyle name="강조색3 13" xfId="4557"/>
    <cellStyle name="강조색3 14" xfId="4558"/>
    <cellStyle name="강조색3 15" xfId="4559"/>
    <cellStyle name="강조색3 16" xfId="4560"/>
    <cellStyle name="강조색3 17" xfId="4561"/>
    <cellStyle name="강조색3 18" xfId="4562"/>
    <cellStyle name="강조색3 19" xfId="4563"/>
    <cellStyle name="강조색3 2" xfId="350"/>
    <cellStyle name="강조색3 2 10" xfId="4564"/>
    <cellStyle name="강조색3 2 100" xfId="4565"/>
    <cellStyle name="강조색3 2 101" xfId="4566"/>
    <cellStyle name="강조색3 2 102" xfId="4567"/>
    <cellStyle name="강조색3 2 103" xfId="4568"/>
    <cellStyle name="강조색3 2 104" xfId="4569"/>
    <cellStyle name="강조색3 2 105" xfId="4570"/>
    <cellStyle name="강조색3 2 106" xfId="4571"/>
    <cellStyle name="강조색3 2 107" xfId="4572"/>
    <cellStyle name="강조색3 2 108" xfId="4573"/>
    <cellStyle name="강조색3 2 109" xfId="4574"/>
    <cellStyle name="강조색3 2 11" xfId="4575"/>
    <cellStyle name="강조색3 2 110" xfId="4576"/>
    <cellStyle name="강조색3 2 111" xfId="4577"/>
    <cellStyle name="강조색3 2 112" xfId="4578"/>
    <cellStyle name="강조색3 2 12" xfId="4579"/>
    <cellStyle name="강조색3 2 13" xfId="4580"/>
    <cellStyle name="강조색3 2 14" xfId="4581"/>
    <cellStyle name="강조색3 2 15" xfId="4582"/>
    <cellStyle name="강조색3 2 16" xfId="4583"/>
    <cellStyle name="강조색3 2 17" xfId="4584"/>
    <cellStyle name="강조색3 2 18" xfId="4585"/>
    <cellStyle name="강조색3 2 19" xfId="4586"/>
    <cellStyle name="강조색3 2 2" xfId="4587"/>
    <cellStyle name="강조색3 2 2 2" xfId="4588"/>
    <cellStyle name="강조색3 2 2 3" xfId="4589"/>
    <cellStyle name="강조색3 2 2 4" xfId="4590"/>
    <cellStyle name="강조색3 2 2 5" xfId="4591"/>
    <cellStyle name="강조색3 2 20" xfId="4592"/>
    <cellStyle name="강조색3 2 21" xfId="4593"/>
    <cellStyle name="강조색3 2 22" xfId="4594"/>
    <cellStyle name="강조색3 2 23" xfId="4595"/>
    <cellStyle name="강조색3 2 24" xfId="4596"/>
    <cellStyle name="강조색3 2 25" xfId="4597"/>
    <cellStyle name="강조색3 2 26" xfId="4598"/>
    <cellStyle name="강조색3 2 27" xfId="4599"/>
    <cellStyle name="강조색3 2 28" xfId="4600"/>
    <cellStyle name="강조색3 2 29" xfId="4601"/>
    <cellStyle name="강조색3 2 3" xfId="4602"/>
    <cellStyle name="강조색3 2 30" xfId="4603"/>
    <cellStyle name="강조색3 2 31" xfId="4604"/>
    <cellStyle name="강조색3 2 32" xfId="4605"/>
    <cellStyle name="강조색3 2 33" xfId="4606"/>
    <cellStyle name="강조색3 2 34" xfId="4607"/>
    <cellStyle name="강조색3 2 35" xfId="4608"/>
    <cellStyle name="강조색3 2 36" xfId="4609"/>
    <cellStyle name="강조색3 2 37" xfId="4610"/>
    <cellStyle name="강조색3 2 38" xfId="4611"/>
    <cellStyle name="강조색3 2 39" xfId="4612"/>
    <cellStyle name="강조색3 2 4" xfId="4613"/>
    <cellStyle name="강조색3 2 40" xfId="4614"/>
    <cellStyle name="강조색3 2 41" xfId="4615"/>
    <cellStyle name="강조색3 2 42" xfId="4616"/>
    <cellStyle name="강조색3 2 43" xfId="4617"/>
    <cellStyle name="강조색3 2 44" xfId="4618"/>
    <cellStyle name="강조색3 2 45" xfId="4619"/>
    <cellStyle name="강조색3 2 46" xfId="4620"/>
    <cellStyle name="강조색3 2 47" xfId="4621"/>
    <cellStyle name="강조색3 2 48" xfId="4622"/>
    <cellStyle name="강조색3 2 49" xfId="4623"/>
    <cellStyle name="강조색3 2 5" xfId="4624"/>
    <cellStyle name="강조색3 2 50" xfId="4625"/>
    <cellStyle name="강조색3 2 51" xfId="4626"/>
    <cellStyle name="강조색3 2 52" xfId="4627"/>
    <cellStyle name="강조색3 2 53" xfId="4628"/>
    <cellStyle name="강조색3 2 54" xfId="4629"/>
    <cellStyle name="강조색3 2 55" xfId="4630"/>
    <cellStyle name="강조색3 2 56" xfId="4631"/>
    <cellStyle name="강조색3 2 57" xfId="4632"/>
    <cellStyle name="강조색3 2 58" xfId="4633"/>
    <cellStyle name="강조색3 2 59" xfId="4634"/>
    <cellStyle name="강조색3 2 6" xfId="4635"/>
    <cellStyle name="강조색3 2 60" xfId="4636"/>
    <cellStyle name="강조색3 2 61" xfId="4637"/>
    <cellStyle name="강조색3 2 62" xfId="4638"/>
    <cellStyle name="강조색3 2 63" xfId="4639"/>
    <cellStyle name="강조색3 2 64" xfId="4640"/>
    <cellStyle name="강조색3 2 65" xfId="4641"/>
    <cellStyle name="강조색3 2 66" xfId="4642"/>
    <cellStyle name="강조색3 2 67" xfId="4643"/>
    <cellStyle name="강조색3 2 68" xfId="4644"/>
    <cellStyle name="강조색3 2 69" xfId="4645"/>
    <cellStyle name="강조색3 2 7" xfId="4646"/>
    <cellStyle name="강조색3 2 70" xfId="4647"/>
    <cellStyle name="강조색3 2 71" xfId="4648"/>
    <cellStyle name="강조색3 2 72" xfId="4649"/>
    <cellStyle name="강조색3 2 73" xfId="4650"/>
    <cellStyle name="강조색3 2 74" xfId="4651"/>
    <cellStyle name="강조색3 2 75" xfId="4652"/>
    <cellStyle name="강조색3 2 76" xfId="4653"/>
    <cellStyle name="강조색3 2 77" xfId="4654"/>
    <cellStyle name="강조색3 2 78" xfId="4655"/>
    <cellStyle name="강조색3 2 79" xfId="4656"/>
    <cellStyle name="강조색3 2 8" xfId="4657"/>
    <cellStyle name="강조색3 2 80" xfId="4658"/>
    <cellStyle name="강조색3 2 81" xfId="4659"/>
    <cellStyle name="강조색3 2 82" xfId="4660"/>
    <cellStyle name="강조색3 2 83" xfId="4661"/>
    <cellStyle name="강조색3 2 84" xfId="4662"/>
    <cellStyle name="강조색3 2 85" xfId="4663"/>
    <cellStyle name="강조색3 2 86" xfId="4664"/>
    <cellStyle name="강조색3 2 87" xfId="4665"/>
    <cellStyle name="강조색3 2 88" xfId="4666"/>
    <cellStyle name="강조색3 2 89" xfId="4667"/>
    <cellStyle name="강조색3 2 9" xfId="4668"/>
    <cellStyle name="강조색3 2 90" xfId="4669"/>
    <cellStyle name="강조색3 2 91" xfId="4670"/>
    <cellStyle name="강조색3 2 92" xfId="4671"/>
    <cellStyle name="강조색3 2 93" xfId="4672"/>
    <cellStyle name="강조색3 2 94" xfId="4673"/>
    <cellStyle name="강조색3 2 95" xfId="4674"/>
    <cellStyle name="강조색3 2 96" xfId="4675"/>
    <cellStyle name="강조색3 2 97" xfId="4676"/>
    <cellStyle name="강조색3 2 98" xfId="4677"/>
    <cellStyle name="강조색3 2 99" xfId="4678"/>
    <cellStyle name="강조색3 20" xfId="4679"/>
    <cellStyle name="강조색3 21" xfId="4680"/>
    <cellStyle name="강조색3 22" xfId="4681"/>
    <cellStyle name="강조색3 23" xfId="4682"/>
    <cellStyle name="강조색3 24" xfId="4683"/>
    <cellStyle name="강조색3 25" xfId="4684"/>
    <cellStyle name="강조색3 26" xfId="4685"/>
    <cellStyle name="강조색3 27" xfId="4686"/>
    <cellStyle name="강조색3 28" xfId="4687"/>
    <cellStyle name="강조색3 29" xfId="4688"/>
    <cellStyle name="강조색3 3" xfId="351"/>
    <cellStyle name="강조색3 30" xfId="4689"/>
    <cellStyle name="강조색3 31" xfId="4690"/>
    <cellStyle name="강조색3 32" xfId="4691"/>
    <cellStyle name="강조색3 33" xfId="4692"/>
    <cellStyle name="강조색3 34" xfId="4693"/>
    <cellStyle name="강조색3 35" xfId="4694"/>
    <cellStyle name="강조색3 36" xfId="4695"/>
    <cellStyle name="강조색3 37" xfId="4696"/>
    <cellStyle name="강조색3 38" xfId="4697"/>
    <cellStyle name="강조색3 39" xfId="4698"/>
    <cellStyle name="강조색3 4" xfId="11732" hidden="1"/>
    <cellStyle name="강조색3 4" xfId="11778" hidden="1"/>
    <cellStyle name="강조색3 4" xfId="11824" hidden="1"/>
    <cellStyle name="강조색3 4" xfId="11870" hidden="1"/>
    <cellStyle name="강조색3 4" xfId="11916" hidden="1"/>
    <cellStyle name="강조색3 4" xfId="11962" hidden="1"/>
    <cellStyle name="강조색3 4" xfId="12008" hidden="1"/>
    <cellStyle name="강조색3 4" xfId="12054" hidden="1"/>
    <cellStyle name="강조색3 4" xfId="12100" hidden="1"/>
    <cellStyle name="강조색3 4" xfId="12146" hidden="1"/>
    <cellStyle name="강조색3 4" xfId="12192" hidden="1"/>
    <cellStyle name="강조색3 4" xfId="12238" hidden="1"/>
    <cellStyle name="강조색3 4" xfId="12328" hidden="1"/>
    <cellStyle name="강조색3 4" xfId="12369" hidden="1"/>
    <cellStyle name="강조색3 4" xfId="12411" hidden="1"/>
    <cellStyle name="강조색3 4" xfId="12453" hidden="1"/>
    <cellStyle name="강조색3 4" xfId="12495" hidden="1"/>
    <cellStyle name="강조색3 4" xfId="12537" hidden="1"/>
    <cellStyle name="강조색3 4" xfId="12579" hidden="1"/>
    <cellStyle name="강조색3 4" xfId="12621" hidden="1"/>
    <cellStyle name="강조색3 4" xfId="12663" hidden="1"/>
    <cellStyle name="강조색3 4" xfId="12705" hidden="1"/>
    <cellStyle name="강조색3 4" xfId="12747" hidden="1"/>
    <cellStyle name="강조색3 4" xfId="12789" hidden="1"/>
    <cellStyle name="강조색3 4" xfId="12283" hidden="1"/>
    <cellStyle name="강조색3 4" xfId="12971" hidden="1"/>
    <cellStyle name="강조색3 4" xfId="13011" hidden="1"/>
    <cellStyle name="강조색3 4" xfId="13051" hidden="1"/>
    <cellStyle name="강조색3 4" xfId="13091" hidden="1"/>
    <cellStyle name="강조색3 4" xfId="13131" hidden="1"/>
    <cellStyle name="강조색3 4" xfId="13171" hidden="1"/>
    <cellStyle name="강조색3 4" xfId="13211" hidden="1"/>
    <cellStyle name="강조색3 4" xfId="13251" hidden="1"/>
    <cellStyle name="강조색3 4" xfId="13291" hidden="1"/>
    <cellStyle name="강조색3 4" xfId="13331" hidden="1"/>
    <cellStyle name="강조색3 4" xfId="13371" hidden="1"/>
    <cellStyle name="강조색3 4" xfId="13411" hidden="1"/>
    <cellStyle name="강조색3 4" xfId="12863" hidden="1"/>
    <cellStyle name="강조색3 4" xfId="12824" hidden="1"/>
    <cellStyle name="강조색3 4" xfId="13453" hidden="1"/>
    <cellStyle name="강조색3 4" xfId="13495" hidden="1"/>
    <cellStyle name="강조색3 4" xfId="13537" hidden="1"/>
    <cellStyle name="강조색3 4" xfId="13579" hidden="1"/>
    <cellStyle name="강조색3 4" xfId="13621" hidden="1"/>
    <cellStyle name="강조색3 4" xfId="13663" hidden="1"/>
    <cellStyle name="강조색3 4" xfId="13705" hidden="1"/>
    <cellStyle name="강조색3 4" xfId="13747" hidden="1"/>
    <cellStyle name="강조색3 4" xfId="13789" hidden="1"/>
    <cellStyle name="강조색3 4" xfId="13831" hidden="1"/>
    <cellStyle name="강조색3 4" xfId="12917" hidden="1"/>
    <cellStyle name="강조색3 4" xfId="13859" hidden="1"/>
    <cellStyle name="강조색3 4" xfId="13899" hidden="1"/>
    <cellStyle name="강조색3 4" xfId="13939" hidden="1"/>
    <cellStyle name="강조색3 4" xfId="13979" hidden="1"/>
    <cellStyle name="강조색3 4" xfId="14019" hidden="1"/>
    <cellStyle name="강조색3 4" xfId="14059" hidden="1"/>
    <cellStyle name="강조색3 4" xfId="14099" hidden="1"/>
    <cellStyle name="강조색3 4" xfId="14139" hidden="1"/>
    <cellStyle name="강조색3 4" xfId="14179" hidden="1"/>
    <cellStyle name="강조색3 4" xfId="14219" hidden="1"/>
    <cellStyle name="강조색3 4" xfId="14259" hidden="1"/>
    <cellStyle name="강조색3 4" xfId="14299" hidden="1"/>
    <cellStyle name="강조색3 4" xfId="14405" hidden="1"/>
    <cellStyle name="강조색3 4" xfId="14445" hidden="1"/>
    <cellStyle name="강조색3 4" xfId="14485" hidden="1"/>
    <cellStyle name="강조색3 4" xfId="14525" hidden="1"/>
    <cellStyle name="강조색3 4" xfId="14565" hidden="1"/>
    <cellStyle name="강조색3 4" xfId="14605" hidden="1"/>
    <cellStyle name="강조색3 4" xfId="14645" hidden="1"/>
    <cellStyle name="강조색3 4" xfId="14685" hidden="1"/>
    <cellStyle name="강조색3 4" xfId="14725" hidden="1"/>
    <cellStyle name="강조색3 4" xfId="14765" hidden="1"/>
    <cellStyle name="강조색3 4" xfId="14805" hidden="1"/>
    <cellStyle name="강조색3 4" xfId="14845" hidden="1"/>
    <cellStyle name="강조색3 4" xfId="14929" hidden="1"/>
    <cellStyle name="강조색3 4" xfId="14970" hidden="1"/>
    <cellStyle name="강조색3 4" xfId="15012" hidden="1"/>
    <cellStyle name="강조색3 4" xfId="15054" hidden="1"/>
    <cellStyle name="강조색3 4" xfId="15096" hidden="1"/>
    <cellStyle name="강조색3 4" xfId="15138" hidden="1"/>
    <cellStyle name="강조색3 4" xfId="15180" hidden="1"/>
    <cellStyle name="강조색3 4" xfId="15222" hidden="1"/>
    <cellStyle name="강조색3 4" xfId="15264" hidden="1"/>
    <cellStyle name="강조색3 4" xfId="15306" hidden="1"/>
    <cellStyle name="강조색3 4" xfId="15348" hidden="1"/>
    <cellStyle name="강조색3 4" xfId="15390" hidden="1"/>
    <cellStyle name="강조색3 4" xfId="14886" hidden="1"/>
    <cellStyle name="강조색3 4" xfId="15569" hidden="1"/>
    <cellStyle name="강조색3 4" xfId="15609" hidden="1"/>
    <cellStyle name="강조색3 4" xfId="15649" hidden="1"/>
    <cellStyle name="강조색3 4" xfId="15689" hidden="1"/>
    <cellStyle name="강조색3 4" xfId="15729" hidden="1"/>
    <cellStyle name="강조색3 4" xfId="15769" hidden="1"/>
    <cellStyle name="강조색3 4" xfId="15809" hidden="1"/>
    <cellStyle name="강조색3 4" xfId="15849" hidden="1"/>
    <cellStyle name="강조색3 4" xfId="15889" hidden="1"/>
    <cellStyle name="강조색3 4" xfId="15929" hidden="1"/>
    <cellStyle name="강조색3 4" xfId="15969" hidden="1"/>
    <cellStyle name="강조색3 4" xfId="16009" hidden="1"/>
    <cellStyle name="강조색3 4" xfId="15463" hidden="1"/>
    <cellStyle name="강조색3 4" xfId="15424" hidden="1"/>
    <cellStyle name="강조색3 4" xfId="16051" hidden="1"/>
    <cellStyle name="강조색3 4" xfId="16093" hidden="1"/>
    <cellStyle name="강조색3 4" xfId="16135" hidden="1"/>
    <cellStyle name="강조색3 4" xfId="16177" hidden="1"/>
    <cellStyle name="강조색3 4" xfId="16219" hidden="1"/>
    <cellStyle name="강조색3 4" xfId="16261" hidden="1"/>
    <cellStyle name="강조색3 4" xfId="16303" hidden="1"/>
    <cellStyle name="강조색3 4" xfId="16345" hidden="1"/>
    <cellStyle name="강조색3 4" xfId="16387" hidden="1"/>
    <cellStyle name="강조색3 4" xfId="16429" hidden="1"/>
    <cellStyle name="강조색3 4" xfId="15516" hidden="1"/>
    <cellStyle name="강조색3 4" xfId="16457" hidden="1"/>
    <cellStyle name="강조색3 4" xfId="16497" hidden="1"/>
    <cellStyle name="강조색3 4" xfId="16537" hidden="1"/>
    <cellStyle name="강조색3 4" xfId="16577" hidden="1"/>
    <cellStyle name="강조색3 4" xfId="16617" hidden="1"/>
    <cellStyle name="강조색3 4" xfId="16657" hidden="1"/>
    <cellStyle name="강조색3 4" xfId="16697" hidden="1"/>
    <cellStyle name="강조색3 4" xfId="16737" hidden="1"/>
    <cellStyle name="강조색3 4" xfId="16777" hidden="1"/>
    <cellStyle name="강조색3 4" xfId="16817" hidden="1"/>
    <cellStyle name="강조색3 4" xfId="16857" hidden="1"/>
    <cellStyle name="강조색3 4" xfId="16897" hidden="1"/>
    <cellStyle name="강조색3 4" xfId="14320" hidden="1"/>
    <cellStyle name="강조색3 4" xfId="16948" hidden="1"/>
    <cellStyle name="강조색3 4" xfId="16989" hidden="1"/>
    <cellStyle name="강조색3 4" xfId="17029" hidden="1"/>
    <cellStyle name="강조색3 4" xfId="17069" hidden="1"/>
    <cellStyle name="강조색3 4" xfId="17109" hidden="1"/>
    <cellStyle name="강조색3 4" xfId="17149" hidden="1"/>
    <cellStyle name="강조색3 4" xfId="17189" hidden="1"/>
    <cellStyle name="강조색3 4" xfId="17229" hidden="1"/>
    <cellStyle name="강조색3 4" xfId="17269" hidden="1"/>
    <cellStyle name="강조색3 4" xfId="17309" hidden="1"/>
    <cellStyle name="강조색3 4" xfId="17349" hidden="1"/>
    <cellStyle name="강조색3 4" xfId="17433" hidden="1"/>
    <cellStyle name="강조색3 4" xfId="17474" hidden="1"/>
    <cellStyle name="강조색3 4" xfId="17516" hidden="1"/>
    <cellStyle name="강조색3 4" xfId="17558" hidden="1"/>
    <cellStyle name="강조색3 4" xfId="17600" hidden="1"/>
    <cellStyle name="강조색3 4" xfId="17642" hidden="1"/>
    <cellStyle name="강조색3 4" xfId="17684" hidden="1"/>
    <cellStyle name="강조색3 4" xfId="17726" hidden="1"/>
    <cellStyle name="강조색3 4" xfId="17768" hidden="1"/>
    <cellStyle name="강조색3 4" xfId="17810" hidden="1"/>
    <cellStyle name="강조색3 4" xfId="17852" hidden="1"/>
    <cellStyle name="강조색3 4" xfId="17894" hidden="1"/>
    <cellStyle name="강조색3 4" xfId="17390" hidden="1"/>
    <cellStyle name="강조색3 4" xfId="18073" hidden="1"/>
    <cellStyle name="강조색3 4" xfId="18113" hidden="1"/>
    <cellStyle name="강조색3 4" xfId="18153" hidden="1"/>
    <cellStyle name="강조색3 4" xfId="18193" hidden="1"/>
    <cellStyle name="강조색3 4" xfId="18233" hidden="1"/>
    <cellStyle name="강조색3 4" xfId="18273" hidden="1"/>
    <cellStyle name="강조색3 4" xfId="18313" hidden="1"/>
    <cellStyle name="강조색3 4" xfId="18353" hidden="1"/>
    <cellStyle name="강조색3 4" xfId="18393" hidden="1"/>
    <cellStyle name="강조색3 4" xfId="18433" hidden="1"/>
    <cellStyle name="강조색3 4" xfId="18473" hidden="1"/>
    <cellStyle name="강조색3 4" xfId="18513" hidden="1"/>
    <cellStyle name="강조색3 4" xfId="17967" hidden="1"/>
    <cellStyle name="강조색3 4" xfId="17928" hidden="1"/>
    <cellStyle name="강조색3 4" xfId="18555" hidden="1"/>
    <cellStyle name="강조색3 4" xfId="18597" hidden="1"/>
    <cellStyle name="강조색3 4" xfId="18639" hidden="1"/>
    <cellStyle name="강조색3 4" xfId="18681" hidden="1"/>
    <cellStyle name="강조색3 4" xfId="18723" hidden="1"/>
    <cellStyle name="강조색3 4" xfId="18765" hidden="1"/>
    <cellStyle name="강조색3 4" xfId="18807" hidden="1"/>
    <cellStyle name="강조색3 4" xfId="18849" hidden="1"/>
    <cellStyle name="강조색3 4" xfId="18891" hidden="1"/>
    <cellStyle name="강조색3 4" xfId="18933" hidden="1"/>
    <cellStyle name="강조색3 4" xfId="18020" hidden="1"/>
    <cellStyle name="강조색3 4" xfId="18961" hidden="1"/>
    <cellStyle name="강조색3 4" xfId="19001" hidden="1"/>
    <cellStyle name="강조색3 4" xfId="19041" hidden="1"/>
    <cellStyle name="강조색3 4" xfId="19081" hidden="1"/>
    <cellStyle name="강조색3 4" xfId="19121" hidden="1"/>
    <cellStyle name="강조색3 4" xfId="19161" hidden="1"/>
    <cellStyle name="강조색3 4" xfId="19201" hidden="1"/>
    <cellStyle name="강조색3 4" xfId="19241" hidden="1"/>
    <cellStyle name="강조색3 4" xfId="19281" hidden="1"/>
    <cellStyle name="강조색3 4" xfId="19321" hidden="1"/>
    <cellStyle name="강조색3 4" xfId="19361" hidden="1"/>
    <cellStyle name="강조색3 4" xfId="19401" hidden="1"/>
    <cellStyle name="강조색3 4" xfId="14372" hidden="1"/>
    <cellStyle name="강조색3 4" xfId="19451" hidden="1"/>
    <cellStyle name="강조색3 4" xfId="19491" hidden="1"/>
    <cellStyle name="강조색3 4" xfId="19531" hidden="1"/>
    <cellStyle name="강조색3 4" xfId="19571" hidden="1"/>
    <cellStyle name="강조색3 4" xfId="19611" hidden="1"/>
    <cellStyle name="강조색3 4" xfId="19651" hidden="1"/>
    <cellStyle name="강조색3 4" xfId="19691" hidden="1"/>
    <cellStyle name="강조색3 4" xfId="19731" hidden="1"/>
    <cellStyle name="강조색3 4" xfId="19771" hidden="1"/>
    <cellStyle name="강조색3 4" xfId="19811" hidden="1"/>
    <cellStyle name="강조색3 4" xfId="19851" hidden="1"/>
    <cellStyle name="강조색3 4" xfId="19935" hidden="1"/>
    <cellStyle name="강조색3 4" xfId="19976" hidden="1"/>
    <cellStyle name="강조색3 4" xfId="20018" hidden="1"/>
    <cellStyle name="강조색3 4" xfId="20060" hidden="1"/>
    <cellStyle name="강조색3 4" xfId="20102" hidden="1"/>
    <cellStyle name="강조색3 4" xfId="20144" hidden="1"/>
    <cellStyle name="강조색3 4" xfId="20186" hidden="1"/>
    <cellStyle name="강조색3 4" xfId="20228" hidden="1"/>
    <cellStyle name="강조색3 4" xfId="20270" hidden="1"/>
    <cellStyle name="강조색3 4" xfId="20312" hidden="1"/>
    <cellStyle name="강조색3 4" xfId="20354" hidden="1"/>
    <cellStyle name="강조색3 4" xfId="20396" hidden="1"/>
    <cellStyle name="강조색3 4" xfId="19892" hidden="1"/>
    <cellStyle name="강조색3 4" xfId="20575" hidden="1"/>
    <cellStyle name="강조색3 4" xfId="20615" hidden="1"/>
    <cellStyle name="강조색3 4" xfId="20655" hidden="1"/>
    <cellStyle name="강조색3 4" xfId="20695" hidden="1"/>
    <cellStyle name="강조색3 4" xfId="20735" hidden="1"/>
    <cellStyle name="강조색3 4" xfId="20775" hidden="1"/>
    <cellStyle name="강조색3 4" xfId="20815" hidden="1"/>
    <cellStyle name="강조색3 4" xfId="20855" hidden="1"/>
    <cellStyle name="강조색3 4" xfId="20895" hidden="1"/>
    <cellStyle name="강조색3 4" xfId="20935" hidden="1"/>
    <cellStyle name="강조색3 4" xfId="20975" hidden="1"/>
    <cellStyle name="강조색3 4" xfId="21015" hidden="1"/>
    <cellStyle name="강조색3 4" xfId="20469" hidden="1"/>
    <cellStyle name="강조색3 4" xfId="20430" hidden="1"/>
    <cellStyle name="강조색3 4" xfId="21057" hidden="1"/>
    <cellStyle name="강조색3 4" xfId="21099" hidden="1"/>
    <cellStyle name="강조색3 4" xfId="21141" hidden="1"/>
    <cellStyle name="강조색3 4" xfId="21183" hidden="1"/>
    <cellStyle name="강조색3 4" xfId="21225" hidden="1"/>
    <cellStyle name="강조색3 4" xfId="21267" hidden="1"/>
    <cellStyle name="강조색3 4" xfId="21309" hidden="1"/>
    <cellStyle name="강조색3 4" xfId="21351" hidden="1"/>
    <cellStyle name="강조색3 4" xfId="21393" hidden="1"/>
    <cellStyle name="강조색3 4" xfId="21435" hidden="1"/>
    <cellStyle name="강조색3 4" xfId="20522" hidden="1"/>
    <cellStyle name="강조색3 4" xfId="21463" hidden="1"/>
    <cellStyle name="강조색3 4" xfId="21503" hidden="1"/>
    <cellStyle name="강조색3 4" xfId="21543" hidden="1"/>
    <cellStyle name="강조색3 4" xfId="21583" hidden="1"/>
    <cellStyle name="강조색3 4" xfId="21623" hidden="1"/>
    <cellStyle name="강조색3 4" xfId="21663" hidden="1"/>
    <cellStyle name="강조색3 4" xfId="21703" hidden="1"/>
    <cellStyle name="강조색3 4" xfId="21743" hidden="1"/>
    <cellStyle name="강조색3 4" xfId="21783" hidden="1"/>
    <cellStyle name="강조색3 4" xfId="21823" hidden="1"/>
    <cellStyle name="강조색3 4" xfId="21863" hidden="1"/>
    <cellStyle name="강조색3 4" xfId="21903" hidden="1"/>
    <cellStyle name="강조색3 4" xfId="21971" hidden="1"/>
    <cellStyle name="강조색3 4" xfId="22011" hidden="1"/>
    <cellStyle name="강조색3 4" xfId="22051" hidden="1"/>
    <cellStyle name="강조색3 4" xfId="22091" hidden="1"/>
    <cellStyle name="강조색3 4" xfId="22131" hidden="1"/>
    <cellStyle name="강조색3 4" xfId="22171" hidden="1"/>
    <cellStyle name="강조색3 4" xfId="22211" hidden="1"/>
    <cellStyle name="강조색3 4" xfId="22251" hidden="1"/>
    <cellStyle name="강조색3 4" xfId="22291" hidden="1"/>
    <cellStyle name="강조색3 4" xfId="22331" hidden="1"/>
    <cellStyle name="강조색3 4" xfId="22371" hidden="1"/>
    <cellStyle name="강조색3 4" xfId="22411" hidden="1"/>
    <cellStyle name="강조색3 4" xfId="22495" hidden="1"/>
    <cellStyle name="강조색3 4" xfId="22536" hidden="1"/>
    <cellStyle name="강조색3 4" xfId="22578" hidden="1"/>
    <cellStyle name="강조색3 4" xfId="22620" hidden="1"/>
    <cellStyle name="강조색3 4" xfId="22662" hidden="1"/>
    <cellStyle name="강조색3 4" xfId="22704" hidden="1"/>
    <cellStyle name="강조색3 4" xfId="22746" hidden="1"/>
    <cellStyle name="강조색3 4" xfId="22788" hidden="1"/>
    <cellStyle name="강조색3 4" xfId="22830" hidden="1"/>
    <cellStyle name="강조색3 4" xfId="22872" hidden="1"/>
    <cellStyle name="강조색3 4" xfId="22914" hidden="1"/>
    <cellStyle name="강조색3 4" xfId="22956" hidden="1"/>
    <cellStyle name="강조색3 4" xfId="22452" hidden="1"/>
    <cellStyle name="강조색3 4" xfId="23135" hidden="1"/>
    <cellStyle name="강조색3 4" xfId="23175" hidden="1"/>
    <cellStyle name="강조색3 4" xfId="23215" hidden="1"/>
    <cellStyle name="강조색3 4" xfId="23255" hidden="1"/>
    <cellStyle name="강조색3 4" xfId="23295" hidden="1"/>
    <cellStyle name="강조색3 4" xfId="23335" hidden="1"/>
    <cellStyle name="강조색3 4" xfId="23375" hidden="1"/>
    <cellStyle name="강조색3 4" xfId="23415" hidden="1"/>
    <cellStyle name="강조색3 4" xfId="23455" hidden="1"/>
    <cellStyle name="강조색3 4" xfId="23495" hidden="1"/>
    <cellStyle name="강조색3 4" xfId="23535" hidden="1"/>
    <cellStyle name="강조색3 4" xfId="23575" hidden="1"/>
    <cellStyle name="강조색3 4" xfId="23029" hidden="1"/>
    <cellStyle name="강조색3 4" xfId="22990" hidden="1"/>
    <cellStyle name="강조색3 4" xfId="23617" hidden="1"/>
    <cellStyle name="강조색3 4" xfId="23659" hidden="1"/>
    <cellStyle name="강조색3 4" xfId="23701" hidden="1"/>
    <cellStyle name="강조색3 4" xfId="23743" hidden="1"/>
    <cellStyle name="강조색3 4" xfId="23785" hidden="1"/>
    <cellStyle name="강조색3 4" xfId="23827" hidden="1"/>
    <cellStyle name="강조색3 4" xfId="23869" hidden="1"/>
    <cellStyle name="강조색3 4" xfId="23911" hidden="1"/>
    <cellStyle name="강조색3 4" xfId="23953" hidden="1"/>
    <cellStyle name="강조색3 4" xfId="23995" hidden="1"/>
    <cellStyle name="강조색3 4" xfId="23082" hidden="1"/>
    <cellStyle name="강조색3 4" xfId="24023" hidden="1"/>
    <cellStyle name="강조색3 4" xfId="24063" hidden="1"/>
    <cellStyle name="강조색3 4" xfId="24103" hidden="1"/>
    <cellStyle name="강조색3 4" xfId="24143" hidden="1"/>
    <cellStyle name="강조색3 4" xfId="24183" hidden="1"/>
    <cellStyle name="강조색3 4" xfId="24223" hidden="1"/>
    <cellStyle name="강조색3 4" xfId="24263" hidden="1"/>
    <cellStyle name="강조색3 4" xfId="24303" hidden="1"/>
    <cellStyle name="강조색3 4" xfId="24343" hidden="1"/>
    <cellStyle name="강조색3 4" xfId="24383" hidden="1"/>
    <cellStyle name="강조색3 4" xfId="24423" hidden="1"/>
    <cellStyle name="강조색3 4" xfId="24463" hidden="1"/>
    <cellStyle name="강조색3 4" xfId="24561" hidden="1"/>
    <cellStyle name="강조색3 4" xfId="24601" hidden="1"/>
    <cellStyle name="강조색3 4" xfId="24643" hidden="1"/>
    <cellStyle name="강조색3 4" xfId="24684" hidden="1"/>
    <cellStyle name="강조색3 4" xfId="24724" hidden="1"/>
    <cellStyle name="강조색3 4" xfId="24764" hidden="1"/>
    <cellStyle name="강조색3 4" xfId="24804" hidden="1"/>
    <cellStyle name="강조색3 4" xfId="24844" hidden="1"/>
    <cellStyle name="강조색3 4" xfId="24884" hidden="1"/>
    <cellStyle name="강조색3 4" xfId="24924" hidden="1"/>
    <cellStyle name="강조색3 4" xfId="24964" hidden="1"/>
    <cellStyle name="강조색3 4" xfId="25004" hidden="1"/>
    <cellStyle name="강조색3 4" xfId="25088" hidden="1"/>
    <cellStyle name="강조색3 4" xfId="25129" hidden="1"/>
    <cellStyle name="강조색3 4" xfId="25171" hidden="1"/>
    <cellStyle name="강조색3 4" xfId="25213" hidden="1"/>
    <cellStyle name="강조색3 4" xfId="25255" hidden="1"/>
    <cellStyle name="강조색3 4" xfId="25297" hidden="1"/>
    <cellStyle name="강조색3 4" xfId="25339" hidden="1"/>
    <cellStyle name="강조색3 4" xfId="25381" hidden="1"/>
    <cellStyle name="강조색3 4" xfId="25423" hidden="1"/>
    <cellStyle name="강조색3 4" xfId="25465" hidden="1"/>
    <cellStyle name="강조색3 4" xfId="25507" hidden="1"/>
    <cellStyle name="강조색3 4" xfId="25549" hidden="1"/>
    <cellStyle name="강조색3 4" xfId="25045" hidden="1"/>
    <cellStyle name="강조색3 4" xfId="25728" hidden="1"/>
    <cellStyle name="강조색3 4" xfId="25768" hidden="1"/>
    <cellStyle name="강조색3 4" xfId="25808" hidden="1"/>
    <cellStyle name="강조색3 4" xfId="25848" hidden="1"/>
    <cellStyle name="강조색3 4" xfId="25888" hidden="1"/>
    <cellStyle name="강조색3 4" xfId="25928" hidden="1"/>
    <cellStyle name="강조색3 4" xfId="25968" hidden="1"/>
    <cellStyle name="강조색3 4" xfId="26008" hidden="1"/>
    <cellStyle name="강조색3 4" xfId="26048" hidden="1"/>
    <cellStyle name="강조색3 4" xfId="26088" hidden="1"/>
    <cellStyle name="강조색3 4" xfId="26128" hidden="1"/>
    <cellStyle name="강조색3 4" xfId="26168" hidden="1"/>
    <cellStyle name="강조색3 4" xfId="25622" hidden="1"/>
    <cellStyle name="강조색3 4" xfId="25583" hidden="1"/>
    <cellStyle name="강조색3 4" xfId="26210" hidden="1"/>
    <cellStyle name="강조색3 4" xfId="26252" hidden="1"/>
    <cellStyle name="강조색3 4" xfId="26294" hidden="1"/>
    <cellStyle name="강조색3 4" xfId="26336" hidden="1"/>
    <cellStyle name="강조색3 4" xfId="26378" hidden="1"/>
    <cellStyle name="강조색3 4" xfId="26420" hidden="1"/>
    <cellStyle name="강조색3 4" xfId="26462" hidden="1"/>
    <cellStyle name="강조색3 4" xfId="26504" hidden="1"/>
    <cellStyle name="강조색3 4" xfId="26546" hidden="1"/>
    <cellStyle name="강조색3 4" xfId="26588" hidden="1"/>
    <cellStyle name="강조색3 4" xfId="25675" hidden="1"/>
    <cellStyle name="강조색3 4" xfId="26616" hidden="1"/>
    <cellStyle name="강조색3 4" xfId="26656" hidden="1"/>
    <cellStyle name="강조색3 4" xfId="26696" hidden="1"/>
    <cellStyle name="강조색3 4" xfId="26736" hidden="1"/>
    <cellStyle name="강조색3 4" xfId="26776" hidden="1"/>
    <cellStyle name="강조색3 4" xfId="26816" hidden="1"/>
    <cellStyle name="강조색3 4" xfId="26856" hidden="1"/>
    <cellStyle name="강조색3 4" xfId="26896" hidden="1"/>
    <cellStyle name="강조색3 4" xfId="26936" hidden="1"/>
    <cellStyle name="강조색3 4" xfId="26976" hidden="1"/>
    <cellStyle name="강조색3 4" xfId="27016" hidden="1"/>
    <cellStyle name="강조색3 4" xfId="27056" hidden="1"/>
    <cellStyle name="강조색3 4" xfId="24482" hidden="1"/>
    <cellStyle name="강조색3 4" xfId="27107" hidden="1"/>
    <cellStyle name="강조색3 4" xfId="27147" hidden="1"/>
    <cellStyle name="강조색3 4" xfId="27187" hidden="1"/>
    <cellStyle name="강조색3 4" xfId="27227" hidden="1"/>
    <cellStyle name="강조색3 4" xfId="27267" hidden="1"/>
    <cellStyle name="강조색3 4" xfId="27307" hidden="1"/>
    <cellStyle name="강조색3 4" xfId="27347" hidden="1"/>
    <cellStyle name="강조색3 4" xfId="27387" hidden="1"/>
    <cellStyle name="강조색3 4" xfId="27427" hidden="1"/>
    <cellStyle name="강조색3 4" xfId="27467" hidden="1"/>
    <cellStyle name="강조색3 4" xfId="27507" hidden="1"/>
    <cellStyle name="강조색3 4" xfId="27591" hidden="1"/>
    <cellStyle name="강조색3 4" xfId="27632" hidden="1"/>
    <cellStyle name="강조색3 4" xfId="27674" hidden="1"/>
    <cellStyle name="강조색3 4" xfId="27716" hidden="1"/>
    <cellStyle name="강조색3 4" xfId="27758" hidden="1"/>
    <cellStyle name="강조색3 4" xfId="27800" hidden="1"/>
    <cellStyle name="강조색3 4" xfId="27842" hidden="1"/>
    <cellStyle name="강조색3 4" xfId="27884" hidden="1"/>
    <cellStyle name="강조색3 4" xfId="27926" hidden="1"/>
    <cellStyle name="강조색3 4" xfId="27968" hidden="1"/>
    <cellStyle name="강조색3 4" xfId="28010" hidden="1"/>
    <cellStyle name="강조색3 4" xfId="28052" hidden="1"/>
    <cellStyle name="강조색3 4" xfId="27548" hidden="1"/>
    <cellStyle name="강조색3 4" xfId="28231" hidden="1"/>
    <cellStyle name="강조색3 4" xfId="28271" hidden="1"/>
    <cellStyle name="강조색3 4" xfId="28311" hidden="1"/>
    <cellStyle name="강조색3 4" xfId="28351" hidden="1"/>
    <cellStyle name="강조색3 4" xfId="28391" hidden="1"/>
    <cellStyle name="강조색3 4" xfId="28431" hidden="1"/>
    <cellStyle name="강조색3 4" xfId="28471" hidden="1"/>
    <cellStyle name="강조색3 4" xfId="28511" hidden="1"/>
    <cellStyle name="강조색3 4" xfId="28551" hidden="1"/>
    <cellStyle name="강조색3 4" xfId="28591" hidden="1"/>
    <cellStyle name="강조색3 4" xfId="28631" hidden="1"/>
    <cellStyle name="강조색3 4" xfId="28671" hidden="1"/>
    <cellStyle name="강조색3 4" xfId="28125" hidden="1"/>
    <cellStyle name="강조색3 4" xfId="28086" hidden="1"/>
    <cellStyle name="강조색3 4" xfId="28713" hidden="1"/>
    <cellStyle name="강조색3 4" xfId="28755" hidden="1"/>
    <cellStyle name="강조색3 4" xfId="28797" hidden="1"/>
    <cellStyle name="강조색3 4" xfId="28839" hidden="1"/>
    <cellStyle name="강조색3 4" xfId="28881" hidden="1"/>
    <cellStyle name="강조색3 4" xfId="28923" hidden="1"/>
    <cellStyle name="강조색3 4" xfId="28965" hidden="1"/>
    <cellStyle name="강조색3 4" xfId="29007" hidden="1"/>
    <cellStyle name="강조색3 4" xfId="29049" hidden="1"/>
    <cellStyle name="강조색3 4" xfId="29091" hidden="1"/>
    <cellStyle name="강조색3 4" xfId="28178" hidden="1"/>
    <cellStyle name="강조색3 4" xfId="29119" hidden="1"/>
    <cellStyle name="강조색3 4" xfId="29159" hidden="1"/>
    <cellStyle name="강조색3 4" xfId="29199" hidden="1"/>
    <cellStyle name="강조색3 4" xfId="29239" hidden="1"/>
    <cellStyle name="강조색3 4" xfId="29279" hidden="1"/>
    <cellStyle name="강조색3 4" xfId="29319" hidden="1"/>
    <cellStyle name="강조색3 4" xfId="29359" hidden="1"/>
    <cellStyle name="강조색3 4" xfId="29399" hidden="1"/>
    <cellStyle name="강조색3 4" xfId="29439" hidden="1"/>
    <cellStyle name="강조색3 4" xfId="29479" hidden="1"/>
    <cellStyle name="강조색3 4" xfId="29519" hidden="1"/>
    <cellStyle name="강조색3 4" xfId="29559" hidden="1"/>
    <cellStyle name="강조색3 4" xfId="24530" hidden="1"/>
    <cellStyle name="강조색3 4" xfId="29609" hidden="1"/>
    <cellStyle name="강조색3 4" xfId="29649" hidden="1"/>
    <cellStyle name="강조색3 4" xfId="29689" hidden="1"/>
    <cellStyle name="강조색3 4" xfId="29729" hidden="1"/>
    <cellStyle name="강조색3 4" xfId="29769" hidden="1"/>
    <cellStyle name="강조색3 4" xfId="29809" hidden="1"/>
    <cellStyle name="강조색3 4" xfId="29849" hidden="1"/>
    <cellStyle name="강조색3 4" xfId="29889" hidden="1"/>
    <cellStyle name="강조색3 4" xfId="29929" hidden="1"/>
    <cellStyle name="강조색3 4" xfId="29969" hidden="1"/>
    <cellStyle name="강조색3 4" xfId="30009" hidden="1"/>
    <cellStyle name="강조색3 4" xfId="30093" hidden="1"/>
    <cellStyle name="강조색3 4" xfId="30134" hidden="1"/>
    <cellStyle name="강조색3 4" xfId="30176" hidden="1"/>
    <cellStyle name="강조색3 4" xfId="30218" hidden="1"/>
    <cellStyle name="강조색3 4" xfId="30260" hidden="1"/>
    <cellStyle name="강조색3 4" xfId="30302" hidden="1"/>
    <cellStyle name="강조색3 4" xfId="30344" hidden="1"/>
    <cellStyle name="강조색3 4" xfId="30386" hidden="1"/>
    <cellStyle name="강조색3 4" xfId="30428" hidden="1"/>
    <cellStyle name="강조색3 4" xfId="30470" hidden="1"/>
    <cellStyle name="강조색3 4" xfId="30512" hidden="1"/>
    <cellStyle name="강조색3 4" xfId="30554" hidden="1"/>
    <cellStyle name="강조색3 4" xfId="30050" hidden="1"/>
    <cellStyle name="강조색3 4" xfId="30733" hidden="1"/>
    <cellStyle name="강조색3 4" xfId="30773" hidden="1"/>
    <cellStyle name="강조색3 4" xfId="30813" hidden="1"/>
    <cellStyle name="강조색3 4" xfId="30853" hidden="1"/>
    <cellStyle name="강조색3 4" xfId="30893" hidden="1"/>
    <cellStyle name="강조색3 4" xfId="30933" hidden="1"/>
    <cellStyle name="강조색3 4" xfId="30973" hidden="1"/>
    <cellStyle name="강조색3 4" xfId="31013" hidden="1"/>
    <cellStyle name="강조색3 4" xfId="31053" hidden="1"/>
    <cellStyle name="강조색3 4" xfId="31093" hidden="1"/>
    <cellStyle name="강조색3 4" xfId="31133" hidden="1"/>
    <cellStyle name="강조색3 4" xfId="31173" hidden="1"/>
    <cellStyle name="강조색3 4" xfId="30627" hidden="1"/>
    <cellStyle name="강조색3 4" xfId="30588" hidden="1"/>
    <cellStyle name="강조색3 4" xfId="31215" hidden="1"/>
    <cellStyle name="강조색3 4" xfId="31257" hidden="1"/>
    <cellStyle name="강조색3 4" xfId="31299" hidden="1"/>
    <cellStyle name="강조색3 4" xfId="31341" hidden="1"/>
    <cellStyle name="강조색3 4" xfId="31383" hidden="1"/>
    <cellStyle name="강조색3 4" xfId="31425" hidden="1"/>
    <cellStyle name="강조색3 4" xfId="31467" hidden="1"/>
    <cellStyle name="강조색3 4" xfId="31509" hidden="1"/>
    <cellStyle name="강조색3 4" xfId="31551" hidden="1"/>
    <cellStyle name="강조색3 4" xfId="31593" hidden="1"/>
    <cellStyle name="강조색3 4" xfId="30680" hidden="1"/>
    <cellStyle name="강조색3 4" xfId="31621" hidden="1"/>
    <cellStyle name="강조색3 4" xfId="31661" hidden="1"/>
    <cellStyle name="강조색3 4" xfId="31701" hidden="1"/>
    <cellStyle name="강조색3 4" xfId="31741" hidden="1"/>
    <cellStyle name="강조색3 4" xfId="31781" hidden="1"/>
    <cellStyle name="강조색3 4" xfId="31821" hidden="1"/>
    <cellStyle name="강조색3 4" xfId="31861" hidden="1"/>
    <cellStyle name="강조색3 4" xfId="31901" hidden="1"/>
    <cellStyle name="강조색3 4" xfId="31941" hidden="1"/>
    <cellStyle name="강조색3 4" xfId="31981" hidden="1"/>
    <cellStyle name="강조색3 4" xfId="32021" hidden="1"/>
    <cellStyle name="강조색3 4" xfId="32061" hidden="1"/>
    <cellStyle name="강조색3 4" xfId="32123" hidden="1"/>
    <cellStyle name="강조색3 4" xfId="32163" hidden="1"/>
    <cellStyle name="강조색3 4" xfId="32203" hidden="1"/>
    <cellStyle name="강조색3 4" xfId="32243" hidden="1"/>
    <cellStyle name="강조색3 4" xfId="32283" hidden="1"/>
    <cellStyle name="강조색3 4" xfId="32323" hidden="1"/>
    <cellStyle name="강조색3 4" xfId="32363" hidden="1"/>
    <cellStyle name="강조색3 4" xfId="32403" hidden="1"/>
    <cellStyle name="강조색3 4" xfId="32443" hidden="1"/>
    <cellStyle name="강조색3 4" xfId="32483" hidden="1"/>
    <cellStyle name="강조색3 4" xfId="32523" hidden="1"/>
    <cellStyle name="강조색3 4" xfId="32563" hidden="1"/>
    <cellStyle name="강조색3 4" xfId="32648" hidden="1"/>
    <cellStyle name="강조색3 4" xfId="32689" hidden="1"/>
    <cellStyle name="강조색3 4" xfId="32731" hidden="1"/>
    <cellStyle name="강조색3 4" xfId="32773" hidden="1"/>
    <cellStyle name="강조색3 4" xfId="32815" hidden="1"/>
    <cellStyle name="강조색3 4" xfId="32857" hidden="1"/>
    <cellStyle name="강조색3 4" xfId="32899" hidden="1"/>
    <cellStyle name="강조색3 4" xfId="32941" hidden="1"/>
    <cellStyle name="강조색3 4" xfId="32983" hidden="1"/>
    <cellStyle name="강조색3 4" xfId="33025" hidden="1"/>
    <cellStyle name="강조색3 4" xfId="33067" hidden="1"/>
    <cellStyle name="강조색3 4" xfId="33109" hidden="1"/>
    <cellStyle name="강조색3 4" xfId="32605" hidden="1"/>
    <cellStyle name="강조색3 4" xfId="33288" hidden="1"/>
    <cellStyle name="강조색3 4" xfId="33328" hidden="1"/>
    <cellStyle name="강조색3 4" xfId="33368" hidden="1"/>
    <cellStyle name="강조색3 4" xfId="33408" hidden="1"/>
    <cellStyle name="강조색3 4" xfId="33448" hidden="1"/>
    <cellStyle name="강조색3 4" xfId="33488" hidden="1"/>
    <cellStyle name="강조색3 4" xfId="33528" hidden="1"/>
    <cellStyle name="강조색3 4" xfId="33568" hidden="1"/>
    <cellStyle name="강조색3 4" xfId="33608" hidden="1"/>
    <cellStyle name="강조색3 4" xfId="33648" hidden="1"/>
    <cellStyle name="강조색3 4" xfId="33688" hidden="1"/>
    <cellStyle name="강조색3 4" xfId="33728" hidden="1"/>
    <cellStyle name="강조색3 4" xfId="33182" hidden="1"/>
    <cellStyle name="강조색3 4" xfId="33143" hidden="1"/>
    <cellStyle name="강조색3 4" xfId="33770" hidden="1"/>
    <cellStyle name="강조색3 4" xfId="33812" hidden="1"/>
    <cellStyle name="강조색3 4" xfId="33854" hidden="1"/>
    <cellStyle name="강조색3 4" xfId="33896" hidden="1"/>
    <cellStyle name="강조색3 4" xfId="33938" hidden="1"/>
    <cellStyle name="강조색3 4" xfId="33980" hidden="1"/>
    <cellStyle name="강조색3 4" xfId="34022" hidden="1"/>
    <cellStyle name="강조색3 4" xfId="34064" hidden="1"/>
    <cellStyle name="강조색3 4" xfId="34106" hidden="1"/>
    <cellStyle name="강조색3 4" xfId="34148" hidden="1"/>
    <cellStyle name="강조색3 4" xfId="33235" hidden="1"/>
    <cellStyle name="강조색3 4" xfId="34176" hidden="1"/>
    <cellStyle name="강조색3 4" xfId="34216" hidden="1"/>
    <cellStyle name="강조색3 4" xfId="34256" hidden="1"/>
    <cellStyle name="강조색3 4" xfId="34296" hidden="1"/>
    <cellStyle name="강조색3 4" xfId="34336" hidden="1"/>
    <cellStyle name="강조색3 4" xfId="34376" hidden="1"/>
    <cellStyle name="강조색3 4" xfId="34416" hidden="1"/>
    <cellStyle name="강조색3 4" xfId="34456" hidden="1"/>
    <cellStyle name="강조색3 4" xfId="34496" hidden="1"/>
    <cellStyle name="강조색3 4" xfId="34536" hidden="1"/>
    <cellStyle name="강조색3 4" xfId="34576" hidden="1"/>
    <cellStyle name="강조색3 4" xfId="34616" hidden="1"/>
    <cellStyle name="강조색3 4" xfId="34713" hidden="1"/>
    <cellStyle name="강조색3 4" xfId="34753" hidden="1"/>
    <cellStyle name="강조색3 4" xfId="34793" hidden="1"/>
    <cellStyle name="강조색3 4" xfId="34833" hidden="1"/>
    <cellStyle name="강조색3 4" xfId="34873" hidden="1"/>
    <cellStyle name="강조색3 4" xfId="34913" hidden="1"/>
    <cellStyle name="강조색3 4" xfId="34953" hidden="1"/>
    <cellStyle name="강조색3 4" xfId="34993" hidden="1"/>
    <cellStyle name="강조색3 4" xfId="35033" hidden="1"/>
    <cellStyle name="강조색3 4" xfId="35073" hidden="1"/>
    <cellStyle name="강조색3 4" xfId="35113" hidden="1"/>
    <cellStyle name="강조색3 4" xfId="35153" hidden="1"/>
    <cellStyle name="강조색3 4" xfId="35237" hidden="1"/>
    <cellStyle name="강조색3 4" xfId="35278" hidden="1"/>
    <cellStyle name="강조색3 4" xfId="35320" hidden="1"/>
    <cellStyle name="강조색3 4" xfId="35362" hidden="1"/>
    <cellStyle name="강조색3 4" xfId="35404" hidden="1"/>
    <cellStyle name="강조색3 4" xfId="35446" hidden="1"/>
    <cellStyle name="강조색3 4" xfId="35488" hidden="1"/>
    <cellStyle name="강조색3 4" xfId="35530" hidden="1"/>
    <cellStyle name="강조색3 4" xfId="35572" hidden="1"/>
    <cellStyle name="강조색3 4" xfId="35614" hidden="1"/>
    <cellStyle name="강조색3 4" xfId="35656" hidden="1"/>
    <cellStyle name="강조색3 4" xfId="35698" hidden="1"/>
    <cellStyle name="강조색3 4" xfId="35194" hidden="1"/>
    <cellStyle name="강조색3 4" xfId="35877" hidden="1"/>
    <cellStyle name="강조색3 4" xfId="35917" hidden="1"/>
    <cellStyle name="강조색3 4" xfId="35957" hidden="1"/>
    <cellStyle name="강조색3 4" xfId="35997" hidden="1"/>
    <cellStyle name="강조색3 4" xfId="36037" hidden="1"/>
    <cellStyle name="강조색3 4" xfId="36077" hidden="1"/>
    <cellStyle name="강조색3 4" xfId="36117" hidden="1"/>
    <cellStyle name="강조색3 4" xfId="36157" hidden="1"/>
    <cellStyle name="강조색3 4" xfId="36197" hidden="1"/>
    <cellStyle name="강조색3 4" xfId="36237" hidden="1"/>
    <cellStyle name="강조색3 4" xfId="36277" hidden="1"/>
    <cellStyle name="강조색3 4" xfId="36317" hidden="1"/>
    <cellStyle name="강조색3 4" xfId="35771" hidden="1"/>
    <cellStyle name="강조색3 4" xfId="35732" hidden="1"/>
    <cellStyle name="강조색3 4" xfId="36359" hidden="1"/>
    <cellStyle name="강조색3 4" xfId="36401" hidden="1"/>
    <cellStyle name="강조색3 4" xfId="36443" hidden="1"/>
    <cellStyle name="강조색3 4" xfId="36485" hidden="1"/>
    <cellStyle name="강조색3 4" xfId="36527" hidden="1"/>
    <cellStyle name="강조색3 4" xfId="36569" hidden="1"/>
    <cellStyle name="강조색3 4" xfId="36611" hidden="1"/>
    <cellStyle name="강조색3 4" xfId="36653" hidden="1"/>
    <cellStyle name="강조색3 4" xfId="36695" hidden="1"/>
    <cellStyle name="강조색3 4" xfId="36737" hidden="1"/>
    <cellStyle name="강조색3 4" xfId="35824" hidden="1"/>
    <cellStyle name="강조색3 4" xfId="36765" hidden="1"/>
    <cellStyle name="강조색3 4" xfId="36805" hidden="1"/>
    <cellStyle name="강조색3 4" xfId="36845" hidden="1"/>
    <cellStyle name="강조색3 4" xfId="36885" hidden="1"/>
    <cellStyle name="강조색3 4" xfId="36925" hidden="1"/>
    <cellStyle name="강조색3 4" xfId="36965" hidden="1"/>
    <cellStyle name="강조색3 4" xfId="37005" hidden="1"/>
    <cellStyle name="강조색3 4" xfId="37045" hidden="1"/>
    <cellStyle name="강조색3 4" xfId="37085" hidden="1"/>
    <cellStyle name="강조색3 4" xfId="37125" hidden="1"/>
    <cellStyle name="강조색3 4" xfId="37165" hidden="1"/>
    <cellStyle name="강조색3 4" xfId="37205" hidden="1"/>
    <cellStyle name="강조색3 4" xfId="34634" hidden="1"/>
    <cellStyle name="강조색3 4" xfId="37256" hidden="1"/>
    <cellStyle name="강조색3 4" xfId="37297" hidden="1"/>
    <cellStyle name="강조색3 4" xfId="37337" hidden="1"/>
    <cellStyle name="강조색3 4" xfId="37377" hidden="1"/>
    <cellStyle name="강조색3 4" xfId="37417" hidden="1"/>
    <cellStyle name="강조색3 4" xfId="37457" hidden="1"/>
    <cellStyle name="강조색3 4" xfId="37497" hidden="1"/>
    <cellStyle name="강조색3 4" xfId="37537" hidden="1"/>
    <cellStyle name="강조색3 4" xfId="37577" hidden="1"/>
    <cellStyle name="강조색3 4" xfId="37617" hidden="1"/>
    <cellStyle name="강조색3 4" xfId="37657" hidden="1"/>
    <cellStyle name="강조색3 4" xfId="37741" hidden="1"/>
    <cellStyle name="강조색3 4" xfId="37782" hidden="1"/>
    <cellStyle name="강조색3 4" xfId="37824" hidden="1"/>
    <cellStyle name="강조색3 4" xfId="37866" hidden="1"/>
    <cellStyle name="강조색3 4" xfId="37908" hidden="1"/>
    <cellStyle name="강조색3 4" xfId="37950" hidden="1"/>
    <cellStyle name="강조색3 4" xfId="37992" hidden="1"/>
    <cellStyle name="강조색3 4" xfId="38034" hidden="1"/>
    <cellStyle name="강조색3 4" xfId="38076" hidden="1"/>
    <cellStyle name="강조색3 4" xfId="38118" hidden="1"/>
    <cellStyle name="강조색3 4" xfId="38160" hidden="1"/>
    <cellStyle name="강조색3 4" xfId="38202" hidden="1"/>
    <cellStyle name="강조색3 4" xfId="37698" hidden="1"/>
    <cellStyle name="강조색3 4" xfId="38381" hidden="1"/>
    <cellStyle name="강조색3 4" xfId="38421" hidden="1"/>
    <cellStyle name="강조색3 4" xfId="38461" hidden="1"/>
    <cellStyle name="강조색3 4" xfId="38501" hidden="1"/>
    <cellStyle name="강조색3 4" xfId="38541" hidden="1"/>
    <cellStyle name="강조색3 4" xfId="38581" hidden="1"/>
    <cellStyle name="강조색3 4" xfId="38621" hidden="1"/>
    <cellStyle name="강조색3 4" xfId="38661" hidden="1"/>
    <cellStyle name="강조색3 4" xfId="38701" hidden="1"/>
    <cellStyle name="강조색3 4" xfId="38741" hidden="1"/>
    <cellStyle name="강조색3 4" xfId="38781" hidden="1"/>
    <cellStyle name="강조색3 4" xfId="38821" hidden="1"/>
    <cellStyle name="강조색3 4" xfId="38275" hidden="1"/>
    <cellStyle name="강조색3 4" xfId="38236" hidden="1"/>
    <cellStyle name="강조색3 4" xfId="38863" hidden="1"/>
    <cellStyle name="강조색3 4" xfId="38905" hidden="1"/>
    <cellStyle name="강조색3 4" xfId="38947" hidden="1"/>
    <cellStyle name="강조색3 4" xfId="38989" hidden="1"/>
    <cellStyle name="강조색3 4" xfId="39031" hidden="1"/>
    <cellStyle name="강조색3 4" xfId="39073" hidden="1"/>
    <cellStyle name="강조색3 4" xfId="39115" hidden="1"/>
    <cellStyle name="강조색3 4" xfId="39157" hidden="1"/>
    <cellStyle name="강조색3 4" xfId="39199" hidden="1"/>
    <cellStyle name="강조색3 4" xfId="39241" hidden="1"/>
    <cellStyle name="강조색3 4" xfId="38328" hidden="1"/>
    <cellStyle name="강조색3 4" xfId="39269" hidden="1"/>
    <cellStyle name="강조색3 4" xfId="39309" hidden="1"/>
    <cellStyle name="강조색3 4" xfId="39349" hidden="1"/>
    <cellStyle name="강조색3 4" xfId="39389" hidden="1"/>
    <cellStyle name="강조색3 4" xfId="39429" hidden="1"/>
    <cellStyle name="강조색3 4" xfId="39469" hidden="1"/>
    <cellStyle name="강조색3 4" xfId="39509" hidden="1"/>
    <cellStyle name="강조색3 4" xfId="39549" hidden="1"/>
    <cellStyle name="강조색3 4" xfId="39589" hidden="1"/>
    <cellStyle name="강조색3 4" xfId="39629" hidden="1"/>
    <cellStyle name="강조색3 4" xfId="39669" hidden="1"/>
    <cellStyle name="강조색3 4" xfId="39709" hidden="1"/>
    <cellStyle name="강조색3 4" xfId="34682" hidden="1"/>
    <cellStyle name="강조색3 4" xfId="39759" hidden="1"/>
    <cellStyle name="강조색3 4" xfId="39799" hidden="1"/>
    <cellStyle name="강조색3 4" xfId="39839" hidden="1"/>
    <cellStyle name="강조색3 4" xfId="39879" hidden="1"/>
    <cellStyle name="강조색3 4" xfId="39919" hidden="1"/>
    <cellStyle name="강조색3 4" xfId="39959" hidden="1"/>
    <cellStyle name="강조색3 4" xfId="39999" hidden="1"/>
    <cellStyle name="강조색3 4" xfId="40039" hidden="1"/>
    <cellStyle name="강조색3 4" xfId="40079" hidden="1"/>
    <cellStyle name="강조색3 4" xfId="40119" hidden="1"/>
    <cellStyle name="강조색3 4" xfId="40159" hidden="1"/>
    <cellStyle name="강조색3 4" xfId="40243" hidden="1"/>
    <cellStyle name="강조색3 4" xfId="40284" hidden="1"/>
    <cellStyle name="강조색3 4" xfId="40326" hidden="1"/>
    <cellStyle name="강조색3 4" xfId="40368" hidden="1"/>
    <cellStyle name="강조색3 4" xfId="40410" hidden="1"/>
    <cellStyle name="강조색3 4" xfId="40452" hidden="1"/>
    <cellStyle name="강조색3 4" xfId="40494" hidden="1"/>
    <cellStyle name="강조색3 4" xfId="40536" hidden="1"/>
    <cellStyle name="강조색3 4" xfId="40578" hidden="1"/>
    <cellStyle name="강조색3 4" xfId="40620" hidden="1"/>
    <cellStyle name="강조색3 4" xfId="40662" hidden="1"/>
    <cellStyle name="강조색3 4" xfId="40704" hidden="1"/>
    <cellStyle name="강조색3 4" xfId="40200" hidden="1"/>
    <cellStyle name="강조색3 4" xfId="40883" hidden="1"/>
    <cellStyle name="강조색3 4" xfId="40923" hidden="1"/>
    <cellStyle name="강조색3 4" xfId="40963" hidden="1"/>
    <cellStyle name="강조색3 4" xfId="41003" hidden="1"/>
    <cellStyle name="강조색3 4" xfId="41043" hidden="1"/>
    <cellStyle name="강조색3 4" xfId="41083" hidden="1"/>
    <cellStyle name="강조색3 4" xfId="41123" hidden="1"/>
    <cellStyle name="강조색3 4" xfId="41163" hidden="1"/>
    <cellStyle name="강조색3 4" xfId="41203" hidden="1"/>
    <cellStyle name="강조색3 4" xfId="41243" hidden="1"/>
    <cellStyle name="강조색3 4" xfId="41283" hidden="1"/>
    <cellStyle name="강조색3 4" xfId="41323" hidden="1"/>
    <cellStyle name="강조색3 4" xfId="40777" hidden="1"/>
    <cellStyle name="강조색3 4" xfId="40738" hidden="1"/>
    <cellStyle name="강조색3 4" xfId="41365" hidden="1"/>
    <cellStyle name="강조색3 4" xfId="41407" hidden="1"/>
    <cellStyle name="강조색3 4" xfId="41449" hidden="1"/>
    <cellStyle name="강조색3 4" xfId="41491" hidden="1"/>
    <cellStyle name="강조색3 4" xfId="41533" hidden="1"/>
    <cellStyle name="강조색3 4" xfId="41575" hidden="1"/>
    <cellStyle name="강조색3 4" xfId="41617" hidden="1"/>
    <cellStyle name="강조색3 4" xfId="41659" hidden="1"/>
    <cellStyle name="강조색3 4" xfId="41701" hidden="1"/>
    <cellStyle name="강조색3 4" xfId="41743" hidden="1"/>
    <cellStyle name="강조색3 4" xfId="40830" hidden="1"/>
    <cellStyle name="강조색3 4" xfId="41771" hidden="1"/>
    <cellStyle name="강조색3 4" xfId="41811" hidden="1"/>
    <cellStyle name="강조색3 4" xfId="41851" hidden="1"/>
    <cellStyle name="강조색3 4" xfId="41891" hidden="1"/>
    <cellStyle name="강조색3 4" xfId="41931" hidden="1"/>
    <cellStyle name="강조색3 4" xfId="41971" hidden="1"/>
    <cellStyle name="강조색3 4" xfId="42011" hidden="1"/>
    <cellStyle name="강조색3 4" xfId="42051" hidden="1"/>
    <cellStyle name="강조색3 4" xfId="42091" hidden="1"/>
    <cellStyle name="강조색3 4" xfId="42131" hidden="1"/>
    <cellStyle name="강조색3 4" xfId="42171" hidden="1"/>
    <cellStyle name="강조색3 4" xfId="42211" hidden="1"/>
    <cellStyle name="강조색3 4" xfId="42254" hidden="1"/>
    <cellStyle name="강조색3 4" xfId="42294" hidden="1"/>
    <cellStyle name="강조색3 4" xfId="42334" hidden="1"/>
    <cellStyle name="강조색3 4" xfId="42374" hidden="1"/>
    <cellStyle name="강조색3 4" xfId="42414" hidden="1"/>
    <cellStyle name="강조색3 4" xfId="42454" hidden="1"/>
    <cellStyle name="강조색3 4" xfId="42494" hidden="1"/>
    <cellStyle name="강조색3 4" xfId="42534" hidden="1"/>
    <cellStyle name="강조색3 4" xfId="42574" hidden="1"/>
    <cellStyle name="강조색3 4" xfId="42614" hidden="1"/>
    <cellStyle name="강조색3 4" xfId="42654" hidden="1"/>
    <cellStyle name="강조색3 4" xfId="42694" hidden="1"/>
    <cellStyle name="강조색3 4" xfId="42778" hidden="1"/>
    <cellStyle name="강조색3 4" xfId="42819" hidden="1"/>
    <cellStyle name="강조색3 4" xfId="42861" hidden="1"/>
    <cellStyle name="강조색3 4" xfId="42903" hidden="1"/>
    <cellStyle name="강조색3 4" xfId="42945" hidden="1"/>
    <cellStyle name="강조색3 4" xfId="42987" hidden="1"/>
    <cellStyle name="강조색3 4" xfId="43029" hidden="1"/>
    <cellStyle name="강조색3 4" xfId="43071" hidden="1"/>
    <cellStyle name="강조색3 4" xfId="43113" hidden="1"/>
    <cellStyle name="강조색3 4" xfId="43155" hidden="1"/>
    <cellStyle name="강조색3 4" xfId="43197" hidden="1"/>
    <cellStyle name="강조색3 4" xfId="43239" hidden="1"/>
    <cellStyle name="강조색3 4" xfId="42735" hidden="1"/>
    <cellStyle name="강조색3 4" xfId="43418" hidden="1"/>
    <cellStyle name="강조색3 4" xfId="43458" hidden="1"/>
    <cellStyle name="강조색3 4" xfId="43498" hidden="1"/>
    <cellStyle name="강조색3 4" xfId="43538" hidden="1"/>
    <cellStyle name="강조색3 4" xfId="43578" hidden="1"/>
    <cellStyle name="강조색3 4" xfId="43618" hidden="1"/>
    <cellStyle name="강조색3 4" xfId="43658" hidden="1"/>
    <cellStyle name="강조색3 4" xfId="43698" hidden="1"/>
    <cellStyle name="강조색3 4" xfId="43738" hidden="1"/>
    <cellStyle name="강조색3 4" xfId="43778" hidden="1"/>
    <cellStyle name="강조색3 4" xfId="43818" hidden="1"/>
    <cellStyle name="강조색3 4" xfId="43858" hidden="1"/>
    <cellStyle name="강조색3 4" xfId="43312" hidden="1"/>
    <cellStyle name="강조색3 4" xfId="43273" hidden="1"/>
    <cellStyle name="강조색3 4" xfId="43900" hidden="1"/>
    <cellStyle name="강조색3 4" xfId="43942" hidden="1"/>
    <cellStyle name="강조색3 4" xfId="43984" hidden="1"/>
    <cellStyle name="강조색3 4" xfId="44026" hidden="1"/>
    <cellStyle name="강조색3 4" xfId="44068" hidden="1"/>
    <cellStyle name="강조색3 4" xfId="44110" hidden="1"/>
    <cellStyle name="강조색3 4" xfId="44152" hidden="1"/>
    <cellStyle name="강조색3 4" xfId="44194" hidden="1"/>
    <cellStyle name="강조색3 4" xfId="44236" hidden="1"/>
    <cellStyle name="강조색3 4" xfId="44278" hidden="1"/>
    <cellStyle name="강조색3 4" xfId="43365" hidden="1"/>
    <cellStyle name="강조색3 4" xfId="44306" hidden="1"/>
    <cellStyle name="강조색3 4" xfId="44346" hidden="1"/>
    <cellStyle name="강조색3 4" xfId="44386" hidden="1"/>
    <cellStyle name="강조색3 4" xfId="44426" hidden="1"/>
    <cellStyle name="강조색3 4" xfId="44466" hidden="1"/>
    <cellStyle name="강조색3 4" xfId="44506" hidden="1"/>
    <cellStyle name="강조색3 4" xfId="44546" hidden="1"/>
    <cellStyle name="강조색3 4" xfId="44586" hidden="1"/>
    <cellStyle name="강조색3 4" xfId="44626" hidden="1"/>
    <cellStyle name="강조색3 4" xfId="44666" hidden="1"/>
    <cellStyle name="강조색3 4" xfId="44706" hidden="1"/>
    <cellStyle name="강조색3 4" xfId="44746" hidden="1"/>
    <cellStyle name="강조색3 4" xfId="44842" hidden="1"/>
    <cellStyle name="강조색3 4" xfId="44882" hidden="1"/>
    <cellStyle name="강조색3 4" xfId="44924" hidden="1"/>
    <cellStyle name="강조색3 4" xfId="44965" hidden="1"/>
    <cellStyle name="강조색3 4" xfId="45005" hidden="1"/>
    <cellStyle name="강조색3 4" xfId="45045" hidden="1"/>
    <cellStyle name="강조색3 4" xfId="45085" hidden="1"/>
    <cellStyle name="강조색3 4" xfId="45125" hidden="1"/>
    <cellStyle name="강조색3 4" xfId="45165" hidden="1"/>
    <cellStyle name="강조색3 4" xfId="45205" hidden="1"/>
    <cellStyle name="강조색3 4" xfId="45245" hidden="1"/>
    <cellStyle name="강조색3 4" xfId="45285" hidden="1"/>
    <cellStyle name="강조색3 4" xfId="45369" hidden="1"/>
    <cellStyle name="강조색3 4" xfId="45410" hidden="1"/>
    <cellStyle name="강조색3 4" xfId="45452" hidden="1"/>
    <cellStyle name="강조색3 4" xfId="45494" hidden="1"/>
    <cellStyle name="강조색3 4" xfId="45536" hidden="1"/>
    <cellStyle name="강조색3 4" xfId="45578" hidden="1"/>
    <cellStyle name="강조색3 4" xfId="45620" hidden="1"/>
    <cellStyle name="강조색3 4" xfId="45662" hidden="1"/>
    <cellStyle name="강조색3 4" xfId="45704" hidden="1"/>
    <cellStyle name="강조색3 4" xfId="45746" hidden="1"/>
    <cellStyle name="강조색3 4" xfId="45788" hidden="1"/>
    <cellStyle name="강조색3 4" xfId="45830" hidden="1"/>
    <cellStyle name="강조색3 4" xfId="45326" hidden="1"/>
    <cellStyle name="강조색3 4" xfId="46009" hidden="1"/>
    <cellStyle name="강조색3 4" xfId="46049" hidden="1"/>
    <cellStyle name="강조색3 4" xfId="46089" hidden="1"/>
    <cellStyle name="강조색3 4" xfId="46129" hidden="1"/>
    <cellStyle name="강조색3 4" xfId="46169" hidden="1"/>
    <cellStyle name="강조색3 4" xfId="46209" hidden="1"/>
    <cellStyle name="강조색3 4" xfId="46249" hidden="1"/>
    <cellStyle name="강조색3 4" xfId="46289" hidden="1"/>
    <cellStyle name="강조색3 4" xfId="46329" hidden="1"/>
    <cellStyle name="강조색3 4" xfId="46369" hidden="1"/>
    <cellStyle name="강조색3 4" xfId="46409" hidden="1"/>
    <cellStyle name="강조색3 4" xfId="46449" hidden="1"/>
    <cellStyle name="강조색3 4" xfId="45903" hidden="1"/>
    <cellStyle name="강조색3 4" xfId="45864" hidden="1"/>
    <cellStyle name="강조색3 4" xfId="46491" hidden="1"/>
    <cellStyle name="강조색3 4" xfId="46533" hidden="1"/>
    <cellStyle name="강조색3 4" xfId="46575" hidden="1"/>
    <cellStyle name="강조색3 4" xfId="46617" hidden="1"/>
    <cellStyle name="강조색3 4" xfId="46659" hidden="1"/>
    <cellStyle name="강조색3 4" xfId="46701" hidden="1"/>
    <cellStyle name="강조색3 4" xfId="46743" hidden="1"/>
    <cellStyle name="강조색3 4" xfId="46785" hidden="1"/>
    <cellStyle name="강조색3 4" xfId="46827" hidden="1"/>
    <cellStyle name="강조색3 4" xfId="46869" hidden="1"/>
    <cellStyle name="강조색3 4" xfId="45956" hidden="1"/>
    <cellStyle name="강조색3 4" xfId="46897" hidden="1"/>
    <cellStyle name="강조색3 4" xfId="46937" hidden="1"/>
    <cellStyle name="강조색3 4" xfId="46977" hidden="1"/>
    <cellStyle name="강조색3 4" xfId="47017" hidden="1"/>
    <cellStyle name="강조색3 4" xfId="47057" hidden="1"/>
    <cellStyle name="강조색3 4" xfId="47097" hidden="1"/>
    <cellStyle name="강조색3 4" xfId="47137" hidden="1"/>
    <cellStyle name="강조색3 4" xfId="47177" hidden="1"/>
    <cellStyle name="강조색3 4" xfId="47217" hidden="1"/>
    <cellStyle name="강조색3 4" xfId="47257" hidden="1"/>
    <cellStyle name="강조색3 4" xfId="47297" hidden="1"/>
    <cellStyle name="강조색3 4" xfId="47337" hidden="1"/>
    <cellStyle name="강조색3 4" xfId="44764" hidden="1"/>
    <cellStyle name="강조색3 4" xfId="47388" hidden="1"/>
    <cellStyle name="강조색3 4" xfId="47428" hidden="1"/>
    <cellStyle name="강조색3 4" xfId="47468" hidden="1"/>
    <cellStyle name="강조색3 4" xfId="47508" hidden="1"/>
    <cellStyle name="강조색3 4" xfId="47548" hidden="1"/>
    <cellStyle name="강조색3 4" xfId="47588" hidden="1"/>
    <cellStyle name="강조색3 4" xfId="47628" hidden="1"/>
    <cellStyle name="강조색3 4" xfId="47668" hidden="1"/>
    <cellStyle name="강조색3 4" xfId="47708" hidden="1"/>
    <cellStyle name="강조색3 4" xfId="47748" hidden="1"/>
    <cellStyle name="강조색3 4" xfId="47788" hidden="1"/>
    <cellStyle name="강조색3 4" xfId="47872" hidden="1"/>
    <cellStyle name="강조색3 4" xfId="47913" hidden="1"/>
    <cellStyle name="강조색3 4" xfId="47955" hidden="1"/>
    <cellStyle name="강조색3 4" xfId="47997" hidden="1"/>
    <cellStyle name="강조색3 4" xfId="48039" hidden="1"/>
    <cellStyle name="강조색3 4" xfId="48081" hidden="1"/>
    <cellStyle name="강조색3 4" xfId="48123" hidden="1"/>
    <cellStyle name="강조색3 4" xfId="48165" hidden="1"/>
    <cellStyle name="강조색3 4" xfId="48207" hidden="1"/>
    <cellStyle name="강조색3 4" xfId="48249" hidden="1"/>
    <cellStyle name="강조색3 4" xfId="48291" hidden="1"/>
    <cellStyle name="강조색3 4" xfId="48333" hidden="1"/>
    <cellStyle name="강조색3 4" xfId="47829" hidden="1"/>
    <cellStyle name="강조색3 4" xfId="48512" hidden="1"/>
    <cellStyle name="강조색3 4" xfId="48552" hidden="1"/>
    <cellStyle name="강조색3 4" xfId="48592" hidden="1"/>
    <cellStyle name="강조색3 4" xfId="48632" hidden="1"/>
    <cellStyle name="강조색3 4" xfId="48672" hidden="1"/>
    <cellStyle name="강조색3 4" xfId="48712" hidden="1"/>
    <cellStyle name="강조색3 4" xfId="48752" hidden="1"/>
    <cellStyle name="강조색3 4" xfId="48792" hidden="1"/>
    <cellStyle name="강조색3 4" xfId="48832" hidden="1"/>
    <cellStyle name="강조색3 4" xfId="48872" hidden="1"/>
    <cellStyle name="강조색3 4" xfId="48912" hidden="1"/>
    <cellStyle name="강조색3 4" xfId="48952" hidden="1"/>
    <cellStyle name="강조색3 4" xfId="48406" hidden="1"/>
    <cellStyle name="강조색3 4" xfId="48367" hidden="1"/>
    <cellStyle name="강조색3 4" xfId="48994" hidden="1"/>
    <cellStyle name="강조색3 4" xfId="49036" hidden="1"/>
    <cellStyle name="강조색3 4" xfId="49078" hidden="1"/>
    <cellStyle name="강조색3 4" xfId="49120" hidden="1"/>
    <cellStyle name="강조색3 4" xfId="49162" hidden="1"/>
    <cellStyle name="강조색3 4" xfId="49204" hidden="1"/>
    <cellStyle name="강조색3 4" xfId="49246" hidden="1"/>
    <cellStyle name="강조색3 4" xfId="49288" hidden="1"/>
    <cellStyle name="강조색3 4" xfId="49330" hidden="1"/>
    <cellStyle name="강조색3 4" xfId="49372" hidden="1"/>
    <cellStyle name="강조색3 4" xfId="48459" hidden="1"/>
    <cellStyle name="강조색3 4" xfId="49400" hidden="1"/>
    <cellStyle name="강조색3 4" xfId="49440" hidden="1"/>
    <cellStyle name="강조색3 4" xfId="49480" hidden="1"/>
    <cellStyle name="강조색3 4" xfId="49520" hidden="1"/>
    <cellStyle name="강조색3 4" xfId="49560" hidden="1"/>
    <cellStyle name="강조색3 4" xfId="49600" hidden="1"/>
    <cellStyle name="강조색3 4" xfId="49640" hidden="1"/>
    <cellStyle name="강조색3 4" xfId="49680" hidden="1"/>
    <cellStyle name="강조색3 4" xfId="49720" hidden="1"/>
    <cellStyle name="강조색3 4" xfId="49760" hidden="1"/>
    <cellStyle name="강조색3 4" xfId="49800" hidden="1"/>
    <cellStyle name="강조색3 4" xfId="49840" hidden="1"/>
    <cellStyle name="강조색3 4" xfId="44811" hidden="1"/>
    <cellStyle name="강조색3 4" xfId="49890" hidden="1"/>
    <cellStyle name="강조색3 4" xfId="49930" hidden="1"/>
    <cellStyle name="강조색3 4" xfId="49970" hidden="1"/>
    <cellStyle name="강조색3 4" xfId="50010" hidden="1"/>
    <cellStyle name="강조색3 4" xfId="50050" hidden="1"/>
    <cellStyle name="강조색3 4" xfId="50090" hidden="1"/>
    <cellStyle name="강조색3 4" xfId="50130" hidden="1"/>
    <cellStyle name="강조색3 4" xfId="50170" hidden="1"/>
    <cellStyle name="강조색3 4" xfId="50210" hidden="1"/>
    <cellStyle name="강조색3 4" xfId="50250" hidden="1"/>
    <cellStyle name="강조색3 4" xfId="50290" hidden="1"/>
    <cellStyle name="강조색3 4" xfId="50374" hidden="1"/>
    <cellStyle name="강조색3 4" xfId="50415" hidden="1"/>
    <cellStyle name="강조색3 4" xfId="50457" hidden="1"/>
    <cellStyle name="강조색3 4" xfId="50499" hidden="1"/>
    <cellStyle name="강조색3 4" xfId="50541" hidden="1"/>
    <cellStyle name="강조색3 4" xfId="50583" hidden="1"/>
    <cellStyle name="강조색3 4" xfId="50625" hidden="1"/>
    <cellStyle name="강조색3 4" xfId="50667" hidden="1"/>
    <cellStyle name="강조색3 4" xfId="50709" hidden="1"/>
    <cellStyle name="강조색3 4" xfId="50751" hidden="1"/>
    <cellStyle name="강조색3 4" xfId="50793" hidden="1"/>
    <cellStyle name="강조색3 4" xfId="50835" hidden="1"/>
    <cellStyle name="강조색3 4" xfId="50331" hidden="1"/>
    <cellStyle name="강조색3 4" xfId="51014" hidden="1"/>
    <cellStyle name="강조색3 4" xfId="51054" hidden="1"/>
    <cellStyle name="강조색3 4" xfId="51094" hidden="1"/>
    <cellStyle name="강조색3 4" xfId="51134" hidden="1"/>
    <cellStyle name="강조색3 4" xfId="51174" hidden="1"/>
    <cellStyle name="강조색3 4" xfId="51214" hidden="1"/>
    <cellStyle name="강조색3 4" xfId="51254" hidden="1"/>
    <cellStyle name="강조색3 4" xfId="51294" hidden="1"/>
    <cellStyle name="강조색3 4" xfId="51334" hidden="1"/>
    <cellStyle name="강조색3 4" xfId="51374" hidden="1"/>
    <cellStyle name="강조색3 4" xfId="51414" hidden="1"/>
    <cellStyle name="강조색3 4" xfId="51454" hidden="1"/>
    <cellStyle name="강조색3 4" xfId="50908" hidden="1"/>
    <cellStyle name="강조색3 4" xfId="50869" hidden="1"/>
    <cellStyle name="강조색3 4" xfId="51496" hidden="1"/>
    <cellStyle name="강조색3 4" xfId="51538" hidden="1"/>
    <cellStyle name="강조색3 4" xfId="51580" hidden="1"/>
    <cellStyle name="강조색3 4" xfId="51622" hidden="1"/>
    <cellStyle name="강조색3 4" xfId="51664" hidden="1"/>
    <cellStyle name="강조색3 4" xfId="51706" hidden="1"/>
    <cellStyle name="강조색3 4" xfId="51748" hidden="1"/>
    <cellStyle name="강조색3 4" xfId="51790" hidden="1"/>
    <cellStyle name="강조색3 4" xfId="51832" hidden="1"/>
    <cellStyle name="강조색3 4" xfId="51874" hidden="1"/>
    <cellStyle name="강조색3 4" xfId="50961" hidden="1"/>
    <cellStyle name="강조색3 4" xfId="51902" hidden="1"/>
    <cellStyle name="강조색3 4" xfId="51942" hidden="1"/>
    <cellStyle name="강조색3 4" xfId="51982" hidden="1"/>
    <cellStyle name="강조색3 4" xfId="52022" hidden="1"/>
    <cellStyle name="강조색3 4" xfId="52062" hidden="1"/>
    <cellStyle name="강조색3 4" xfId="52102" hidden="1"/>
    <cellStyle name="강조색3 4" xfId="52142" hidden="1"/>
    <cellStyle name="강조색3 4" xfId="52182" hidden="1"/>
    <cellStyle name="강조색3 4" xfId="52222" hidden="1"/>
    <cellStyle name="강조색3 4" xfId="52262" hidden="1"/>
    <cellStyle name="강조색3 4" xfId="52302" hidden="1"/>
    <cellStyle name="강조색3 4" xfId="52342" hidden="1"/>
    <cellStyle name="강조색3 4 2" xfId="4699"/>
    <cellStyle name="강조색3 4 3" xfId="4700"/>
    <cellStyle name="강조색3 4 4" xfId="4701"/>
    <cellStyle name="강조색3 4 5" xfId="4702"/>
    <cellStyle name="강조색3 40" xfId="4703"/>
    <cellStyle name="강조색3 41" xfId="4704"/>
    <cellStyle name="강조색3 42" xfId="4705"/>
    <cellStyle name="강조색3 43" xfId="4706"/>
    <cellStyle name="강조색3 44" xfId="4707"/>
    <cellStyle name="강조색3 45" xfId="4708"/>
    <cellStyle name="강조색3 46" xfId="4709"/>
    <cellStyle name="강조색3 47" xfId="4710"/>
    <cellStyle name="강조색3 48" xfId="4711"/>
    <cellStyle name="강조색3 49" xfId="4712"/>
    <cellStyle name="강조색3 5" xfId="4713"/>
    <cellStyle name="강조색3 50" xfId="4714"/>
    <cellStyle name="강조색3 51" xfId="4715"/>
    <cellStyle name="강조색3 52" xfId="4716"/>
    <cellStyle name="강조색3 6" xfId="4717"/>
    <cellStyle name="강조색3 7" xfId="4718"/>
    <cellStyle name="강조색3 8" xfId="4719"/>
    <cellStyle name="강조색3 9" xfId="4720"/>
    <cellStyle name="강조색4 10" xfId="4721"/>
    <cellStyle name="강조색4 11" xfId="4722"/>
    <cellStyle name="강조색4 12" xfId="4723"/>
    <cellStyle name="강조색4 13" xfId="4724"/>
    <cellStyle name="강조색4 14" xfId="4725"/>
    <cellStyle name="강조색4 15" xfId="4726"/>
    <cellStyle name="강조색4 16" xfId="4727"/>
    <cellStyle name="강조색4 17" xfId="4728"/>
    <cellStyle name="강조색4 18" xfId="4729"/>
    <cellStyle name="강조색4 19" xfId="4730"/>
    <cellStyle name="강조색4 2" xfId="352"/>
    <cellStyle name="강조색4 2 10" xfId="4731"/>
    <cellStyle name="강조색4 2 100" xfId="4732"/>
    <cellStyle name="강조색4 2 101" xfId="4733"/>
    <cellStyle name="강조색4 2 102" xfId="4734"/>
    <cellStyle name="강조색4 2 103" xfId="4735"/>
    <cellStyle name="강조색4 2 104" xfId="4736"/>
    <cellStyle name="강조색4 2 105" xfId="4737"/>
    <cellStyle name="강조색4 2 106" xfId="4738"/>
    <cellStyle name="강조색4 2 107" xfId="4739"/>
    <cellStyle name="강조색4 2 108" xfId="4740"/>
    <cellStyle name="강조색4 2 109" xfId="4741"/>
    <cellStyle name="강조색4 2 11" xfId="4742"/>
    <cellStyle name="강조색4 2 110" xfId="4743"/>
    <cellStyle name="강조색4 2 111" xfId="4744"/>
    <cellStyle name="강조색4 2 112" xfId="4745"/>
    <cellStyle name="강조색4 2 12" xfId="4746"/>
    <cellStyle name="강조색4 2 13" xfId="4747"/>
    <cellStyle name="강조색4 2 14" xfId="4748"/>
    <cellStyle name="강조색4 2 15" xfId="4749"/>
    <cellStyle name="강조색4 2 16" xfId="4750"/>
    <cellStyle name="강조색4 2 17" xfId="4751"/>
    <cellStyle name="강조색4 2 18" xfId="4752"/>
    <cellStyle name="강조색4 2 19" xfId="4753"/>
    <cellStyle name="강조색4 2 2" xfId="4754"/>
    <cellStyle name="강조색4 2 2 2" xfId="4755"/>
    <cellStyle name="강조색4 2 2 3" xfId="4756"/>
    <cellStyle name="강조색4 2 2 4" xfId="4757"/>
    <cellStyle name="강조색4 2 2 5" xfId="4758"/>
    <cellStyle name="강조색4 2 20" xfId="4759"/>
    <cellStyle name="강조색4 2 21" xfId="4760"/>
    <cellStyle name="강조색4 2 22" xfId="4761"/>
    <cellStyle name="강조색4 2 23" xfId="4762"/>
    <cellStyle name="강조색4 2 24" xfId="4763"/>
    <cellStyle name="강조색4 2 25" xfId="4764"/>
    <cellStyle name="강조색4 2 26" xfId="4765"/>
    <cellStyle name="강조색4 2 27" xfId="4766"/>
    <cellStyle name="강조색4 2 28" xfId="4767"/>
    <cellStyle name="강조색4 2 29" xfId="4768"/>
    <cellStyle name="강조색4 2 3" xfId="4769"/>
    <cellStyle name="강조색4 2 30" xfId="4770"/>
    <cellStyle name="강조색4 2 31" xfId="4771"/>
    <cellStyle name="강조색4 2 32" xfId="4772"/>
    <cellStyle name="강조색4 2 33" xfId="4773"/>
    <cellStyle name="강조색4 2 34" xfId="4774"/>
    <cellStyle name="강조색4 2 35" xfId="4775"/>
    <cellStyle name="강조색4 2 36" xfId="4776"/>
    <cellStyle name="강조색4 2 37" xfId="4777"/>
    <cellStyle name="강조색4 2 38" xfId="4778"/>
    <cellStyle name="강조색4 2 39" xfId="4779"/>
    <cellStyle name="강조색4 2 4" xfId="4780"/>
    <cellStyle name="강조색4 2 40" xfId="4781"/>
    <cellStyle name="강조색4 2 41" xfId="4782"/>
    <cellStyle name="강조색4 2 42" xfId="4783"/>
    <cellStyle name="강조색4 2 43" xfId="4784"/>
    <cellStyle name="강조색4 2 44" xfId="4785"/>
    <cellStyle name="강조색4 2 45" xfId="4786"/>
    <cellStyle name="강조색4 2 46" xfId="4787"/>
    <cellStyle name="강조색4 2 47" xfId="4788"/>
    <cellStyle name="강조색4 2 48" xfId="4789"/>
    <cellStyle name="강조색4 2 49" xfId="4790"/>
    <cellStyle name="강조색4 2 5" xfId="4791"/>
    <cellStyle name="강조색4 2 50" xfId="4792"/>
    <cellStyle name="강조색4 2 51" xfId="4793"/>
    <cellStyle name="강조색4 2 52" xfId="4794"/>
    <cellStyle name="강조색4 2 53" xfId="4795"/>
    <cellStyle name="강조색4 2 54" xfId="4796"/>
    <cellStyle name="강조색4 2 55" xfId="4797"/>
    <cellStyle name="강조색4 2 56" xfId="4798"/>
    <cellStyle name="강조색4 2 57" xfId="4799"/>
    <cellStyle name="강조색4 2 58" xfId="4800"/>
    <cellStyle name="강조색4 2 59" xfId="4801"/>
    <cellStyle name="강조색4 2 6" xfId="4802"/>
    <cellStyle name="강조색4 2 60" xfId="4803"/>
    <cellStyle name="강조색4 2 61" xfId="4804"/>
    <cellStyle name="강조색4 2 62" xfId="4805"/>
    <cellStyle name="강조색4 2 63" xfId="4806"/>
    <cellStyle name="강조색4 2 64" xfId="4807"/>
    <cellStyle name="강조색4 2 65" xfId="4808"/>
    <cellStyle name="강조색4 2 66" xfId="4809"/>
    <cellStyle name="강조색4 2 67" xfId="4810"/>
    <cellStyle name="강조색4 2 68" xfId="4811"/>
    <cellStyle name="강조색4 2 69" xfId="4812"/>
    <cellStyle name="강조색4 2 7" xfId="4813"/>
    <cellStyle name="강조색4 2 70" xfId="4814"/>
    <cellStyle name="강조색4 2 71" xfId="4815"/>
    <cellStyle name="강조색4 2 72" xfId="4816"/>
    <cellStyle name="강조색4 2 73" xfId="4817"/>
    <cellStyle name="강조색4 2 74" xfId="4818"/>
    <cellStyle name="강조색4 2 75" xfId="4819"/>
    <cellStyle name="강조색4 2 76" xfId="4820"/>
    <cellStyle name="강조색4 2 77" xfId="4821"/>
    <cellStyle name="강조색4 2 78" xfId="4822"/>
    <cellStyle name="강조색4 2 79" xfId="4823"/>
    <cellStyle name="강조색4 2 8" xfId="4824"/>
    <cellStyle name="강조색4 2 80" xfId="4825"/>
    <cellStyle name="강조색4 2 81" xfId="4826"/>
    <cellStyle name="강조색4 2 82" xfId="4827"/>
    <cellStyle name="강조색4 2 83" xfId="4828"/>
    <cellStyle name="강조색4 2 84" xfId="4829"/>
    <cellStyle name="강조색4 2 85" xfId="4830"/>
    <cellStyle name="강조색4 2 86" xfId="4831"/>
    <cellStyle name="강조색4 2 87" xfId="4832"/>
    <cellStyle name="강조색4 2 88" xfId="4833"/>
    <cellStyle name="강조색4 2 89" xfId="4834"/>
    <cellStyle name="강조색4 2 9" xfId="4835"/>
    <cellStyle name="강조색4 2 90" xfId="4836"/>
    <cellStyle name="강조색4 2 91" xfId="4837"/>
    <cellStyle name="강조색4 2 92" xfId="4838"/>
    <cellStyle name="강조색4 2 93" xfId="4839"/>
    <cellStyle name="강조색4 2 94" xfId="4840"/>
    <cellStyle name="강조색4 2 95" xfId="4841"/>
    <cellStyle name="강조색4 2 96" xfId="4842"/>
    <cellStyle name="강조색4 2 97" xfId="4843"/>
    <cellStyle name="강조색4 2 98" xfId="4844"/>
    <cellStyle name="강조색4 2 99" xfId="4845"/>
    <cellStyle name="강조색4 20" xfId="4846"/>
    <cellStyle name="강조색4 21" xfId="4847"/>
    <cellStyle name="강조색4 22" xfId="4848"/>
    <cellStyle name="강조색4 23" xfId="4849"/>
    <cellStyle name="강조색4 24" xfId="4850"/>
    <cellStyle name="강조색4 25" xfId="4851"/>
    <cellStyle name="강조색4 26" xfId="4852"/>
    <cellStyle name="강조색4 27" xfId="4853"/>
    <cellStyle name="강조색4 28" xfId="4854"/>
    <cellStyle name="강조색4 29" xfId="4855"/>
    <cellStyle name="강조색4 3" xfId="353"/>
    <cellStyle name="강조색4 30" xfId="4856"/>
    <cellStyle name="강조색4 31" xfId="4857"/>
    <cellStyle name="강조색4 32" xfId="4858"/>
    <cellStyle name="강조색4 33" xfId="4859"/>
    <cellStyle name="강조색4 34" xfId="4860"/>
    <cellStyle name="강조색4 35" xfId="4861"/>
    <cellStyle name="강조색4 36" xfId="4862"/>
    <cellStyle name="강조색4 37" xfId="4863"/>
    <cellStyle name="강조색4 38" xfId="4864"/>
    <cellStyle name="강조색4 39" xfId="4865"/>
    <cellStyle name="강조색4 4" xfId="11736" hidden="1"/>
    <cellStyle name="강조색4 4" xfId="11782" hidden="1"/>
    <cellStyle name="강조색4 4" xfId="11828" hidden="1"/>
    <cellStyle name="강조색4 4" xfId="11874" hidden="1"/>
    <cellStyle name="강조색4 4" xfId="11920" hidden="1"/>
    <cellStyle name="강조색4 4" xfId="11966" hidden="1"/>
    <cellStyle name="강조색4 4" xfId="12012" hidden="1"/>
    <cellStyle name="강조색4 4" xfId="12058" hidden="1"/>
    <cellStyle name="강조색4 4" xfId="12104" hidden="1"/>
    <cellStyle name="강조색4 4" xfId="12150" hidden="1"/>
    <cellStyle name="강조색4 4" xfId="12196" hidden="1"/>
    <cellStyle name="강조색4 4" xfId="12242" hidden="1"/>
    <cellStyle name="강조색4 4" xfId="12332" hidden="1"/>
    <cellStyle name="강조색4 4" xfId="12373" hidden="1"/>
    <cellStyle name="강조색4 4" xfId="12415" hidden="1"/>
    <cellStyle name="강조색4 4" xfId="12457" hidden="1"/>
    <cellStyle name="강조색4 4" xfId="12499" hidden="1"/>
    <cellStyle name="강조색4 4" xfId="12541" hidden="1"/>
    <cellStyle name="강조색4 4" xfId="12583" hidden="1"/>
    <cellStyle name="강조색4 4" xfId="12625" hidden="1"/>
    <cellStyle name="강조색4 4" xfId="12667" hidden="1"/>
    <cellStyle name="강조색4 4" xfId="12709" hidden="1"/>
    <cellStyle name="강조색4 4" xfId="12751" hidden="1"/>
    <cellStyle name="강조색4 4" xfId="12793" hidden="1"/>
    <cellStyle name="강조색4 4" xfId="12287" hidden="1"/>
    <cellStyle name="강조색4 4" xfId="12975" hidden="1"/>
    <cellStyle name="강조색4 4" xfId="13015" hidden="1"/>
    <cellStyle name="강조색4 4" xfId="13055" hidden="1"/>
    <cellStyle name="강조색4 4" xfId="13095" hidden="1"/>
    <cellStyle name="강조색4 4" xfId="13135" hidden="1"/>
    <cellStyle name="강조색4 4" xfId="13175" hidden="1"/>
    <cellStyle name="강조색4 4" xfId="13215" hidden="1"/>
    <cellStyle name="강조색4 4" xfId="13255" hidden="1"/>
    <cellStyle name="강조색4 4" xfId="13295" hidden="1"/>
    <cellStyle name="강조색4 4" xfId="13335" hidden="1"/>
    <cellStyle name="강조색4 4" xfId="13375" hidden="1"/>
    <cellStyle name="강조색4 4" xfId="13415" hidden="1"/>
    <cellStyle name="강조색4 4" xfId="12859" hidden="1"/>
    <cellStyle name="강조색4 4" xfId="12818" hidden="1"/>
    <cellStyle name="강조색4 4" xfId="13457" hidden="1"/>
    <cellStyle name="강조색4 4" xfId="13499" hidden="1"/>
    <cellStyle name="강조색4 4" xfId="13541" hidden="1"/>
    <cellStyle name="강조색4 4" xfId="13583" hidden="1"/>
    <cellStyle name="강조색4 4" xfId="13625" hidden="1"/>
    <cellStyle name="강조색4 4" xfId="13667" hidden="1"/>
    <cellStyle name="강조색4 4" xfId="13709" hidden="1"/>
    <cellStyle name="강조색4 4" xfId="13751" hidden="1"/>
    <cellStyle name="강조색4 4" xfId="13793" hidden="1"/>
    <cellStyle name="강조색4 4" xfId="13835" hidden="1"/>
    <cellStyle name="강조색4 4" xfId="12913" hidden="1"/>
    <cellStyle name="강조색4 4" xfId="13863" hidden="1"/>
    <cellStyle name="강조색4 4" xfId="13903" hidden="1"/>
    <cellStyle name="강조색4 4" xfId="13943" hidden="1"/>
    <cellStyle name="강조색4 4" xfId="13983" hidden="1"/>
    <cellStyle name="강조색4 4" xfId="14023" hidden="1"/>
    <cellStyle name="강조색4 4" xfId="14063" hidden="1"/>
    <cellStyle name="강조색4 4" xfId="14103" hidden="1"/>
    <cellStyle name="강조색4 4" xfId="14143" hidden="1"/>
    <cellStyle name="강조색4 4" xfId="14183" hidden="1"/>
    <cellStyle name="강조색4 4" xfId="14223" hidden="1"/>
    <cellStyle name="강조색4 4" xfId="14263" hidden="1"/>
    <cellStyle name="강조색4 4" xfId="14303" hidden="1"/>
    <cellStyle name="강조색4 4" xfId="14409" hidden="1"/>
    <cellStyle name="강조색4 4" xfId="14449" hidden="1"/>
    <cellStyle name="강조색4 4" xfId="14489" hidden="1"/>
    <cellStyle name="강조색4 4" xfId="14529" hidden="1"/>
    <cellStyle name="강조색4 4" xfId="14569" hidden="1"/>
    <cellStyle name="강조색4 4" xfId="14609" hidden="1"/>
    <cellStyle name="강조색4 4" xfId="14649" hidden="1"/>
    <cellStyle name="강조색4 4" xfId="14689" hidden="1"/>
    <cellStyle name="강조색4 4" xfId="14729" hidden="1"/>
    <cellStyle name="강조색4 4" xfId="14769" hidden="1"/>
    <cellStyle name="강조색4 4" xfId="14809" hidden="1"/>
    <cellStyle name="강조색4 4" xfId="14849" hidden="1"/>
    <cellStyle name="강조색4 4" xfId="14933" hidden="1"/>
    <cellStyle name="강조색4 4" xfId="14974" hidden="1"/>
    <cellStyle name="강조색4 4" xfId="15016" hidden="1"/>
    <cellStyle name="강조색4 4" xfId="15058" hidden="1"/>
    <cellStyle name="강조색4 4" xfId="15100" hidden="1"/>
    <cellStyle name="강조색4 4" xfId="15142" hidden="1"/>
    <cellStyle name="강조색4 4" xfId="15184" hidden="1"/>
    <cellStyle name="강조색4 4" xfId="15226" hidden="1"/>
    <cellStyle name="강조색4 4" xfId="15268" hidden="1"/>
    <cellStyle name="강조색4 4" xfId="15310" hidden="1"/>
    <cellStyle name="강조색4 4" xfId="15352" hidden="1"/>
    <cellStyle name="강조색4 4" xfId="15394" hidden="1"/>
    <cellStyle name="강조색4 4" xfId="14890" hidden="1"/>
    <cellStyle name="강조색4 4" xfId="15573" hidden="1"/>
    <cellStyle name="강조색4 4" xfId="15613" hidden="1"/>
    <cellStyle name="강조색4 4" xfId="15653" hidden="1"/>
    <cellStyle name="강조색4 4" xfId="15693" hidden="1"/>
    <cellStyle name="강조색4 4" xfId="15733" hidden="1"/>
    <cellStyle name="강조색4 4" xfId="15773" hidden="1"/>
    <cellStyle name="강조색4 4" xfId="15813" hidden="1"/>
    <cellStyle name="강조색4 4" xfId="15853" hidden="1"/>
    <cellStyle name="강조색4 4" xfId="15893" hidden="1"/>
    <cellStyle name="강조색4 4" xfId="15933" hidden="1"/>
    <cellStyle name="강조색4 4" xfId="15973" hidden="1"/>
    <cellStyle name="강조색4 4" xfId="16013" hidden="1"/>
    <cellStyle name="강조색4 4" xfId="15459" hidden="1"/>
    <cellStyle name="강조색4 4" xfId="15418" hidden="1"/>
    <cellStyle name="강조색4 4" xfId="16055" hidden="1"/>
    <cellStyle name="강조색4 4" xfId="16097" hidden="1"/>
    <cellStyle name="강조색4 4" xfId="16139" hidden="1"/>
    <cellStyle name="강조색4 4" xfId="16181" hidden="1"/>
    <cellStyle name="강조색4 4" xfId="16223" hidden="1"/>
    <cellStyle name="강조색4 4" xfId="16265" hidden="1"/>
    <cellStyle name="강조색4 4" xfId="16307" hidden="1"/>
    <cellStyle name="강조색4 4" xfId="16349" hidden="1"/>
    <cellStyle name="강조색4 4" xfId="16391" hidden="1"/>
    <cellStyle name="강조색4 4" xfId="16433" hidden="1"/>
    <cellStyle name="강조색4 4" xfId="15512" hidden="1"/>
    <cellStyle name="강조색4 4" xfId="16461" hidden="1"/>
    <cellStyle name="강조색4 4" xfId="16501" hidden="1"/>
    <cellStyle name="강조색4 4" xfId="16541" hidden="1"/>
    <cellStyle name="강조색4 4" xfId="16581" hidden="1"/>
    <cellStyle name="강조색4 4" xfId="16621" hidden="1"/>
    <cellStyle name="강조색4 4" xfId="16661" hidden="1"/>
    <cellStyle name="강조색4 4" xfId="16701" hidden="1"/>
    <cellStyle name="강조색4 4" xfId="16741" hidden="1"/>
    <cellStyle name="강조색4 4" xfId="16781" hidden="1"/>
    <cellStyle name="강조색4 4" xfId="16821" hidden="1"/>
    <cellStyle name="강조색4 4" xfId="16861" hidden="1"/>
    <cellStyle name="강조색4 4" xfId="16901" hidden="1"/>
    <cellStyle name="강조색4 4" xfId="407" hidden="1"/>
    <cellStyle name="강조색4 4" xfId="16952" hidden="1"/>
    <cellStyle name="강조색4 4" xfId="16993" hidden="1"/>
    <cellStyle name="강조색4 4" xfId="17033" hidden="1"/>
    <cellStyle name="강조색4 4" xfId="17073" hidden="1"/>
    <cellStyle name="강조색4 4" xfId="17113" hidden="1"/>
    <cellStyle name="강조색4 4" xfId="17153" hidden="1"/>
    <cellStyle name="강조색4 4" xfId="17193" hidden="1"/>
    <cellStyle name="강조색4 4" xfId="17233" hidden="1"/>
    <cellStyle name="강조색4 4" xfId="17273" hidden="1"/>
    <cellStyle name="강조색4 4" xfId="17313" hidden="1"/>
    <cellStyle name="강조색4 4" xfId="17353" hidden="1"/>
    <cellStyle name="강조색4 4" xfId="17437" hidden="1"/>
    <cellStyle name="강조색4 4" xfId="17478" hidden="1"/>
    <cellStyle name="강조색4 4" xfId="17520" hidden="1"/>
    <cellStyle name="강조색4 4" xfId="17562" hidden="1"/>
    <cellStyle name="강조색4 4" xfId="17604" hidden="1"/>
    <cellStyle name="강조색4 4" xfId="17646" hidden="1"/>
    <cellStyle name="강조색4 4" xfId="17688" hidden="1"/>
    <cellStyle name="강조색4 4" xfId="17730" hidden="1"/>
    <cellStyle name="강조색4 4" xfId="17772" hidden="1"/>
    <cellStyle name="강조색4 4" xfId="17814" hidden="1"/>
    <cellStyle name="강조색4 4" xfId="17856" hidden="1"/>
    <cellStyle name="강조색4 4" xfId="17898" hidden="1"/>
    <cellStyle name="강조색4 4" xfId="17394" hidden="1"/>
    <cellStyle name="강조색4 4" xfId="18077" hidden="1"/>
    <cellStyle name="강조색4 4" xfId="18117" hidden="1"/>
    <cellStyle name="강조색4 4" xfId="18157" hidden="1"/>
    <cellStyle name="강조색4 4" xfId="18197" hidden="1"/>
    <cellStyle name="강조색4 4" xfId="18237" hidden="1"/>
    <cellStyle name="강조색4 4" xfId="18277" hidden="1"/>
    <cellStyle name="강조색4 4" xfId="18317" hidden="1"/>
    <cellStyle name="강조색4 4" xfId="18357" hidden="1"/>
    <cellStyle name="강조색4 4" xfId="18397" hidden="1"/>
    <cellStyle name="강조색4 4" xfId="18437" hidden="1"/>
    <cellStyle name="강조색4 4" xfId="18477" hidden="1"/>
    <cellStyle name="강조색4 4" xfId="18517" hidden="1"/>
    <cellStyle name="강조색4 4" xfId="17963" hidden="1"/>
    <cellStyle name="강조색4 4" xfId="17922" hidden="1"/>
    <cellStyle name="강조색4 4" xfId="18559" hidden="1"/>
    <cellStyle name="강조색4 4" xfId="18601" hidden="1"/>
    <cellStyle name="강조색4 4" xfId="18643" hidden="1"/>
    <cellStyle name="강조색4 4" xfId="18685" hidden="1"/>
    <cellStyle name="강조색4 4" xfId="18727" hidden="1"/>
    <cellStyle name="강조색4 4" xfId="18769" hidden="1"/>
    <cellStyle name="강조색4 4" xfId="18811" hidden="1"/>
    <cellStyle name="강조색4 4" xfId="18853" hidden="1"/>
    <cellStyle name="강조색4 4" xfId="18895" hidden="1"/>
    <cellStyle name="강조색4 4" xfId="18937" hidden="1"/>
    <cellStyle name="강조색4 4" xfId="18016" hidden="1"/>
    <cellStyle name="강조색4 4" xfId="18965" hidden="1"/>
    <cellStyle name="강조색4 4" xfId="19005" hidden="1"/>
    <cellStyle name="강조색4 4" xfId="19045" hidden="1"/>
    <cellStyle name="강조색4 4" xfId="19085" hidden="1"/>
    <cellStyle name="강조색4 4" xfId="19125" hidden="1"/>
    <cellStyle name="강조색4 4" xfId="19165" hidden="1"/>
    <cellStyle name="강조색4 4" xfId="19205" hidden="1"/>
    <cellStyle name="강조색4 4" xfId="19245" hidden="1"/>
    <cellStyle name="강조색4 4" xfId="19285" hidden="1"/>
    <cellStyle name="강조색4 4" xfId="19325" hidden="1"/>
    <cellStyle name="강조색4 4" xfId="19365" hidden="1"/>
    <cellStyle name="강조색4 4" xfId="19405" hidden="1"/>
    <cellStyle name="강조색4 4" xfId="14366" hidden="1"/>
    <cellStyle name="강조색4 4" xfId="19455" hidden="1"/>
    <cellStyle name="강조색4 4" xfId="19495" hidden="1"/>
    <cellStyle name="강조색4 4" xfId="19535" hidden="1"/>
    <cellStyle name="강조색4 4" xfId="19575" hidden="1"/>
    <cellStyle name="강조색4 4" xfId="19615" hidden="1"/>
    <cellStyle name="강조색4 4" xfId="19655" hidden="1"/>
    <cellStyle name="강조색4 4" xfId="19695" hidden="1"/>
    <cellStyle name="강조색4 4" xfId="19735" hidden="1"/>
    <cellStyle name="강조색4 4" xfId="19775" hidden="1"/>
    <cellStyle name="강조색4 4" xfId="19815" hidden="1"/>
    <cellStyle name="강조색4 4" xfId="19855" hidden="1"/>
    <cellStyle name="강조색4 4" xfId="19939" hidden="1"/>
    <cellStyle name="강조색4 4" xfId="19980" hidden="1"/>
    <cellStyle name="강조색4 4" xfId="20022" hidden="1"/>
    <cellStyle name="강조색4 4" xfId="20064" hidden="1"/>
    <cellStyle name="강조색4 4" xfId="20106" hidden="1"/>
    <cellStyle name="강조색4 4" xfId="20148" hidden="1"/>
    <cellStyle name="강조색4 4" xfId="20190" hidden="1"/>
    <cellStyle name="강조색4 4" xfId="20232" hidden="1"/>
    <cellStyle name="강조색4 4" xfId="20274" hidden="1"/>
    <cellStyle name="강조색4 4" xfId="20316" hidden="1"/>
    <cellStyle name="강조색4 4" xfId="20358" hidden="1"/>
    <cellStyle name="강조색4 4" xfId="20400" hidden="1"/>
    <cellStyle name="강조색4 4" xfId="19896" hidden="1"/>
    <cellStyle name="강조색4 4" xfId="20579" hidden="1"/>
    <cellStyle name="강조색4 4" xfId="20619" hidden="1"/>
    <cellStyle name="강조색4 4" xfId="20659" hidden="1"/>
    <cellStyle name="강조색4 4" xfId="20699" hidden="1"/>
    <cellStyle name="강조색4 4" xfId="20739" hidden="1"/>
    <cellStyle name="강조색4 4" xfId="20779" hidden="1"/>
    <cellStyle name="강조색4 4" xfId="20819" hidden="1"/>
    <cellStyle name="강조색4 4" xfId="20859" hidden="1"/>
    <cellStyle name="강조색4 4" xfId="20899" hidden="1"/>
    <cellStyle name="강조색4 4" xfId="20939" hidden="1"/>
    <cellStyle name="강조색4 4" xfId="20979" hidden="1"/>
    <cellStyle name="강조색4 4" xfId="21019" hidden="1"/>
    <cellStyle name="강조색4 4" xfId="20465" hidden="1"/>
    <cellStyle name="강조색4 4" xfId="20424" hidden="1"/>
    <cellStyle name="강조색4 4" xfId="21061" hidden="1"/>
    <cellStyle name="강조색4 4" xfId="21103" hidden="1"/>
    <cellStyle name="강조색4 4" xfId="21145" hidden="1"/>
    <cellStyle name="강조색4 4" xfId="21187" hidden="1"/>
    <cellStyle name="강조색4 4" xfId="21229" hidden="1"/>
    <cellStyle name="강조색4 4" xfId="21271" hidden="1"/>
    <cellStyle name="강조색4 4" xfId="21313" hidden="1"/>
    <cellStyle name="강조색4 4" xfId="21355" hidden="1"/>
    <cellStyle name="강조색4 4" xfId="21397" hidden="1"/>
    <cellStyle name="강조색4 4" xfId="21439" hidden="1"/>
    <cellStyle name="강조색4 4" xfId="20518" hidden="1"/>
    <cellStyle name="강조색4 4" xfId="21467" hidden="1"/>
    <cellStyle name="강조색4 4" xfId="21507" hidden="1"/>
    <cellStyle name="강조색4 4" xfId="21547" hidden="1"/>
    <cellStyle name="강조색4 4" xfId="21587" hidden="1"/>
    <cellStyle name="강조색4 4" xfId="21627" hidden="1"/>
    <cellStyle name="강조색4 4" xfId="21667" hidden="1"/>
    <cellStyle name="강조색4 4" xfId="21707" hidden="1"/>
    <cellStyle name="강조색4 4" xfId="21747" hidden="1"/>
    <cellStyle name="강조색4 4" xfId="21787" hidden="1"/>
    <cellStyle name="강조색4 4" xfId="21827" hidden="1"/>
    <cellStyle name="강조색4 4" xfId="21867" hidden="1"/>
    <cellStyle name="강조색4 4" xfId="21907" hidden="1"/>
    <cellStyle name="강조색4 4" xfId="21975" hidden="1"/>
    <cellStyle name="강조색4 4" xfId="22015" hidden="1"/>
    <cellStyle name="강조색4 4" xfId="22055" hidden="1"/>
    <cellStyle name="강조색4 4" xfId="22095" hidden="1"/>
    <cellStyle name="강조색4 4" xfId="22135" hidden="1"/>
    <cellStyle name="강조색4 4" xfId="22175" hidden="1"/>
    <cellStyle name="강조색4 4" xfId="22215" hidden="1"/>
    <cellStyle name="강조색4 4" xfId="22255" hidden="1"/>
    <cellStyle name="강조색4 4" xfId="22295" hidden="1"/>
    <cellStyle name="강조색4 4" xfId="22335" hidden="1"/>
    <cellStyle name="강조색4 4" xfId="22375" hidden="1"/>
    <cellStyle name="강조색4 4" xfId="22415" hidden="1"/>
    <cellStyle name="강조색4 4" xfId="22499" hidden="1"/>
    <cellStyle name="강조색4 4" xfId="22540" hidden="1"/>
    <cellStyle name="강조색4 4" xfId="22582" hidden="1"/>
    <cellStyle name="강조색4 4" xfId="22624" hidden="1"/>
    <cellStyle name="강조색4 4" xfId="22666" hidden="1"/>
    <cellStyle name="강조색4 4" xfId="22708" hidden="1"/>
    <cellStyle name="강조색4 4" xfId="22750" hidden="1"/>
    <cellStyle name="강조색4 4" xfId="22792" hidden="1"/>
    <cellStyle name="강조색4 4" xfId="22834" hidden="1"/>
    <cellStyle name="강조색4 4" xfId="22876" hidden="1"/>
    <cellStyle name="강조색4 4" xfId="22918" hidden="1"/>
    <cellStyle name="강조색4 4" xfId="22960" hidden="1"/>
    <cellStyle name="강조색4 4" xfId="22456" hidden="1"/>
    <cellStyle name="강조색4 4" xfId="23139" hidden="1"/>
    <cellStyle name="강조색4 4" xfId="23179" hidden="1"/>
    <cellStyle name="강조색4 4" xfId="23219" hidden="1"/>
    <cellStyle name="강조색4 4" xfId="23259" hidden="1"/>
    <cellStyle name="강조색4 4" xfId="23299" hidden="1"/>
    <cellStyle name="강조색4 4" xfId="23339" hidden="1"/>
    <cellStyle name="강조색4 4" xfId="23379" hidden="1"/>
    <cellStyle name="강조색4 4" xfId="23419" hidden="1"/>
    <cellStyle name="강조색4 4" xfId="23459" hidden="1"/>
    <cellStyle name="강조색4 4" xfId="23499" hidden="1"/>
    <cellStyle name="강조색4 4" xfId="23539" hidden="1"/>
    <cellStyle name="강조색4 4" xfId="23579" hidden="1"/>
    <cellStyle name="강조색4 4" xfId="23025" hidden="1"/>
    <cellStyle name="강조색4 4" xfId="22984" hidden="1"/>
    <cellStyle name="강조색4 4" xfId="23621" hidden="1"/>
    <cellStyle name="강조색4 4" xfId="23663" hidden="1"/>
    <cellStyle name="강조색4 4" xfId="23705" hidden="1"/>
    <cellStyle name="강조색4 4" xfId="23747" hidden="1"/>
    <cellStyle name="강조색4 4" xfId="23789" hidden="1"/>
    <cellStyle name="강조색4 4" xfId="23831" hidden="1"/>
    <cellStyle name="강조색4 4" xfId="23873" hidden="1"/>
    <cellStyle name="강조색4 4" xfId="23915" hidden="1"/>
    <cellStyle name="강조색4 4" xfId="23957" hidden="1"/>
    <cellStyle name="강조색4 4" xfId="23999" hidden="1"/>
    <cellStyle name="강조색4 4" xfId="23078" hidden="1"/>
    <cellStyle name="강조색4 4" xfId="24027" hidden="1"/>
    <cellStyle name="강조색4 4" xfId="24067" hidden="1"/>
    <cellStyle name="강조색4 4" xfId="24107" hidden="1"/>
    <cellStyle name="강조색4 4" xfId="24147" hidden="1"/>
    <cellStyle name="강조색4 4" xfId="24187" hidden="1"/>
    <cellStyle name="강조색4 4" xfId="24227" hidden="1"/>
    <cellStyle name="강조색4 4" xfId="24267" hidden="1"/>
    <cellStyle name="강조색4 4" xfId="24307" hidden="1"/>
    <cellStyle name="강조색4 4" xfId="24347" hidden="1"/>
    <cellStyle name="강조색4 4" xfId="24387" hidden="1"/>
    <cellStyle name="강조색4 4" xfId="24427" hidden="1"/>
    <cellStyle name="강조색4 4" xfId="24467" hidden="1"/>
    <cellStyle name="강조색4 4" xfId="24565" hidden="1"/>
    <cellStyle name="강조색4 4" xfId="24605" hidden="1"/>
    <cellStyle name="강조색4 4" xfId="24647" hidden="1"/>
    <cellStyle name="강조색4 4" xfId="24688" hidden="1"/>
    <cellStyle name="강조색4 4" xfId="24728" hidden="1"/>
    <cellStyle name="강조색4 4" xfId="24768" hidden="1"/>
    <cellStyle name="강조색4 4" xfId="24808" hidden="1"/>
    <cellStyle name="강조색4 4" xfId="24848" hidden="1"/>
    <cellStyle name="강조색4 4" xfId="24888" hidden="1"/>
    <cellStyle name="강조색4 4" xfId="24928" hidden="1"/>
    <cellStyle name="강조색4 4" xfId="24968" hidden="1"/>
    <cellStyle name="강조색4 4" xfId="25008" hidden="1"/>
    <cellStyle name="강조색4 4" xfId="25092" hidden="1"/>
    <cellStyle name="강조색4 4" xfId="25133" hidden="1"/>
    <cellStyle name="강조색4 4" xfId="25175" hidden="1"/>
    <cellStyle name="강조색4 4" xfId="25217" hidden="1"/>
    <cellStyle name="강조색4 4" xfId="25259" hidden="1"/>
    <cellStyle name="강조색4 4" xfId="25301" hidden="1"/>
    <cellStyle name="강조색4 4" xfId="25343" hidden="1"/>
    <cellStyle name="강조색4 4" xfId="25385" hidden="1"/>
    <cellStyle name="강조색4 4" xfId="25427" hidden="1"/>
    <cellStyle name="강조색4 4" xfId="25469" hidden="1"/>
    <cellStyle name="강조색4 4" xfId="25511" hidden="1"/>
    <cellStyle name="강조색4 4" xfId="25553" hidden="1"/>
    <cellStyle name="강조색4 4" xfId="25049" hidden="1"/>
    <cellStyle name="강조색4 4" xfId="25732" hidden="1"/>
    <cellStyle name="강조색4 4" xfId="25772" hidden="1"/>
    <cellStyle name="강조색4 4" xfId="25812" hidden="1"/>
    <cellStyle name="강조색4 4" xfId="25852" hidden="1"/>
    <cellStyle name="강조색4 4" xfId="25892" hidden="1"/>
    <cellStyle name="강조색4 4" xfId="25932" hidden="1"/>
    <cellStyle name="강조색4 4" xfId="25972" hidden="1"/>
    <cellStyle name="강조색4 4" xfId="26012" hidden="1"/>
    <cellStyle name="강조색4 4" xfId="26052" hidden="1"/>
    <cellStyle name="강조색4 4" xfId="26092" hidden="1"/>
    <cellStyle name="강조색4 4" xfId="26132" hidden="1"/>
    <cellStyle name="강조색4 4" xfId="26172" hidden="1"/>
    <cellStyle name="강조색4 4" xfId="25618" hidden="1"/>
    <cellStyle name="강조색4 4" xfId="25577" hidden="1"/>
    <cellStyle name="강조색4 4" xfId="26214" hidden="1"/>
    <cellStyle name="강조색4 4" xfId="26256" hidden="1"/>
    <cellStyle name="강조색4 4" xfId="26298" hidden="1"/>
    <cellStyle name="강조색4 4" xfId="26340" hidden="1"/>
    <cellStyle name="강조색4 4" xfId="26382" hidden="1"/>
    <cellStyle name="강조색4 4" xfId="26424" hidden="1"/>
    <cellStyle name="강조색4 4" xfId="26466" hidden="1"/>
    <cellStyle name="강조색4 4" xfId="26508" hidden="1"/>
    <cellStyle name="강조색4 4" xfId="26550" hidden="1"/>
    <cellStyle name="강조색4 4" xfId="26592" hidden="1"/>
    <cellStyle name="강조색4 4" xfId="25671" hidden="1"/>
    <cellStyle name="강조색4 4" xfId="26620" hidden="1"/>
    <cellStyle name="강조색4 4" xfId="26660" hidden="1"/>
    <cellStyle name="강조색4 4" xfId="26700" hidden="1"/>
    <cellStyle name="강조색4 4" xfId="26740" hidden="1"/>
    <cellStyle name="강조색4 4" xfId="26780" hidden="1"/>
    <cellStyle name="강조색4 4" xfId="26820" hidden="1"/>
    <cellStyle name="강조색4 4" xfId="26860" hidden="1"/>
    <cellStyle name="강조색4 4" xfId="26900" hidden="1"/>
    <cellStyle name="강조색4 4" xfId="26940" hidden="1"/>
    <cellStyle name="강조색4 4" xfId="26980" hidden="1"/>
    <cellStyle name="강조색4 4" xfId="27020" hidden="1"/>
    <cellStyle name="강조색4 4" xfId="27060" hidden="1"/>
    <cellStyle name="강조색4 4" xfId="21945" hidden="1"/>
    <cellStyle name="강조색4 4" xfId="27111" hidden="1"/>
    <cellStyle name="강조색4 4" xfId="27151" hidden="1"/>
    <cellStyle name="강조색4 4" xfId="27191" hidden="1"/>
    <cellStyle name="강조색4 4" xfId="27231" hidden="1"/>
    <cellStyle name="강조색4 4" xfId="27271" hidden="1"/>
    <cellStyle name="강조색4 4" xfId="27311" hidden="1"/>
    <cellStyle name="강조색4 4" xfId="27351" hidden="1"/>
    <cellStyle name="강조색4 4" xfId="27391" hidden="1"/>
    <cellStyle name="강조색4 4" xfId="27431" hidden="1"/>
    <cellStyle name="강조색4 4" xfId="27471" hidden="1"/>
    <cellStyle name="강조색4 4" xfId="27511" hidden="1"/>
    <cellStyle name="강조색4 4" xfId="27595" hidden="1"/>
    <cellStyle name="강조색4 4" xfId="27636" hidden="1"/>
    <cellStyle name="강조색4 4" xfId="27678" hidden="1"/>
    <cellStyle name="강조색4 4" xfId="27720" hidden="1"/>
    <cellStyle name="강조색4 4" xfId="27762" hidden="1"/>
    <cellStyle name="강조색4 4" xfId="27804" hidden="1"/>
    <cellStyle name="강조색4 4" xfId="27846" hidden="1"/>
    <cellStyle name="강조색4 4" xfId="27888" hidden="1"/>
    <cellStyle name="강조색4 4" xfId="27930" hidden="1"/>
    <cellStyle name="강조색4 4" xfId="27972" hidden="1"/>
    <cellStyle name="강조색4 4" xfId="28014" hidden="1"/>
    <cellStyle name="강조색4 4" xfId="28056" hidden="1"/>
    <cellStyle name="강조색4 4" xfId="27552" hidden="1"/>
    <cellStyle name="강조색4 4" xfId="28235" hidden="1"/>
    <cellStyle name="강조색4 4" xfId="28275" hidden="1"/>
    <cellStyle name="강조색4 4" xfId="28315" hidden="1"/>
    <cellStyle name="강조색4 4" xfId="28355" hidden="1"/>
    <cellStyle name="강조색4 4" xfId="28395" hidden="1"/>
    <cellStyle name="강조색4 4" xfId="28435" hidden="1"/>
    <cellStyle name="강조색4 4" xfId="28475" hidden="1"/>
    <cellStyle name="강조색4 4" xfId="28515" hidden="1"/>
    <cellStyle name="강조색4 4" xfId="28555" hidden="1"/>
    <cellStyle name="강조색4 4" xfId="28595" hidden="1"/>
    <cellStyle name="강조색4 4" xfId="28635" hidden="1"/>
    <cellStyle name="강조색4 4" xfId="28675" hidden="1"/>
    <cellStyle name="강조색4 4" xfId="28121" hidden="1"/>
    <cellStyle name="강조색4 4" xfId="28080" hidden="1"/>
    <cellStyle name="강조색4 4" xfId="28717" hidden="1"/>
    <cellStyle name="강조색4 4" xfId="28759" hidden="1"/>
    <cellStyle name="강조색4 4" xfId="28801" hidden="1"/>
    <cellStyle name="강조색4 4" xfId="28843" hidden="1"/>
    <cellStyle name="강조색4 4" xfId="28885" hidden="1"/>
    <cellStyle name="강조색4 4" xfId="28927" hidden="1"/>
    <cellStyle name="강조색4 4" xfId="28969" hidden="1"/>
    <cellStyle name="강조색4 4" xfId="29011" hidden="1"/>
    <cellStyle name="강조색4 4" xfId="29053" hidden="1"/>
    <cellStyle name="강조색4 4" xfId="29095" hidden="1"/>
    <cellStyle name="강조색4 4" xfId="28174" hidden="1"/>
    <cellStyle name="강조색4 4" xfId="29123" hidden="1"/>
    <cellStyle name="강조색4 4" xfId="29163" hidden="1"/>
    <cellStyle name="강조색4 4" xfId="29203" hidden="1"/>
    <cellStyle name="강조색4 4" xfId="29243" hidden="1"/>
    <cellStyle name="강조색4 4" xfId="29283" hidden="1"/>
    <cellStyle name="강조색4 4" xfId="29323" hidden="1"/>
    <cellStyle name="강조색4 4" xfId="29363" hidden="1"/>
    <cellStyle name="강조색4 4" xfId="29403" hidden="1"/>
    <cellStyle name="강조색4 4" xfId="29443" hidden="1"/>
    <cellStyle name="강조색4 4" xfId="29483" hidden="1"/>
    <cellStyle name="강조색4 4" xfId="29523" hidden="1"/>
    <cellStyle name="강조색4 4" xfId="29563" hidden="1"/>
    <cellStyle name="강조색4 4" xfId="24524" hidden="1"/>
    <cellStyle name="강조색4 4" xfId="29613" hidden="1"/>
    <cellStyle name="강조색4 4" xfId="29653" hidden="1"/>
    <cellStyle name="강조색4 4" xfId="29693" hidden="1"/>
    <cellStyle name="강조색4 4" xfId="29733" hidden="1"/>
    <cellStyle name="강조색4 4" xfId="29773" hidden="1"/>
    <cellStyle name="강조색4 4" xfId="29813" hidden="1"/>
    <cellStyle name="강조색4 4" xfId="29853" hidden="1"/>
    <cellStyle name="강조색4 4" xfId="29893" hidden="1"/>
    <cellStyle name="강조색4 4" xfId="29933" hidden="1"/>
    <cellStyle name="강조색4 4" xfId="29973" hidden="1"/>
    <cellStyle name="강조색4 4" xfId="30013" hidden="1"/>
    <cellStyle name="강조색4 4" xfId="30097" hidden="1"/>
    <cellStyle name="강조색4 4" xfId="30138" hidden="1"/>
    <cellStyle name="강조색4 4" xfId="30180" hidden="1"/>
    <cellStyle name="강조색4 4" xfId="30222" hidden="1"/>
    <cellStyle name="강조색4 4" xfId="30264" hidden="1"/>
    <cellStyle name="강조색4 4" xfId="30306" hidden="1"/>
    <cellStyle name="강조색4 4" xfId="30348" hidden="1"/>
    <cellStyle name="강조색4 4" xfId="30390" hidden="1"/>
    <cellStyle name="강조색4 4" xfId="30432" hidden="1"/>
    <cellStyle name="강조색4 4" xfId="30474" hidden="1"/>
    <cellStyle name="강조색4 4" xfId="30516" hidden="1"/>
    <cellStyle name="강조색4 4" xfId="30558" hidden="1"/>
    <cellStyle name="강조색4 4" xfId="30054" hidden="1"/>
    <cellStyle name="강조색4 4" xfId="30737" hidden="1"/>
    <cellStyle name="강조색4 4" xfId="30777" hidden="1"/>
    <cellStyle name="강조색4 4" xfId="30817" hidden="1"/>
    <cellStyle name="강조색4 4" xfId="30857" hidden="1"/>
    <cellStyle name="강조색4 4" xfId="30897" hidden="1"/>
    <cellStyle name="강조색4 4" xfId="30937" hidden="1"/>
    <cellStyle name="강조색4 4" xfId="30977" hidden="1"/>
    <cellStyle name="강조색4 4" xfId="31017" hidden="1"/>
    <cellStyle name="강조색4 4" xfId="31057" hidden="1"/>
    <cellStyle name="강조색4 4" xfId="31097" hidden="1"/>
    <cellStyle name="강조색4 4" xfId="31137" hidden="1"/>
    <cellStyle name="강조색4 4" xfId="31177" hidden="1"/>
    <cellStyle name="강조색4 4" xfId="30623" hidden="1"/>
    <cellStyle name="강조색4 4" xfId="30582" hidden="1"/>
    <cellStyle name="강조색4 4" xfId="31219" hidden="1"/>
    <cellStyle name="강조색4 4" xfId="31261" hidden="1"/>
    <cellStyle name="강조색4 4" xfId="31303" hidden="1"/>
    <cellStyle name="강조색4 4" xfId="31345" hidden="1"/>
    <cellStyle name="강조색4 4" xfId="31387" hidden="1"/>
    <cellStyle name="강조색4 4" xfId="31429" hidden="1"/>
    <cellStyle name="강조색4 4" xfId="31471" hidden="1"/>
    <cellStyle name="강조색4 4" xfId="31513" hidden="1"/>
    <cellStyle name="강조색4 4" xfId="31555" hidden="1"/>
    <cellStyle name="강조색4 4" xfId="31597" hidden="1"/>
    <cellStyle name="강조색4 4" xfId="30676" hidden="1"/>
    <cellStyle name="강조색4 4" xfId="31625" hidden="1"/>
    <cellStyle name="강조색4 4" xfId="31665" hidden="1"/>
    <cellStyle name="강조색4 4" xfId="31705" hidden="1"/>
    <cellStyle name="강조색4 4" xfId="31745" hidden="1"/>
    <cellStyle name="강조색4 4" xfId="31785" hidden="1"/>
    <cellStyle name="강조색4 4" xfId="31825" hidden="1"/>
    <cellStyle name="강조색4 4" xfId="31865" hidden="1"/>
    <cellStyle name="강조색4 4" xfId="31905" hidden="1"/>
    <cellStyle name="강조색4 4" xfId="31945" hidden="1"/>
    <cellStyle name="강조색4 4" xfId="31985" hidden="1"/>
    <cellStyle name="강조색4 4" xfId="32025" hidden="1"/>
    <cellStyle name="강조색4 4" xfId="32065" hidden="1"/>
    <cellStyle name="강조색4 4" xfId="32127" hidden="1"/>
    <cellStyle name="강조색4 4" xfId="32167" hidden="1"/>
    <cellStyle name="강조색4 4" xfId="32207" hidden="1"/>
    <cellStyle name="강조색4 4" xfId="32247" hidden="1"/>
    <cellStyle name="강조색4 4" xfId="32287" hidden="1"/>
    <cellStyle name="강조색4 4" xfId="32327" hidden="1"/>
    <cellStyle name="강조색4 4" xfId="32367" hidden="1"/>
    <cellStyle name="강조색4 4" xfId="32407" hidden="1"/>
    <cellStyle name="강조색4 4" xfId="32447" hidden="1"/>
    <cellStyle name="강조색4 4" xfId="32487" hidden="1"/>
    <cellStyle name="강조색4 4" xfId="32527" hidden="1"/>
    <cellStyle name="강조색4 4" xfId="32567" hidden="1"/>
    <cellStyle name="강조색4 4" xfId="32652" hidden="1"/>
    <cellStyle name="강조색4 4" xfId="32693" hidden="1"/>
    <cellStyle name="강조색4 4" xfId="32735" hidden="1"/>
    <cellStyle name="강조색4 4" xfId="32777" hidden="1"/>
    <cellStyle name="강조색4 4" xfId="32819" hidden="1"/>
    <cellStyle name="강조색4 4" xfId="32861" hidden="1"/>
    <cellStyle name="강조색4 4" xfId="32903" hidden="1"/>
    <cellStyle name="강조색4 4" xfId="32945" hidden="1"/>
    <cellStyle name="강조색4 4" xfId="32987" hidden="1"/>
    <cellStyle name="강조색4 4" xfId="33029" hidden="1"/>
    <cellStyle name="강조색4 4" xfId="33071" hidden="1"/>
    <cellStyle name="강조색4 4" xfId="33113" hidden="1"/>
    <cellStyle name="강조색4 4" xfId="32609" hidden="1"/>
    <cellStyle name="강조색4 4" xfId="33292" hidden="1"/>
    <cellStyle name="강조색4 4" xfId="33332" hidden="1"/>
    <cellStyle name="강조색4 4" xfId="33372" hidden="1"/>
    <cellStyle name="강조색4 4" xfId="33412" hidden="1"/>
    <cellStyle name="강조색4 4" xfId="33452" hidden="1"/>
    <cellStyle name="강조색4 4" xfId="33492" hidden="1"/>
    <cellStyle name="강조색4 4" xfId="33532" hidden="1"/>
    <cellStyle name="강조색4 4" xfId="33572" hidden="1"/>
    <cellStyle name="강조색4 4" xfId="33612" hidden="1"/>
    <cellStyle name="강조색4 4" xfId="33652" hidden="1"/>
    <cellStyle name="강조색4 4" xfId="33692" hidden="1"/>
    <cellStyle name="강조색4 4" xfId="33732" hidden="1"/>
    <cellStyle name="강조색4 4" xfId="33178" hidden="1"/>
    <cellStyle name="강조색4 4" xfId="33137" hidden="1"/>
    <cellStyle name="강조색4 4" xfId="33774" hidden="1"/>
    <cellStyle name="강조색4 4" xfId="33816" hidden="1"/>
    <cellStyle name="강조색4 4" xfId="33858" hidden="1"/>
    <cellStyle name="강조색4 4" xfId="33900" hidden="1"/>
    <cellStyle name="강조색4 4" xfId="33942" hidden="1"/>
    <cellStyle name="강조색4 4" xfId="33984" hidden="1"/>
    <cellStyle name="강조색4 4" xfId="34026" hidden="1"/>
    <cellStyle name="강조색4 4" xfId="34068" hidden="1"/>
    <cellStyle name="강조색4 4" xfId="34110" hidden="1"/>
    <cellStyle name="강조색4 4" xfId="34152" hidden="1"/>
    <cellStyle name="강조색4 4" xfId="33231" hidden="1"/>
    <cellStyle name="강조색4 4" xfId="34180" hidden="1"/>
    <cellStyle name="강조색4 4" xfId="34220" hidden="1"/>
    <cellStyle name="강조색4 4" xfId="34260" hidden="1"/>
    <cellStyle name="강조색4 4" xfId="34300" hidden="1"/>
    <cellStyle name="강조색4 4" xfId="34340" hidden="1"/>
    <cellStyle name="강조색4 4" xfId="34380" hidden="1"/>
    <cellStyle name="강조색4 4" xfId="34420" hidden="1"/>
    <cellStyle name="강조색4 4" xfId="34460" hidden="1"/>
    <cellStyle name="강조색4 4" xfId="34500" hidden="1"/>
    <cellStyle name="강조색4 4" xfId="34540" hidden="1"/>
    <cellStyle name="강조색4 4" xfId="34580" hidden="1"/>
    <cellStyle name="강조색4 4" xfId="34620" hidden="1"/>
    <cellStyle name="강조색4 4" xfId="34717" hidden="1"/>
    <cellStyle name="강조색4 4" xfId="34757" hidden="1"/>
    <cellStyle name="강조색4 4" xfId="34797" hidden="1"/>
    <cellStyle name="강조색4 4" xfId="34837" hidden="1"/>
    <cellStyle name="강조색4 4" xfId="34877" hidden="1"/>
    <cellStyle name="강조색4 4" xfId="34917" hidden="1"/>
    <cellStyle name="강조색4 4" xfId="34957" hidden="1"/>
    <cellStyle name="강조색4 4" xfId="34997" hidden="1"/>
    <cellStyle name="강조색4 4" xfId="35037" hidden="1"/>
    <cellStyle name="강조색4 4" xfId="35077" hidden="1"/>
    <cellStyle name="강조색4 4" xfId="35117" hidden="1"/>
    <cellStyle name="강조색4 4" xfId="35157" hidden="1"/>
    <cellStyle name="강조색4 4" xfId="35241" hidden="1"/>
    <cellStyle name="강조색4 4" xfId="35282" hidden="1"/>
    <cellStyle name="강조색4 4" xfId="35324" hidden="1"/>
    <cellStyle name="강조색4 4" xfId="35366" hidden="1"/>
    <cellStyle name="강조색4 4" xfId="35408" hidden="1"/>
    <cellStyle name="강조색4 4" xfId="35450" hidden="1"/>
    <cellStyle name="강조색4 4" xfId="35492" hidden="1"/>
    <cellStyle name="강조색4 4" xfId="35534" hidden="1"/>
    <cellStyle name="강조색4 4" xfId="35576" hidden="1"/>
    <cellStyle name="강조색4 4" xfId="35618" hidden="1"/>
    <cellStyle name="강조색4 4" xfId="35660" hidden="1"/>
    <cellStyle name="강조색4 4" xfId="35702" hidden="1"/>
    <cellStyle name="강조색4 4" xfId="35198" hidden="1"/>
    <cellStyle name="강조색4 4" xfId="35881" hidden="1"/>
    <cellStyle name="강조색4 4" xfId="35921" hidden="1"/>
    <cellStyle name="강조색4 4" xfId="35961" hidden="1"/>
    <cellStyle name="강조색4 4" xfId="36001" hidden="1"/>
    <cellStyle name="강조색4 4" xfId="36041" hidden="1"/>
    <cellStyle name="강조색4 4" xfId="36081" hidden="1"/>
    <cellStyle name="강조색4 4" xfId="36121" hidden="1"/>
    <cellStyle name="강조색4 4" xfId="36161" hidden="1"/>
    <cellStyle name="강조색4 4" xfId="36201" hidden="1"/>
    <cellStyle name="강조색4 4" xfId="36241" hidden="1"/>
    <cellStyle name="강조색4 4" xfId="36281" hidden="1"/>
    <cellStyle name="강조색4 4" xfId="36321" hidden="1"/>
    <cellStyle name="강조색4 4" xfId="35767" hidden="1"/>
    <cellStyle name="강조색4 4" xfId="35726" hidden="1"/>
    <cellStyle name="강조색4 4" xfId="36363" hidden="1"/>
    <cellStyle name="강조색4 4" xfId="36405" hidden="1"/>
    <cellStyle name="강조색4 4" xfId="36447" hidden="1"/>
    <cellStyle name="강조색4 4" xfId="36489" hidden="1"/>
    <cellStyle name="강조색4 4" xfId="36531" hidden="1"/>
    <cellStyle name="강조색4 4" xfId="36573" hidden="1"/>
    <cellStyle name="강조색4 4" xfId="36615" hidden="1"/>
    <cellStyle name="강조색4 4" xfId="36657" hidden="1"/>
    <cellStyle name="강조색4 4" xfId="36699" hidden="1"/>
    <cellStyle name="강조색4 4" xfId="36741" hidden="1"/>
    <cellStyle name="강조색4 4" xfId="35820" hidden="1"/>
    <cellStyle name="강조색4 4" xfId="36769" hidden="1"/>
    <cellStyle name="강조색4 4" xfId="36809" hidden="1"/>
    <cellStyle name="강조색4 4" xfId="36849" hidden="1"/>
    <cellStyle name="강조색4 4" xfId="36889" hidden="1"/>
    <cellStyle name="강조색4 4" xfId="36929" hidden="1"/>
    <cellStyle name="강조색4 4" xfId="36969" hidden="1"/>
    <cellStyle name="강조색4 4" xfId="37009" hidden="1"/>
    <cellStyle name="강조색4 4" xfId="37049" hidden="1"/>
    <cellStyle name="강조색4 4" xfId="37089" hidden="1"/>
    <cellStyle name="강조색4 4" xfId="37129" hidden="1"/>
    <cellStyle name="강조색4 4" xfId="37169" hidden="1"/>
    <cellStyle name="강조색4 4" xfId="37209" hidden="1"/>
    <cellStyle name="강조색4 4" xfId="32098" hidden="1"/>
    <cellStyle name="강조색4 4" xfId="37260" hidden="1"/>
    <cellStyle name="강조색4 4" xfId="37301" hidden="1"/>
    <cellStyle name="강조색4 4" xfId="37341" hidden="1"/>
    <cellStyle name="강조색4 4" xfId="37381" hidden="1"/>
    <cellStyle name="강조색4 4" xfId="37421" hidden="1"/>
    <cellStyle name="강조색4 4" xfId="37461" hidden="1"/>
    <cellStyle name="강조색4 4" xfId="37501" hidden="1"/>
    <cellStyle name="강조색4 4" xfId="37541" hidden="1"/>
    <cellStyle name="강조색4 4" xfId="37581" hidden="1"/>
    <cellStyle name="강조색4 4" xfId="37621" hidden="1"/>
    <cellStyle name="강조색4 4" xfId="37661" hidden="1"/>
    <cellStyle name="강조색4 4" xfId="37745" hidden="1"/>
    <cellStyle name="강조색4 4" xfId="37786" hidden="1"/>
    <cellStyle name="강조색4 4" xfId="37828" hidden="1"/>
    <cellStyle name="강조색4 4" xfId="37870" hidden="1"/>
    <cellStyle name="강조색4 4" xfId="37912" hidden="1"/>
    <cellStyle name="강조색4 4" xfId="37954" hidden="1"/>
    <cellStyle name="강조색4 4" xfId="37996" hidden="1"/>
    <cellStyle name="강조색4 4" xfId="38038" hidden="1"/>
    <cellStyle name="강조색4 4" xfId="38080" hidden="1"/>
    <cellStyle name="강조색4 4" xfId="38122" hidden="1"/>
    <cellStyle name="강조색4 4" xfId="38164" hidden="1"/>
    <cellStyle name="강조색4 4" xfId="38206" hidden="1"/>
    <cellStyle name="강조색4 4" xfId="37702" hidden="1"/>
    <cellStyle name="강조색4 4" xfId="38385" hidden="1"/>
    <cellStyle name="강조색4 4" xfId="38425" hidden="1"/>
    <cellStyle name="강조색4 4" xfId="38465" hidden="1"/>
    <cellStyle name="강조색4 4" xfId="38505" hidden="1"/>
    <cellStyle name="강조색4 4" xfId="38545" hidden="1"/>
    <cellStyle name="강조색4 4" xfId="38585" hidden="1"/>
    <cellStyle name="강조색4 4" xfId="38625" hidden="1"/>
    <cellStyle name="강조색4 4" xfId="38665" hidden="1"/>
    <cellStyle name="강조색4 4" xfId="38705" hidden="1"/>
    <cellStyle name="강조색4 4" xfId="38745" hidden="1"/>
    <cellStyle name="강조색4 4" xfId="38785" hidden="1"/>
    <cellStyle name="강조색4 4" xfId="38825" hidden="1"/>
    <cellStyle name="강조색4 4" xfId="38271" hidden="1"/>
    <cellStyle name="강조색4 4" xfId="38230" hidden="1"/>
    <cellStyle name="강조색4 4" xfId="38867" hidden="1"/>
    <cellStyle name="강조색4 4" xfId="38909" hidden="1"/>
    <cellStyle name="강조색4 4" xfId="38951" hidden="1"/>
    <cellStyle name="강조색4 4" xfId="38993" hidden="1"/>
    <cellStyle name="강조색4 4" xfId="39035" hidden="1"/>
    <cellStyle name="강조색4 4" xfId="39077" hidden="1"/>
    <cellStyle name="강조색4 4" xfId="39119" hidden="1"/>
    <cellStyle name="강조색4 4" xfId="39161" hidden="1"/>
    <cellStyle name="강조색4 4" xfId="39203" hidden="1"/>
    <cellStyle name="강조색4 4" xfId="39245" hidden="1"/>
    <cellStyle name="강조색4 4" xfId="38324" hidden="1"/>
    <cellStyle name="강조색4 4" xfId="39273" hidden="1"/>
    <cellStyle name="강조색4 4" xfId="39313" hidden="1"/>
    <cellStyle name="강조색4 4" xfId="39353" hidden="1"/>
    <cellStyle name="강조색4 4" xfId="39393" hidden="1"/>
    <cellStyle name="강조색4 4" xfId="39433" hidden="1"/>
    <cellStyle name="강조색4 4" xfId="39473" hidden="1"/>
    <cellStyle name="강조색4 4" xfId="39513" hidden="1"/>
    <cellStyle name="강조색4 4" xfId="39553" hidden="1"/>
    <cellStyle name="강조색4 4" xfId="39593" hidden="1"/>
    <cellStyle name="강조색4 4" xfId="39633" hidden="1"/>
    <cellStyle name="강조색4 4" xfId="39673" hidden="1"/>
    <cellStyle name="강조색4 4" xfId="39713" hidden="1"/>
    <cellStyle name="강조색4 4" xfId="34676" hidden="1"/>
    <cellStyle name="강조색4 4" xfId="39763" hidden="1"/>
    <cellStyle name="강조색4 4" xfId="39803" hidden="1"/>
    <cellStyle name="강조색4 4" xfId="39843" hidden="1"/>
    <cellStyle name="강조색4 4" xfId="39883" hidden="1"/>
    <cellStyle name="강조색4 4" xfId="39923" hidden="1"/>
    <cellStyle name="강조색4 4" xfId="39963" hidden="1"/>
    <cellStyle name="강조색4 4" xfId="40003" hidden="1"/>
    <cellStyle name="강조색4 4" xfId="40043" hidden="1"/>
    <cellStyle name="강조색4 4" xfId="40083" hidden="1"/>
    <cellStyle name="강조색4 4" xfId="40123" hidden="1"/>
    <cellStyle name="강조색4 4" xfId="40163" hidden="1"/>
    <cellStyle name="강조색4 4" xfId="40247" hidden="1"/>
    <cellStyle name="강조색4 4" xfId="40288" hidden="1"/>
    <cellStyle name="강조색4 4" xfId="40330" hidden="1"/>
    <cellStyle name="강조색4 4" xfId="40372" hidden="1"/>
    <cellStyle name="강조색4 4" xfId="40414" hidden="1"/>
    <cellStyle name="강조색4 4" xfId="40456" hidden="1"/>
    <cellStyle name="강조색4 4" xfId="40498" hidden="1"/>
    <cellStyle name="강조색4 4" xfId="40540" hidden="1"/>
    <cellStyle name="강조색4 4" xfId="40582" hidden="1"/>
    <cellStyle name="강조색4 4" xfId="40624" hidden="1"/>
    <cellStyle name="강조색4 4" xfId="40666" hidden="1"/>
    <cellStyle name="강조색4 4" xfId="40708" hidden="1"/>
    <cellStyle name="강조색4 4" xfId="40204" hidden="1"/>
    <cellStyle name="강조색4 4" xfId="40887" hidden="1"/>
    <cellStyle name="강조색4 4" xfId="40927" hidden="1"/>
    <cellStyle name="강조색4 4" xfId="40967" hidden="1"/>
    <cellStyle name="강조색4 4" xfId="41007" hidden="1"/>
    <cellStyle name="강조색4 4" xfId="41047" hidden="1"/>
    <cellStyle name="강조색4 4" xfId="41087" hidden="1"/>
    <cellStyle name="강조색4 4" xfId="41127" hidden="1"/>
    <cellStyle name="강조색4 4" xfId="41167" hidden="1"/>
    <cellStyle name="강조색4 4" xfId="41207" hidden="1"/>
    <cellStyle name="강조색4 4" xfId="41247" hidden="1"/>
    <cellStyle name="강조색4 4" xfId="41287" hidden="1"/>
    <cellStyle name="강조색4 4" xfId="41327" hidden="1"/>
    <cellStyle name="강조색4 4" xfId="40773" hidden="1"/>
    <cellStyle name="강조색4 4" xfId="40732" hidden="1"/>
    <cellStyle name="강조색4 4" xfId="41369" hidden="1"/>
    <cellStyle name="강조색4 4" xfId="41411" hidden="1"/>
    <cellStyle name="강조색4 4" xfId="41453" hidden="1"/>
    <cellStyle name="강조색4 4" xfId="41495" hidden="1"/>
    <cellStyle name="강조색4 4" xfId="41537" hidden="1"/>
    <cellStyle name="강조색4 4" xfId="41579" hidden="1"/>
    <cellStyle name="강조색4 4" xfId="41621" hidden="1"/>
    <cellStyle name="강조색4 4" xfId="41663" hidden="1"/>
    <cellStyle name="강조색4 4" xfId="41705" hidden="1"/>
    <cellStyle name="강조색4 4" xfId="41747" hidden="1"/>
    <cellStyle name="강조색4 4" xfId="40826" hidden="1"/>
    <cellStyle name="강조색4 4" xfId="41775" hidden="1"/>
    <cellStyle name="강조색4 4" xfId="41815" hidden="1"/>
    <cellStyle name="강조색4 4" xfId="41855" hidden="1"/>
    <cellStyle name="강조색4 4" xfId="41895" hidden="1"/>
    <cellStyle name="강조색4 4" xfId="41935" hidden="1"/>
    <cellStyle name="강조색4 4" xfId="41975" hidden="1"/>
    <cellStyle name="강조색4 4" xfId="42015" hidden="1"/>
    <cellStyle name="강조색4 4" xfId="42055" hidden="1"/>
    <cellStyle name="강조색4 4" xfId="42095" hidden="1"/>
    <cellStyle name="강조색4 4" xfId="42135" hidden="1"/>
    <cellStyle name="강조색4 4" xfId="42175" hidden="1"/>
    <cellStyle name="강조색4 4" xfId="42215" hidden="1"/>
    <cellStyle name="강조색4 4" xfId="42258" hidden="1"/>
    <cellStyle name="강조색4 4" xfId="42298" hidden="1"/>
    <cellStyle name="강조색4 4" xfId="42338" hidden="1"/>
    <cellStyle name="강조색4 4" xfId="42378" hidden="1"/>
    <cellStyle name="강조색4 4" xfId="42418" hidden="1"/>
    <cellStyle name="강조색4 4" xfId="42458" hidden="1"/>
    <cellStyle name="강조색4 4" xfId="42498" hidden="1"/>
    <cellStyle name="강조색4 4" xfId="42538" hidden="1"/>
    <cellStyle name="강조색4 4" xfId="42578" hidden="1"/>
    <cellStyle name="강조색4 4" xfId="42618" hidden="1"/>
    <cellStyle name="강조색4 4" xfId="42658" hidden="1"/>
    <cellStyle name="강조색4 4" xfId="42698" hidden="1"/>
    <cellStyle name="강조색4 4" xfId="42782" hidden="1"/>
    <cellStyle name="강조색4 4" xfId="42823" hidden="1"/>
    <cellStyle name="강조색4 4" xfId="42865" hidden="1"/>
    <cellStyle name="강조색4 4" xfId="42907" hidden="1"/>
    <cellStyle name="강조색4 4" xfId="42949" hidden="1"/>
    <cellStyle name="강조색4 4" xfId="42991" hidden="1"/>
    <cellStyle name="강조색4 4" xfId="43033" hidden="1"/>
    <cellStyle name="강조색4 4" xfId="43075" hidden="1"/>
    <cellStyle name="강조색4 4" xfId="43117" hidden="1"/>
    <cellStyle name="강조색4 4" xfId="43159" hidden="1"/>
    <cellStyle name="강조색4 4" xfId="43201" hidden="1"/>
    <cellStyle name="강조색4 4" xfId="43243" hidden="1"/>
    <cellStyle name="강조색4 4" xfId="42739" hidden="1"/>
    <cellStyle name="강조색4 4" xfId="43422" hidden="1"/>
    <cellStyle name="강조색4 4" xfId="43462" hidden="1"/>
    <cellStyle name="강조색4 4" xfId="43502" hidden="1"/>
    <cellStyle name="강조색4 4" xfId="43542" hidden="1"/>
    <cellStyle name="강조색4 4" xfId="43582" hidden="1"/>
    <cellStyle name="강조색4 4" xfId="43622" hidden="1"/>
    <cellStyle name="강조색4 4" xfId="43662" hidden="1"/>
    <cellStyle name="강조색4 4" xfId="43702" hidden="1"/>
    <cellStyle name="강조색4 4" xfId="43742" hidden="1"/>
    <cellStyle name="강조색4 4" xfId="43782" hidden="1"/>
    <cellStyle name="강조색4 4" xfId="43822" hidden="1"/>
    <cellStyle name="강조색4 4" xfId="43862" hidden="1"/>
    <cellStyle name="강조색4 4" xfId="43308" hidden="1"/>
    <cellStyle name="강조색4 4" xfId="43267" hidden="1"/>
    <cellStyle name="강조색4 4" xfId="43904" hidden="1"/>
    <cellStyle name="강조색4 4" xfId="43946" hidden="1"/>
    <cellStyle name="강조색4 4" xfId="43988" hidden="1"/>
    <cellStyle name="강조색4 4" xfId="44030" hidden="1"/>
    <cellStyle name="강조색4 4" xfId="44072" hidden="1"/>
    <cellStyle name="강조색4 4" xfId="44114" hidden="1"/>
    <cellStyle name="강조색4 4" xfId="44156" hidden="1"/>
    <cellStyle name="강조색4 4" xfId="44198" hidden="1"/>
    <cellStyle name="강조색4 4" xfId="44240" hidden="1"/>
    <cellStyle name="강조색4 4" xfId="44282" hidden="1"/>
    <cellStyle name="강조색4 4" xfId="43361" hidden="1"/>
    <cellStyle name="강조색4 4" xfId="44310" hidden="1"/>
    <cellStyle name="강조색4 4" xfId="44350" hidden="1"/>
    <cellStyle name="강조색4 4" xfId="44390" hidden="1"/>
    <cellStyle name="강조색4 4" xfId="44430" hidden="1"/>
    <cellStyle name="강조색4 4" xfId="44470" hidden="1"/>
    <cellStyle name="강조색4 4" xfId="44510" hidden="1"/>
    <cellStyle name="강조색4 4" xfId="44550" hidden="1"/>
    <cellStyle name="강조색4 4" xfId="44590" hidden="1"/>
    <cellStyle name="강조색4 4" xfId="44630" hidden="1"/>
    <cellStyle name="강조색4 4" xfId="44670" hidden="1"/>
    <cellStyle name="강조색4 4" xfId="44710" hidden="1"/>
    <cellStyle name="강조색4 4" xfId="44750" hidden="1"/>
    <cellStyle name="강조색4 4" xfId="44846" hidden="1"/>
    <cellStyle name="강조색4 4" xfId="44886" hidden="1"/>
    <cellStyle name="강조색4 4" xfId="44928" hidden="1"/>
    <cellStyle name="강조색4 4" xfId="44969" hidden="1"/>
    <cellStyle name="강조색4 4" xfId="45009" hidden="1"/>
    <cellStyle name="강조색4 4" xfId="45049" hidden="1"/>
    <cellStyle name="강조색4 4" xfId="45089" hidden="1"/>
    <cellStyle name="강조색4 4" xfId="45129" hidden="1"/>
    <cellStyle name="강조색4 4" xfId="45169" hidden="1"/>
    <cellStyle name="강조색4 4" xfId="45209" hidden="1"/>
    <cellStyle name="강조색4 4" xfId="45249" hidden="1"/>
    <cellStyle name="강조색4 4" xfId="45289" hidden="1"/>
    <cellStyle name="강조색4 4" xfId="45373" hidden="1"/>
    <cellStyle name="강조색4 4" xfId="45414" hidden="1"/>
    <cellStyle name="강조색4 4" xfId="45456" hidden="1"/>
    <cellStyle name="강조색4 4" xfId="45498" hidden="1"/>
    <cellStyle name="강조색4 4" xfId="45540" hidden="1"/>
    <cellStyle name="강조색4 4" xfId="45582" hidden="1"/>
    <cellStyle name="강조색4 4" xfId="45624" hidden="1"/>
    <cellStyle name="강조색4 4" xfId="45666" hidden="1"/>
    <cellStyle name="강조색4 4" xfId="45708" hidden="1"/>
    <cellStyle name="강조색4 4" xfId="45750" hidden="1"/>
    <cellStyle name="강조색4 4" xfId="45792" hidden="1"/>
    <cellStyle name="강조색4 4" xfId="45834" hidden="1"/>
    <cellStyle name="강조색4 4" xfId="45330" hidden="1"/>
    <cellStyle name="강조색4 4" xfId="46013" hidden="1"/>
    <cellStyle name="강조색4 4" xfId="46053" hidden="1"/>
    <cellStyle name="강조색4 4" xfId="46093" hidden="1"/>
    <cellStyle name="강조색4 4" xfId="46133" hidden="1"/>
    <cellStyle name="강조색4 4" xfId="46173" hidden="1"/>
    <cellStyle name="강조색4 4" xfId="46213" hidden="1"/>
    <cellStyle name="강조색4 4" xfId="46253" hidden="1"/>
    <cellStyle name="강조색4 4" xfId="46293" hidden="1"/>
    <cellStyle name="강조색4 4" xfId="46333" hidden="1"/>
    <cellStyle name="강조색4 4" xfId="46373" hidden="1"/>
    <cellStyle name="강조색4 4" xfId="46413" hidden="1"/>
    <cellStyle name="강조색4 4" xfId="46453" hidden="1"/>
    <cellStyle name="강조색4 4" xfId="45899" hidden="1"/>
    <cellStyle name="강조색4 4" xfId="45858" hidden="1"/>
    <cellStyle name="강조색4 4" xfId="46495" hidden="1"/>
    <cellStyle name="강조색4 4" xfId="46537" hidden="1"/>
    <cellStyle name="강조색4 4" xfId="46579" hidden="1"/>
    <cellStyle name="강조색4 4" xfId="46621" hidden="1"/>
    <cellStyle name="강조색4 4" xfId="46663" hidden="1"/>
    <cellStyle name="강조색4 4" xfId="46705" hidden="1"/>
    <cellStyle name="강조색4 4" xfId="46747" hidden="1"/>
    <cellStyle name="강조색4 4" xfId="46789" hidden="1"/>
    <cellStyle name="강조색4 4" xfId="46831" hidden="1"/>
    <cellStyle name="강조색4 4" xfId="46873" hidden="1"/>
    <cellStyle name="강조색4 4" xfId="45952" hidden="1"/>
    <cellStyle name="강조색4 4" xfId="46901" hidden="1"/>
    <cellStyle name="강조색4 4" xfId="46941" hidden="1"/>
    <cellStyle name="강조색4 4" xfId="46981" hidden="1"/>
    <cellStyle name="강조색4 4" xfId="47021" hidden="1"/>
    <cellStyle name="강조색4 4" xfId="47061" hidden="1"/>
    <cellStyle name="강조색4 4" xfId="47101" hidden="1"/>
    <cellStyle name="강조색4 4" xfId="47141" hidden="1"/>
    <cellStyle name="강조색4 4" xfId="47181" hidden="1"/>
    <cellStyle name="강조색4 4" xfId="47221" hidden="1"/>
    <cellStyle name="강조색4 4" xfId="47261" hidden="1"/>
    <cellStyle name="강조색4 4" xfId="47301" hidden="1"/>
    <cellStyle name="강조색4 4" xfId="47341" hidden="1"/>
    <cellStyle name="강조색4 4" xfId="42229" hidden="1"/>
    <cellStyle name="강조색4 4" xfId="47392" hidden="1"/>
    <cellStyle name="강조색4 4" xfId="47432" hidden="1"/>
    <cellStyle name="강조색4 4" xfId="47472" hidden="1"/>
    <cellStyle name="강조색4 4" xfId="47512" hidden="1"/>
    <cellStyle name="강조색4 4" xfId="47552" hidden="1"/>
    <cellStyle name="강조색4 4" xfId="47592" hidden="1"/>
    <cellStyle name="강조색4 4" xfId="47632" hidden="1"/>
    <cellStyle name="강조색4 4" xfId="47672" hidden="1"/>
    <cellStyle name="강조색4 4" xfId="47712" hidden="1"/>
    <cellStyle name="강조색4 4" xfId="47752" hidden="1"/>
    <cellStyle name="강조색4 4" xfId="47792" hidden="1"/>
    <cellStyle name="강조색4 4" xfId="47876" hidden="1"/>
    <cellStyle name="강조색4 4" xfId="47917" hidden="1"/>
    <cellStyle name="강조색4 4" xfId="47959" hidden="1"/>
    <cellStyle name="강조색4 4" xfId="48001" hidden="1"/>
    <cellStyle name="강조색4 4" xfId="48043" hidden="1"/>
    <cellStyle name="강조색4 4" xfId="48085" hidden="1"/>
    <cellStyle name="강조색4 4" xfId="48127" hidden="1"/>
    <cellStyle name="강조색4 4" xfId="48169" hidden="1"/>
    <cellStyle name="강조색4 4" xfId="48211" hidden="1"/>
    <cellStyle name="강조색4 4" xfId="48253" hidden="1"/>
    <cellStyle name="강조색4 4" xfId="48295" hidden="1"/>
    <cellStyle name="강조색4 4" xfId="48337" hidden="1"/>
    <cellStyle name="강조색4 4" xfId="47833" hidden="1"/>
    <cellStyle name="강조색4 4" xfId="48516" hidden="1"/>
    <cellStyle name="강조색4 4" xfId="48556" hidden="1"/>
    <cellStyle name="강조색4 4" xfId="48596" hidden="1"/>
    <cellStyle name="강조색4 4" xfId="48636" hidden="1"/>
    <cellStyle name="강조색4 4" xfId="48676" hidden="1"/>
    <cellStyle name="강조색4 4" xfId="48716" hidden="1"/>
    <cellStyle name="강조색4 4" xfId="48756" hidden="1"/>
    <cellStyle name="강조색4 4" xfId="48796" hidden="1"/>
    <cellStyle name="강조색4 4" xfId="48836" hidden="1"/>
    <cellStyle name="강조색4 4" xfId="48876" hidden="1"/>
    <cellStyle name="강조색4 4" xfId="48916" hidden="1"/>
    <cellStyle name="강조색4 4" xfId="48956" hidden="1"/>
    <cellStyle name="강조색4 4" xfId="48402" hidden="1"/>
    <cellStyle name="강조색4 4" xfId="48361" hidden="1"/>
    <cellStyle name="강조색4 4" xfId="48998" hidden="1"/>
    <cellStyle name="강조색4 4" xfId="49040" hidden="1"/>
    <cellStyle name="강조색4 4" xfId="49082" hidden="1"/>
    <cellStyle name="강조색4 4" xfId="49124" hidden="1"/>
    <cellStyle name="강조색4 4" xfId="49166" hidden="1"/>
    <cellStyle name="강조색4 4" xfId="49208" hidden="1"/>
    <cellStyle name="강조색4 4" xfId="49250" hidden="1"/>
    <cellStyle name="강조색4 4" xfId="49292" hidden="1"/>
    <cellStyle name="강조색4 4" xfId="49334" hidden="1"/>
    <cellStyle name="강조색4 4" xfId="49376" hidden="1"/>
    <cellStyle name="강조색4 4" xfId="48455" hidden="1"/>
    <cellStyle name="강조색4 4" xfId="49404" hidden="1"/>
    <cellStyle name="강조색4 4" xfId="49444" hidden="1"/>
    <cellStyle name="강조색4 4" xfId="49484" hidden="1"/>
    <cellStyle name="강조색4 4" xfId="49524" hidden="1"/>
    <cellStyle name="강조색4 4" xfId="49564" hidden="1"/>
    <cellStyle name="강조색4 4" xfId="49604" hidden="1"/>
    <cellStyle name="강조색4 4" xfId="49644" hidden="1"/>
    <cellStyle name="강조색4 4" xfId="49684" hidden="1"/>
    <cellStyle name="강조색4 4" xfId="49724" hidden="1"/>
    <cellStyle name="강조색4 4" xfId="49764" hidden="1"/>
    <cellStyle name="강조색4 4" xfId="49804" hidden="1"/>
    <cellStyle name="강조색4 4" xfId="49844" hidden="1"/>
    <cellStyle name="강조색4 4" xfId="44805" hidden="1"/>
    <cellStyle name="강조색4 4" xfId="49894" hidden="1"/>
    <cellStyle name="강조색4 4" xfId="49934" hidden="1"/>
    <cellStyle name="강조색4 4" xfId="49974" hidden="1"/>
    <cellStyle name="강조색4 4" xfId="50014" hidden="1"/>
    <cellStyle name="강조색4 4" xfId="50054" hidden="1"/>
    <cellStyle name="강조색4 4" xfId="50094" hidden="1"/>
    <cellStyle name="강조색4 4" xfId="50134" hidden="1"/>
    <cellStyle name="강조색4 4" xfId="50174" hidden="1"/>
    <cellStyle name="강조색4 4" xfId="50214" hidden="1"/>
    <cellStyle name="강조색4 4" xfId="50254" hidden="1"/>
    <cellStyle name="강조색4 4" xfId="50294" hidden="1"/>
    <cellStyle name="강조색4 4" xfId="50378" hidden="1"/>
    <cellStyle name="강조색4 4" xfId="50419" hidden="1"/>
    <cellStyle name="강조색4 4" xfId="50461" hidden="1"/>
    <cellStyle name="강조색4 4" xfId="50503" hidden="1"/>
    <cellStyle name="강조색4 4" xfId="50545" hidden="1"/>
    <cellStyle name="강조색4 4" xfId="50587" hidden="1"/>
    <cellStyle name="강조색4 4" xfId="50629" hidden="1"/>
    <cellStyle name="강조색4 4" xfId="50671" hidden="1"/>
    <cellStyle name="강조색4 4" xfId="50713" hidden="1"/>
    <cellStyle name="강조색4 4" xfId="50755" hidden="1"/>
    <cellStyle name="강조색4 4" xfId="50797" hidden="1"/>
    <cellStyle name="강조색4 4" xfId="50839" hidden="1"/>
    <cellStyle name="강조색4 4" xfId="50335" hidden="1"/>
    <cellStyle name="강조색4 4" xfId="51018" hidden="1"/>
    <cellStyle name="강조색4 4" xfId="51058" hidden="1"/>
    <cellStyle name="강조색4 4" xfId="51098" hidden="1"/>
    <cellStyle name="강조색4 4" xfId="51138" hidden="1"/>
    <cellStyle name="강조색4 4" xfId="51178" hidden="1"/>
    <cellStyle name="강조색4 4" xfId="51218" hidden="1"/>
    <cellStyle name="강조색4 4" xfId="51258" hidden="1"/>
    <cellStyle name="강조색4 4" xfId="51298" hidden="1"/>
    <cellStyle name="강조색4 4" xfId="51338" hidden="1"/>
    <cellStyle name="강조색4 4" xfId="51378" hidden="1"/>
    <cellStyle name="강조색4 4" xfId="51418" hidden="1"/>
    <cellStyle name="강조색4 4" xfId="51458" hidden="1"/>
    <cellStyle name="강조색4 4" xfId="50904" hidden="1"/>
    <cellStyle name="강조색4 4" xfId="50863" hidden="1"/>
    <cellStyle name="강조색4 4" xfId="51500" hidden="1"/>
    <cellStyle name="강조색4 4" xfId="51542" hidden="1"/>
    <cellStyle name="강조색4 4" xfId="51584" hidden="1"/>
    <cellStyle name="강조색4 4" xfId="51626" hidden="1"/>
    <cellStyle name="강조색4 4" xfId="51668" hidden="1"/>
    <cellStyle name="강조색4 4" xfId="51710" hidden="1"/>
    <cellStyle name="강조색4 4" xfId="51752" hidden="1"/>
    <cellStyle name="강조색4 4" xfId="51794" hidden="1"/>
    <cellStyle name="강조색4 4" xfId="51836" hidden="1"/>
    <cellStyle name="강조색4 4" xfId="51878" hidden="1"/>
    <cellStyle name="강조색4 4" xfId="50957" hidden="1"/>
    <cellStyle name="강조색4 4" xfId="51906" hidden="1"/>
    <cellStyle name="강조색4 4" xfId="51946" hidden="1"/>
    <cellStyle name="강조색4 4" xfId="51986" hidden="1"/>
    <cellStyle name="강조색4 4" xfId="52026" hidden="1"/>
    <cellStyle name="강조색4 4" xfId="52066" hidden="1"/>
    <cellStyle name="강조색4 4" xfId="52106" hidden="1"/>
    <cellStyle name="강조색4 4" xfId="52146" hidden="1"/>
    <cellStyle name="강조색4 4" xfId="52186" hidden="1"/>
    <cellStyle name="강조색4 4" xfId="52226" hidden="1"/>
    <cellStyle name="강조색4 4" xfId="52266" hidden="1"/>
    <cellStyle name="강조색4 4" xfId="52306" hidden="1"/>
    <cellStyle name="강조색4 4" xfId="52346" hidden="1"/>
    <cellStyle name="강조색4 4 2" xfId="4866"/>
    <cellStyle name="강조색4 4 3" xfId="4867"/>
    <cellStyle name="강조색4 4 4" xfId="4868"/>
    <cellStyle name="강조색4 4 5" xfId="4869"/>
    <cellStyle name="강조색4 40" xfId="4870"/>
    <cellStyle name="강조색4 41" xfId="4871"/>
    <cellStyle name="강조색4 42" xfId="4872"/>
    <cellStyle name="강조색4 43" xfId="4873"/>
    <cellStyle name="강조색4 44" xfId="4874"/>
    <cellStyle name="강조색4 45" xfId="4875"/>
    <cellStyle name="강조색4 46" xfId="4876"/>
    <cellStyle name="강조색4 47" xfId="4877"/>
    <cellStyle name="강조색4 48" xfId="4878"/>
    <cellStyle name="강조색4 49" xfId="4879"/>
    <cellStyle name="강조색4 5" xfId="4880"/>
    <cellStyle name="강조색4 50" xfId="4881"/>
    <cellStyle name="강조색4 51" xfId="4882"/>
    <cellStyle name="강조색4 52" xfId="4883"/>
    <cellStyle name="강조색4 6" xfId="4884"/>
    <cellStyle name="강조색4 7" xfId="4885"/>
    <cellStyle name="강조색4 8" xfId="4886"/>
    <cellStyle name="강조색4 9" xfId="4887"/>
    <cellStyle name="강조색5 10" xfId="4888"/>
    <cellStyle name="강조색5 11" xfId="4889"/>
    <cellStyle name="강조색5 12" xfId="4890"/>
    <cellStyle name="강조색5 13" xfId="4891"/>
    <cellStyle name="강조색5 14" xfId="4892"/>
    <cellStyle name="강조색5 15" xfId="4893"/>
    <cellStyle name="강조색5 16" xfId="4894"/>
    <cellStyle name="강조색5 17" xfId="4895"/>
    <cellStyle name="강조색5 18" xfId="4896"/>
    <cellStyle name="강조색5 19" xfId="4897"/>
    <cellStyle name="강조색5 2" xfId="354"/>
    <cellStyle name="강조색5 2 10" xfId="4898"/>
    <cellStyle name="강조색5 2 100" xfId="4899"/>
    <cellStyle name="강조색5 2 101" xfId="4900"/>
    <cellStyle name="강조색5 2 102" xfId="4901"/>
    <cellStyle name="강조색5 2 103" xfId="4902"/>
    <cellStyle name="강조색5 2 104" xfId="4903"/>
    <cellStyle name="강조색5 2 105" xfId="4904"/>
    <cellStyle name="강조색5 2 106" xfId="4905"/>
    <cellStyle name="강조색5 2 107" xfId="4906"/>
    <cellStyle name="강조색5 2 108" xfId="4907"/>
    <cellStyle name="강조색5 2 109" xfId="4908"/>
    <cellStyle name="강조색5 2 11" xfId="4909"/>
    <cellStyle name="강조색5 2 110" xfId="4910"/>
    <cellStyle name="강조색5 2 111" xfId="4911"/>
    <cellStyle name="강조색5 2 112" xfId="4912"/>
    <cellStyle name="강조색5 2 12" xfId="4913"/>
    <cellStyle name="강조색5 2 13" xfId="4914"/>
    <cellStyle name="강조색5 2 14" xfId="4915"/>
    <cellStyle name="강조색5 2 15" xfId="4916"/>
    <cellStyle name="강조색5 2 16" xfId="4917"/>
    <cellStyle name="강조색5 2 17" xfId="4918"/>
    <cellStyle name="강조색5 2 18" xfId="4919"/>
    <cellStyle name="강조색5 2 19" xfId="4920"/>
    <cellStyle name="강조색5 2 2" xfId="4921"/>
    <cellStyle name="강조색5 2 2 2" xfId="4922"/>
    <cellStyle name="강조색5 2 2 3" xfId="4923"/>
    <cellStyle name="강조색5 2 2 4" xfId="4924"/>
    <cellStyle name="강조색5 2 2 5" xfId="4925"/>
    <cellStyle name="강조색5 2 20" xfId="4926"/>
    <cellStyle name="강조색5 2 21" xfId="4927"/>
    <cellStyle name="강조색5 2 22" xfId="4928"/>
    <cellStyle name="강조색5 2 23" xfId="4929"/>
    <cellStyle name="강조색5 2 24" xfId="4930"/>
    <cellStyle name="강조색5 2 25" xfId="4931"/>
    <cellStyle name="강조색5 2 26" xfId="4932"/>
    <cellStyle name="강조색5 2 27" xfId="4933"/>
    <cellStyle name="강조색5 2 28" xfId="4934"/>
    <cellStyle name="강조색5 2 29" xfId="4935"/>
    <cellStyle name="강조색5 2 3" xfId="4936"/>
    <cellStyle name="강조색5 2 30" xfId="4937"/>
    <cellStyle name="강조색5 2 31" xfId="4938"/>
    <cellStyle name="강조색5 2 32" xfId="4939"/>
    <cellStyle name="강조색5 2 33" xfId="4940"/>
    <cellStyle name="강조색5 2 34" xfId="4941"/>
    <cellStyle name="강조색5 2 35" xfId="4942"/>
    <cellStyle name="강조색5 2 36" xfId="4943"/>
    <cellStyle name="강조색5 2 37" xfId="4944"/>
    <cellStyle name="강조색5 2 38" xfId="4945"/>
    <cellStyle name="강조색5 2 39" xfId="4946"/>
    <cellStyle name="강조색5 2 4" xfId="4947"/>
    <cellStyle name="강조색5 2 40" xfId="4948"/>
    <cellStyle name="강조색5 2 41" xfId="4949"/>
    <cellStyle name="강조색5 2 42" xfId="4950"/>
    <cellStyle name="강조색5 2 43" xfId="4951"/>
    <cellStyle name="강조색5 2 44" xfId="4952"/>
    <cellStyle name="강조색5 2 45" xfId="4953"/>
    <cellStyle name="강조색5 2 46" xfId="4954"/>
    <cellStyle name="강조색5 2 47" xfId="4955"/>
    <cellStyle name="강조색5 2 48" xfId="4956"/>
    <cellStyle name="강조색5 2 49" xfId="4957"/>
    <cellStyle name="강조색5 2 5" xfId="4958"/>
    <cellStyle name="강조색5 2 50" xfId="4959"/>
    <cellStyle name="강조색5 2 51" xfId="4960"/>
    <cellStyle name="강조색5 2 52" xfId="4961"/>
    <cellStyle name="강조색5 2 53" xfId="4962"/>
    <cellStyle name="강조색5 2 54" xfId="4963"/>
    <cellStyle name="강조색5 2 55" xfId="4964"/>
    <cellStyle name="강조색5 2 56" xfId="4965"/>
    <cellStyle name="강조색5 2 57" xfId="4966"/>
    <cellStyle name="강조색5 2 58" xfId="4967"/>
    <cellStyle name="강조색5 2 59" xfId="4968"/>
    <cellStyle name="강조색5 2 6" xfId="4969"/>
    <cellStyle name="강조색5 2 60" xfId="4970"/>
    <cellStyle name="강조색5 2 61" xfId="4971"/>
    <cellStyle name="강조색5 2 62" xfId="4972"/>
    <cellStyle name="강조색5 2 63" xfId="4973"/>
    <cellStyle name="강조색5 2 64" xfId="4974"/>
    <cellStyle name="강조색5 2 65" xfId="4975"/>
    <cellStyle name="강조색5 2 66" xfId="4976"/>
    <cellStyle name="강조색5 2 67" xfId="4977"/>
    <cellStyle name="강조색5 2 68" xfId="4978"/>
    <cellStyle name="강조색5 2 69" xfId="4979"/>
    <cellStyle name="강조색5 2 7" xfId="4980"/>
    <cellStyle name="강조색5 2 70" xfId="4981"/>
    <cellStyle name="강조색5 2 71" xfId="4982"/>
    <cellStyle name="강조색5 2 72" xfId="4983"/>
    <cellStyle name="강조색5 2 73" xfId="4984"/>
    <cellStyle name="강조색5 2 74" xfId="4985"/>
    <cellStyle name="강조색5 2 75" xfId="4986"/>
    <cellStyle name="강조색5 2 76" xfId="4987"/>
    <cellStyle name="강조색5 2 77" xfId="4988"/>
    <cellStyle name="강조색5 2 78" xfId="4989"/>
    <cellStyle name="강조색5 2 79" xfId="4990"/>
    <cellStyle name="강조색5 2 8" xfId="4991"/>
    <cellStyle name="강조색5 2 80" xfId="4992"/>
    <cellStyle name="강조색5 2 81" xfId="4993"/>
    <cellStyle name="강조색5 2 82" xfId="4994"/>
    <cellStyle name="강조색5 2 83" xfId="4995"/>
    <cellStyle name="강조색5 2 84" xfId="4996"/>
    <cellStyle name="강조색5 2 85" xfId="4997"/>
    <cellStyle name="강조색5 2 86" xfId="4998"/>
    <cellStyle name="강조색5 2 87" xfId="4999"/>
    <cellStyle name="강조색5 2 88" xfId="5000"/>
    <cellStyle name="강조색5 2 89" xfId="5001"/>
    <cellStyle name="강조색5 2 9" xfId="5002"/>
    <cellStyle name="강조색5 2 90" xfId="5003"/>
    <cellStyle name="강조색5 2 91" xfId="5004"/>
    <cellStyle name="강조색5 2 92" xfId="5005"/>
    <cellStyle name="강조색5 2 93" xfId="5006"/>
    <cellStyle name="강조색5 2 94" xfId="5007"/>
    <cellStyle name="강조색5 2 95" xfId="5008"/>
    <cellStyle name="강조색5 2 96" xfId="5009"/>
    <cellStyle name="강조색5 2 97" xfId="5010"/>
    <cellStyle name="강조색5 2 98" xfId="5011"/>
    <cellStyle name="강조색5 2 99" xfId="5012"/>
    <cellStyle name="강조색5 20" xfId="5013"/>
    <cellStyle name="강조색5 21" xfId="5014"/>
    <cellStyle name="강조색5 22" xfId="5015"/>
    <cellStyle name="강조색5 23" xfId="5016"/>
    <cellStyle name="강조색5 24" xfId="5017"/>
    <cellStyle name="강조색5 25" xfId="5018"/>
    <cellStyle name="강조색5 26" xfId="5019"/>
    <cellStyle name="강조색5 27" xfId="5020"/>
    <cellStyle name="강조색5 28" xfId="5021"/>
    <cellStyle name="강조색5 29" xfId="5022"/>
    <cellStyle name="강조색5 3" xfId="355"/>
    <cellStyle name="강조색5 30" xfId="5023"/>
    <cellStyle name="강조색5 31" xfId="5024"/>
    <cellStyle name="강조색5 32" xfId="5025"/>
    <cellStyle name="강조색5 33" xfId="5026"/>
    <cellStyle name="강조색5 34" xfId="5027"/>
    <cellStyle name="강조색5 35" xfId="5028"/>
    <cellStyle name="강조색5 36" xfId="5029"/>
    <cellStyle name="강조색5 37" xfId="5030"/>
    <cellStyle name="강조색5 38" xfId="5031"/>
    <cellStyle name="강조색5 39" xfId="5032"/>
    <cellStyle name="강조색5 4" xfId="11740" hidden="1"/>
    <cellStyle name="강조색5 4" xfId="11786" hidden="1"/>
    <cellStyle name="강조색5 4" xfId="11832" hidden="1"/>
    <cellStyle name="강조색5 4" xfId="11878" hidden="1"/>
    <cellStyle name="강조색5 4" xfId="11924" hidden="1"/>
    <cellStyle name="강조색5 4" xfId="11970" hidden="1"/>
    <cellStyle name="강조색5 4" xfId="12016" hidden="1"/>
    <cellStyle name="강조색5 4" xfId="12062" hidden="1"/>
    <cellStyle name="강조색5 4" xfId="12108" hidden="1"/>
    <cellStyle name="강조색5 4" xfId="12154" hidden="1"/>
    <cellStyle name="강조색5 4" xfId="12200" hidden="1"/>
    <cellStyle name="강조색5 4" xfId="12246" hidden="1"/>
    <cellStyle name="강조색5 4" xfId="12336" hidden="1"/>
    <cellStyle name="강조색5 4" xfId="12377" hidden="1"/>
    <cellStyle name="강조색5 4" xfId="12419" hidden="1"/>
    <cellStyle name="강조색5 4" xfId="12461" hidden="1"/>
    <cellStyle name="강조색5 4" xfId="12503" hidden="1"/>
    <cellStyle name="강조색5 4" xfId="12545" hidden="1"/>
    <cellStyle name="강조색5 4" xfId="12587" hidden="1"/>
    <cellStyle name="강조색5 4" xfId="12629" hidden="1"/>
    <cellStyle name="강조색5 4" xfId="12671" hidden="1"/>
    <cellStyle name="강조색5 4" xfId="12713" hidden="1"/>
    <cellStyle name="강조색5 4" xfId="12755" hidden="1"/>
    <cellStyle name="강조색5 4" xfId="12797" hidden="1"/>
    <cellStyle name="강조색5 4" xfId="12291" hidden="1"/>
    <cellStyle name="강조색5 4" xfId="12979" hidden="1"/>
    <cellStyle name="강조색5 4" xfId="13019" hidden="1"/>
    <cellStyle name="강조색5 4" xfId="13059" hidden="1"/>
    <cellStyle name="강조색5 4" xfId="13099" hidden="1"/>
    <cellStyle name="강조색5 4" xfId="13139" hidden="1"/>
    <cellStyle name="강조색5 4" xfId="13179" hidden="1"/>
    <cellStyle name="강조색5 4" xfId="13219" hidden="1"/>
    <cellStyle name="강조색5 4" xfId="13259" hidden="1"/>
    <cellStyle name="강조색5 4" xfId="13299" hidden="1"/>
    <cellStyle name="강조색5 4" xfId="13339" hidden="1"/>
    <cellStyle name="강조색5 4" xfId="13379" hidden="1"/>
    <cellStyle name="강조색5 4" xfId="13419" hidden="1"/>
    <cellStyle name="강조색5 4" xfId="12855" hidden="1"/>
    <cellStyle name="강조색5 4" xfId="12816" hidden="1"/>
    <cellStyle name="강조색5 4" xfId="13461" hidden="1"/>
    <cellStyle name="강조색5 4" xfId="13503" hidden="1"/>
    <cellStyle name="강조색5 4" xfId="13545" hidden="1"/>
    <cellStyle name="강조색5 4" xfId="13587" hidden="1"/>
    <cellStyle name="강조색5 4" xfId="13629" hidden="1"/>
    <cellStyle name="강조색5 4" xfId="13671" hidden="1"/>
    <cellStyle name="강조색5 4" xfId="13713" hidden="1"/>
    <cellStyle name="강조색5 4" xfId="13755" hidden="1"/>
    <cellStyle name="강조색5 4" xfId="13797" hidden="1"/>
    <cellStyle name="강조색5 4" xfId="13839" hidden="1"/>
    <cellStyle name="강조색5 4" xfId="12909" hidden="1"/>
    <cellStyle name="강조색5 4" xfId="13867" hidden="1"/>
    <cellStyle name="강조색5 4" xfId="13907" hidden="1"/>
    <cellStyle name="강조색5 4" xfId="13947" hidden="1"/>
    <cellStyle name="강조색5 4" xfId="13987" hidden="1"/>
    <cellStyle name="강조색5 4" xfId="14027" hidden="1"/>
    <cellStyle name="강조색5 4" xfId="14067" hidden="1"/>
    <cellStyle name="강조색5 4" xfId="14107" hidden="1"/>
    <cellStyle name="강조색5 4" xfId="14147" hidden="1"/>
    <cellStyle name="강조색5 4" xfId="14187" hidden="1"/>
    <cellStyle name="강조색5 4" xfId="14227" hidden="1"/>
    <cellStyle name="강조색5 4" xfId="14267" hidden="1"/>
    <cellStyle name="강조색5 4" xfId="14307" hidden="1"/>
    <cellStyle name="강조색5 4" xfId="14413" hidden="1"/>
    <cellStyle name="강조색5 4" xfId="14453" hidden="1"/>
    <cellStyle name="강조색5 4" xfId="14493" hidden="1"/>
    <cellStyle name="강조색5 4" xfId="14533" hidden="1"/>
    <cellStyle name="강조색5 4" xfId="14573" hidden="1"/>
    <cellStyle name="강조색5 4" xfId="14613" hidden="1"/>
    <cellStyle name="강조색5 4" xfId="14653" hidden="1"/>
    <cellStyle name="강조색5 4" xfId="14693" hidden="1"/>
    <cellStyle name="강조색5 4" xfId="14733" hidden="1"/>
    <cellStyle name="강조색5 4" xfId="14773" hidden="1"/>
    <cellStyle name="강조색5 4" xfId="14813" hidden="1"/>
    <cellStyle name="강조색5 4" xfId="14853" hidden="1"/>
    <cellStyle name="강조색5 4" xfId="14937" hidden="1"/>
    <cellStyle name="강조색5 4" xfId="14978" hidden="1"/>
    <cellStyle name="강조색5 4" xfId="15020" hidden="1"/>
    <cellStyle name="강조색5 4" xfId="15062" hidden="1"/>
    <cellStyle name="강조색5 4" xfId="15104" hidden="1"/>
    <cellStyle name="강조색5 4" xfId="15146" hidden="1"/>
    <cellStyle name="강조색5 4" xfId="15188" hidden="1"/>
    <cellStyle name="강조색5 4" xfId="15230" hidden="1"/>
    <cellStyle name="강조색5 4" xfId="15272" hidden="1"/>
    <cellStyle name="강조색5 4" xfId="15314" hidden="1"/>
    <cellStyle name="강조색5 4" xfId="15356" hidden="1"/>
    <cellStyle name="강조색5 4" xfId="15398" hidden="1"/>
    <cellStyle name="강조색5 4" xfId="14894" hidden="1"/>
    <cellStyle name="강조색5 4" xfId="15577" hidden="1"/>
    <cellStyle name="강조색5 4" xfId="15617" hidden="1"/>
    <cellStyle name="강조색5 4" xfId="15657" hidden="1"/>
    <cellStyle name="강조색5 4" xfId="15697" hidden="1"/>
    <cellStyle name="강조색5 4" xfId="15737" hidden="1"/>
    <cellStyle name="강조색5 4" xfId="15777" hidden="1"/>
    <cellStyle name="강조색5 4" xfId="15817" hidden="1"/>
    <cellStyle name="강조색5 4" xfId="15857" hidden="1"/>
    <cellStyle name="강조색5 4" xfId="15897" hidden="1"/>
    <cellStyle name="강조색5 4" xfId="15937" hidden="1"/>
    <cellStyle name="강조색5 4" xfId="15977" hidden="1"/>
    <cellStyle name="강조색5 4" xfId="16017" hidden="1"/>
    <cellStyle name="강조색5 4" xfId="15455" hidden="1"/>
    <cellStyle name="강조색5 4" xfId="15416" hidden="1"/>
    <cellStyle name="강조색5 4" xfId="16059" hidden="1"/>
    <cellStyle name="강조색5 4" xfId="16101" hidden="1"/>
    <cellStyle name="강조색5 4" xfId="16143" hidden="1"/>
    <cellStyle name="강조색5 4" xfId="16185" hidden="1"/>
    <cellStyle name="강조색5 4" xfId="16227" hidden="1"/>
    <cellStyle name="강조색5 4" xfId="16269" hidden="1"/>
    <cellStyle name="강조색5 4" xfId="16311" hidden="1"/>
    <cellStyle name="강조색5 4" xfId="16353" hidden="1"/>
    <cellStyle name="강조색5 4" xfId="16395" hidden="1"/>
    <cellStyle name="강조색5 4" xfId="16437" hidden="1"/>
    <cellStyle name="강조색5 4" xfId="15508" hidden="1"/>
    <cellStyle name="강조색5 4" xfId="16465" hidden="1"/>
    <cellStyle name="강조색5 4" xfId="16505" hidden="1"/>
    <cellStyle name="강조색5 4" xfId="16545" hidden="1"/>
    <cellStyle name="강조색5 4" xfId="16585" hidden="1"/>
    <cellStyle name="강조색5 4" xfId="16625" hidden="1"/>
    <cellStyle name="강조색5 4" xfId="16665" hidden="1"/>
    <cellStyle name="강조색5 4" xfId="16705" hidden="1"/>
    <cellStyle name="강조색5 4" xfId="16745" hidden="1"/>
    <cellStyle name="강조색5 4" xfId="16785" hidden="1"/>
    <cellStyle name="강조색5 4" xfId="16825" hidden="1"/>
    <cellStyle name="강조색5 4" xfId="16865" hidden="1"/>
    <cellStyle name="강조색5 4" xfId="16905" hidden="1"/>
    <cellStyle name="강조색5 4" xfId="16916" hidden="1"/>
    <cellStyle name="강조색5 4" xfId="16956" hidden="1"/>
    <cellStyle name="강조색5 4" xfId="16997" hidden="1"/>
    <cellStyle name="강조색5 4" xfId="17037" hidden="1"/>
    <cellStyle name="강조색5 4" xfId="17077" hidden="1"/>
    <cellStyle name="강조색5 4" xfId="17117" hidden="1"/>
    <cellStyle name="강조색5 4" xfId="17157" hidden="1"/>
    <cellStyle name="강조색5 4" xfId="17197" hidden="1"/>
    <cellStyle name="강조색5 4" xfId="17237" hidden="1"/>
    <cellStyle name="강조색5 4" xfId="17277" hidden="1"/>
    <cellStyle name="강조색5 4" xfId="17317" hidden="1"/>
    <cellStyle name="강조색5 4" xfId="17357" hidden="1"/>
    <cellStyle name="강조색5 4" xfId="17441" hidden="1"/>
    <cellStyle name="강조색5 4" xfId="17482" hidden="1"/>
    <cellStyle name="강조색5 4" xfId="17524" hidden="1"/>
    <cellStyle name="강조색5 4" xfId="17566" hidden="1"/>
    <cellStyle name="강조색5 4" xfId="17608" hidden="1"/>
    <cellStyle name="강조색5 4" xfId="17650" hidden="1"/>
    <cellStyle name="강조색5 4" xfId="17692" hidden="1"/>
    <cellStyle name="강조색5 4" xfId="17734" hidden="1"/>
    <cellStyle name="강조색5 4" xfId="17776" hidden="1"/>
    <cellStyle name="강조색5 4" xfId="17818" hidden="1"/>
    <cellStyle name="강조색5 4" xfId="17860" hidden="1"/>
    <cellStyle name="강조색5 4" xfId="17902" hidden="1"/>
    <cellStyle name="강조색5 4" xfId="17398" hidden="1"/>
    <cellStyle name="강조색5 4" xfId="18081" hidden="1"/>
    <cellStyle name="강조색5 4" xfId="18121" hidden="1"/>
    <cellStyle name="강조색5 4" xfId="18161" hidden="1"/>
    <cellStyle name="강조색5 4" xfId="18201" hidden="1"/>
    <cellStyle name="강조색5 4" xfId="18241" hidden="1"/>
    <cellStyle name="강조색5 4" xfId="18281" hidden="1"/>
    <cellStyle name="강조색5 4" xfId="18321" hidden="1"/>
    <cellStyle name="강조색5 4" xfId="18361" hidden="1"/>
    <cellStyle name="강조색5 4" xfId="18401" hidden="1"/>
    <cellStyle name="강조색5 4" xfId="18441" hidden="1"/>
    <cellStyle name="강조색5 4" xfId="18481" hidden="1"/>
    <cellStyle name="강조색5 4" xfId="18521" hidden="1"/>
    <cellStyle name="강조색5 4" xfId="17959" hidden="1"/>
    <cellStyle name="강조색5 4" xfId="17920" hidden="1"/>
    <cellStyle name="강조색5 4" xfId="18563" hidden="1"/>
    <cellStyle name="강조색5 4" xfId="18605" hidden="1"/>
    <cellStyle name="강조색5 4" xfId="18647" hidden="1"/>
    <cellStyle name="강조색5 4" xfId="18689" hidden="1"/>
    <cellStyle name="강조색5 4" xfId="18731" hidden="1"/>
    <cellStyle name="강조색5 4" xfId="18773" hidden="1"/>
    <cellStyle name="강조색5 4" xfId="18815" hidden="1"/>
    <cellStyle name="강조색5 4" xfId="18857" hidden="1"/>
    <cellStyle name="강조색5 4" xfId="18899" hidden="1"/>
    <cellStyle name="강조색5 4" xfId="18941" hidden="1"/>
    <cellStyle name="강조색5 4" xfId="18012" hidden="1"/>
    <cellStyle name="강조색5 4" xfId="18969" hidden="1"/>
    <cellStyle name="강조색5 4" xfId="19009" hidden="1"/>
    <cellStyle name="강조색5 4" xfId="19049" hidden="1"/>
    <cellStyle name="강조색5 4" xfId="19089" hidden="1"/>
    <cellStyle name="강조색5 4" xfId="19129" hidden="1"/>
    <cellStyle name="강조색5 4" xfId="19169" hidden="1"/>
    <cellStyle name="강조색5 4" xfId="19209" hidden="1"/>
    <cellStyle name="강조색5 4" xfId="19249" hidden="1"/>
    <cellStyle name="강조색5 4" xfId="19289" hidden="1"/>
    <cellStyle name="강조색5 4" xfId="19329" hidden="1"/>
    <cellStyle name="강조색5 4" xfId="19369" hidden="1"/>
    <cellStyle name="강조색5 4" xfId="19409" hidden="1"/>
    <cellStyle name="강조색5 4" xfId="19419" hidden="1"/>
    <cellStyle name="강조색5 4" xfId="19459" hidden="1"/>
    <cellStyle name="강조색5 4" xfId="19499" hidden="1"/>
    <cellStyle name="강조색5 4" xfId="19539" hidden="1"/>
    <cellStyle name="강조색5 4" xfId="19579" hidden="1"/>
    <cellStyle name="강조색5 4" xfId="19619" hidden="1"/>
    <cellStyle name="강조색5 4" xfId="19659" hidden="1"/>
    <cellStyle name="강조색5 4" xfId="19699" hidden="1"/>
    <cellStyle name="강조색5 4" xfId="19739" hidden="1"/>
    <cellStyle name="강조색5 4" xfId="19779" hidden="1"/>
    <cellStyle name="강조색5 4" xfId="19819" hidden="1"/>
    <cellStyle name="강조색5 4" xfId="19859" hidden="1"/>
    <cellStyle name="강조색5 4" xfId="19943" hidden="1"/>
    <cellStyle name="강조색5 4" xfId="19984" hidden="1"/>
    <cellStyle name="강조색5 4" xfId="20026" hidden="1"/>
    <cellStyle name="강조색5 4" xfId="20068" hidden="1"/>
    <cellStyle name="강조색5 4" xfId="20110" hidden="1"/>
    <cellStyle name="강조색5 4" xfId="20152" hidden="1"/>
    <cellStyle name="강조색5 4" xfId="20194" hidden="1"/>
    <cellStyle name="강조색5 4" xfId="20236" hidden="1"/>
    <cellStyle name="강조색5 4" xfId="20278" hidden="1"/>
    <cellStyle name="강조색5 4" xfId="20320" hidden="1"/>
    <cellStyle name="강조색5 4" xfId="20362" hidden="1"/>
    <cellStyle name="강조색5 4" xfId="20404" hidden="1"/>
    <cellStyle name="강조색5 4" xfId="19900" hidden="1"/>
    <cellStyle name="강조색5 4" xfId="20583" hidden="1"/>
    <cellStyle name="강조색5 4" xfId="20623" hidden="1"/>
    <cellStyle name="강조색5 4" xfId="20663" hidden="1"/>
    <cellStyle name="강조색5 4" xfId="20703" hidden="1"/>
    <cellStyle name="강조색5 4" xfId="20743" hidden="1"/>
    <cellStyle name="강조색5 4" xfId="20783" hidden="1"/>
    <cellStyle name="강조색5 4" xfId="20823" hidden="1"/>
    <cellStyle name="강조색5 4" xfId="20863" hidden="1"/>
    <cellStyle name="강조색5 4" xfId="20903" hidden="1"/>
    <cellStyle name="강조색5 4" xfId="20943" hidden="1"/>
    <cellStyle name="강조색5 4" xfId="20983" hidden="1"/>
    <cellStyle name="강조색5 4" xfId="21023" hidden="1"/>
    <cellStyle name="강조색5 4" xfId="20461" hidden="1"/>
    <cellStyle name="강조색5 4" xfId="20422" hidden="1"/>
    <cellStyle name="강조색5 4" xfId="21065" hidden="1"/>
    <cellStyle name="강조색5 4" xfId="21107" hidden="1"/>
    <cellStyle name="강조색5 4" xfId="21149" hidden="1"/>
    <cellStyle name="강조색5 4" xfId="21191" hidden="1"/>
    <cellStyle name="강조색5 4" xfId="21233" hidden="1"/>
    <cellStyle name="강조색5 4" xfId="21275" hidden="1"/>
    <cellStyle name="강조색5 4" xfId="21317" hidden="1"/>
    <cellStyle name="강조색5 4" xfId="21359" hidden="1"/>
    <cellStyle name="강조색5 4" xfId="21401" hidden="1"/>
    <cellStyle name="강조색5 4" xfId="21443" hidden="1"/>
    <cellStyle name="강조색5 4" xfId="20514" hidden="1"/>
    <cellStyle name="강조색5 4" xfId="21471" hidden="1"/>
    <cellStyle name="강조색5 4" xfId="21511" hidden="1"/>
    <cellStyle name="강조색5 4" xfId="21551" hidden="1"/>
    <cellStyle name="강조색5 4" xfId="21591" hidden="1"/>
    <cellStyle name="강조색5 4" xfId="21631" hidden="1"/>
    <cellStyle name="강조색5 4" xfId="21671" hidden="1"/>
    <cellStyle name="강조색5 4" xfId="21711" hidden="1"/>
    <cellStyle name="강조색5 4" xfId="21751" hidden="1"/>
    <cellStyle name="강조색5 4" xfId="21791" hidden="1"/>
    <cellStyle name="강조색5 4" xfId="21831" hidden="1"/>
    <cellStyle name="강조색5 4" xfId="21871" hidden="1"/>
    <cellStyle name="강조색5 4" xfId="21911" hidden="1"/>
    <cellStyle name="강조색5 4" xfId="21979" hidden="1"/>
    <cellStyle name="강조색5 4" xfId="22019" hidden="1"/>
    <cellStyle name="강조색5 4" xfId="22059" hidden="1"/>
    <cellStyle name="강조색5 4" xfId="22099" hidden="1"/>
    <cellStyle name="강조색5 4" xfId="22139" hidden="1"/>
    <cellStyle name="강조색5 4" xfId="22179" hidden="1"/>
    <cellStyle name="강조색5 4" xfId="22219" hidden="1"/>
    <cellStyle name="강조색5 4" xfId="22259" hidden="1"/>
    <cellStyle name="강조색5 4" xfId="22299" hidden="1"/>
    <cellStyle name="강조색5 4" xfId="22339" hidden="1"/>
    <cellStyle name="강조색5 4" xfId="22379" hidden="1"/>
    <cellStyle name="강조색5 4" xfId="22419" hidden="1"/>
    <cellStyle name="강조색5 4" xfId="22503" hidden="1"/>
    <cellStyle name="강조색5 4" xfId="22544" hidden="1"/>
    <cellStyle name="강조색5 4" xfId="22586" hidden="1"/>
    <cellStyle name="강조색5 4" xfId="22628" hidden="1"/>
    <cellStyle name="강조색5 4" xfId="22670" hidden="1"/>
    <cellStyle name="강조색5 4" xfId="22712" hidden="1"/>
    <cellStyle name="강조색5 4" xfId="22754" hidden="1"/>
    <cellStyle name="강조색5 4" xfId="22796" hidden="1"/>
    <cellStyle name="강조색5 4" xfId="22838" hidden="1"/>
    <cellStyle name="강조색5 4" xfId="22880" hidden="1"/>
    <cellStyle name="강조색5 4" xfId="22922" hidden="1"/>
    <cellStyle name="강조색5 4" xfId="22964" hidden="1"/>
    <cellStyle name="강조색5 4" xfId="22460" hidden="1"/>
    <cellStyle name="강조색5 4" xfId="23143" hidden="1"/>
    <cellStyle name="강조색5 4" xfId="23183" hidden="1"/>
    <cellStyle name="강조색5 4" xfId="23223" hidden="1"/>
    <cellStyle name="강조색5 4" xfId="23263" hidden="1"/>
    <cellStyle name="강조색5 4" xfId="23303" hidden="1"/>
    <cellStyle name="강조색5 4" xfId="23343" hidden="1"/>
    <cellStyle name="강조색5 4" xfId="23383" hidden="1"/>
    <cellStyle name="강조색5 4" xfId="23423" hidden="1"/>
    <cellStyle name="강조색5 4" xfId="23463" hidden="1"/>
    <cellStyle name="강조색5 4" xfId="23503" hidden="1"/>
    <cellStyle name="강조색5 4" xfId="23543" hidden="1"/>
    <cellStyle name="강조색5 4" xfId="23583" hidden="1"/>
    <cellStyle name="강조색5 4" xfId="23021" hidden="1"/>
    <cellStyle name="강조색5 4" xfId="22982" hidden="1"/>
    <cellStyle name="강조색5 4" xfId="23625" hidden="1"/>
    <cellStyle name="강조색5 4" xfId="23667" hidden="1"/>
    <cellStyle name="강조색5 4" xfId="23709" hidden="1"/>
    <cellStyle name="강조색5 4" xfId="23751" hidden="1"/>
    <cellStyle name="강조색5 4" xfId="23793" hidden="1"/>
    <cellStyle name="강조색5 4" xfId="23835" hidden="1"/>
    <cellStyle name="강조색5 4" xfId="23877" hidden="1"/>
    <cellStyle name="강조색5 4" xfId="23919" hidden="1"/>
    <cellStyle name="강조색5 4" xfId="23961" hidden="1"/>
    <cellStyle name="강조색5 4" xfId="24003" hidden="1"/>
    <cellStyle name="강조색5 4" xfId="23074" hidden="1"/>
    <cellStyle name="강조색5 4" xfId="24031" hidden="1"/>
    <cellStyle name="강조색5 4" xfId="24071" hidden="1"/>
    <cellStyle name="강조색5 4" xfId="24111" hidden="1"/>
    <cellStyle name="강조색5 4" xfId="24151" hidden="1"/>
    <cellStyle name="강조색5 4" xfId="24191" hidden="1"/>
    <cellStyle name="강조색5 4" xfId="24231" hidden="1"/>
    <cellStyle name="강조색5 4" xfId="24271" hidden="1"/>
    <cellStyle name="강조색5 4" xfId="24311" hidden="1"/>
    <cellStyle name="강조색5 4" xfId="24351" hidden="1"/>
    <cellStyle name="강조색5 4" xfId="24391" hidden="1"/>
    <cellStyle name="강조색5 4" xfId="24431" hidden="1"/>
    <cellStyle name="강조색5 4" xfId="24471" hidden="1"/>
    <cellStyle name="강조색5 4" xfId="24569" hidden="1"/>
    <cellStyle name="강조색5 4" xfId="24609" hidden="1"/>
    <cellStyle name="강조색5 4" xfId="24651" hidden="1"/>
    <cellStyle name="강조색5 4" xfId="24692" hidden="1"/>
    <cellStyle name="강조색5 4" xfId="24732" hidden="1"/>
    <cellStyle name="강조색5 4" xfId="24772" hidden="1"/>
    <cellStyle name="강조색5 4" xfId="24812" hidden="1"/>
    <cellStyle name="강조색5 4" xfId="24852" hidden="1"/>
    <cellStyle name="강조색5 4" xfId="24892" hidden="1"/>
    <cellStyle name="강조색5 4" xfId="24932" hidden="1"/>
    <cellStyle name="강조색5 4" xfId="24972" hidden="1"/>
    <cellStyle name="강조색5 4" xfId="25012" hidden="1"/>
    <cellStyle name="강조색5 4" xfId="25096" hidden="1"/>
    <cellStyle name="강조색5 4" xfId="25137" hidden="1"/>
    <cellStyle name="강조색5 4" xfId="25179" hidden="1"/>
    <cellStyle name="강조색5 4" xfId="25221" hidden="1"/>
    <cellStyle name="강조색5 4" xfId="25263" hidden="1"/>
    <cellStyle name="강조색5 4" xfId="25305" hidden="1"/>
    <cellStyle name="강조색5 4" xfId="25347" hidden="1"/>
    <cellStyle name="강조색5 4" xfId="25389" hidden="1"/>
    <cellStyle name="강조색5 4" xfId="25431" hidden="1"/>
    <cellStyle name="강조색5 4" xfId="25473" hidden="1"/>
    <cellStyle name="강조색5 4" xfId="25515" hidden="1"/>
    <cellStyle name="강조색5 4" xfId="25557" hidden="1"/>
    <cellStyle name="강조색5 4" xfId="25053" hidden="1"/>
    <cellStyle name="강조색5 4" xfId="25736" hidden="1"/>
    <cellStyle name="강조색5 4" xfId="25776" hidden="1"/>
    <cellStyle name="강조색5 4" xfId="25816" hidden="1"/>
    <cellStyle name="강조색5 4" xfId="25856" hidden="1"/>
    <cellStyle name="강조색5 4" xfId="25896" hidden="1"/>
    <cellStyle name="강조색5 4" xfId="25936" hidden="1"/>
    <cellStyle name="강조색5 4" xfId="25976" hidden="1"/>
    <cellStyle name="강조색5 4" xfId="26016" hidden="1"/>
    <cellStyle name="강조색5 4" xfId="26056" hidden="1"/>
    <cellStyle name="강조색5 4" xfId="26096" hidden="1"/>
    <cellStyle name="강조색5 4" xfId="26136" hidden="1"/>
    <cellStyle name="강조색5 4" xfId="26176" hidden="1"/>
    <cellStyle name="강조색5 4" xfId="25614" hidden="1"/>
    <cellStyle name="강조색5 4" xfId="25575" hidden="1"/>
    <cellStyle name="강조색5 4" xfId="26218" hidden="1"/>
    <cellStyle name="강조색5 4" xfId="26260" hidden="1"/>
    <cellStyle name="강조색5 4" xfId="26302" hidden="1"/>
    <cellStyle name="강조색5 4" xfId="26344" hidden="1"/>
    <cellStyle name="강조색5 4" xfId="26386" hidden="1"/>
    <cellStyle name="강조색5 4" xfId="26428" hidden="1"/>
    <cellStyle name="강조색5 4" xfId="26470" hidden="1"/>
    <cellStyle name="강조색5 4" xfId="26512" hidden="1"/>
    <cellStyle name="강조색5 4" xfId="26554" hidden="1"/>
    <cellStyle name="강조색5 4" xfId="26596" hidden="1"/>
    <cellStyle name="강조색5 4" xfId="25667" hidden="1"/>
    <cellStyle name="강조색5 4" xfId="26624" hidden="1"/>
    <cellStyle name="강조색5 4" xfId="26664" hidden="1"/>
    <cellStyle name="강조색5 4" xfId="26704" hidden="1"/>
    <cellStyle name="강조색5 4" xfId="26744" hidden="1"/>
    <cellStyle name="강조색5 4" xfId="26784" hidden="1"/>
    <cellStyle name="강조색5 4" xfId="26824" hidden="1"/>
    <cellStyle name="강조색5 4" xfId="26864" hidden="1"/>
    <cellStyle name="강조색5 4" xfId="26904" hidden="1"/>
    <cellStyle name="강조색5 4" xfId="26944" hidden="1"/>
    <cellStyle name="강조색5 4" xfId="26984" hidden="1"/>
    <cellStyle name="강조색5 4" xfId="27024" hidden="1"/>
    <cellStyle name="강조색5 4" xfId="27064" hidden="1"/>
    <cellStyle name="강조색5 4" xfId="27075" hidden="1"/>
    <cellStyle name="강조색5 4" xfId="27115" hidden="1"/>
    <cellStyle name="강조색5 4" xfId="27155" hidden="1"/>
    <cellStyle name="강조색5 4" xfId="27195" hidden="1"/>
    <cellStyle name="강조색5 4" xfId="27235" hidden="1"/>
    <cellStyle name="강조색5 4" xfId="27275" hidden="1"/>
    <cellStyle name="강조색5 4" xfId="27315" hidden="1"/>
    <cellStyle name="강조색5 4" xfId="27355" hidden="1"/>
    <cellStyle name="강조색5 4" xfId="27395" hidden="1"/>
    <cellStyle name="강조색5 4" xfId="27435" hidden="1"/>
    <cellStyle name="강조색5 4" xfId="27475" hidden="1"/>
    <cellStyle name="강조색5 4" xfId="27515" hidden="1"/>
    <cellStyle name="강조색5 4" xfId="27599" hidden="1"/>
    <cellStyle name="강조색5 4" xfId="27640" hidden="1"/>
    <cellStyle name="강조색5 4" xfId="27682" hidden="1"/>
    <cellStyle name="강조색5 4" xfId="27724" hidden="1"/>
    <cellStyle name="강조색5 4" xfId="27766" hidden="1"/>
    <cellStyle name="강조색5 4" xfId="27808" hidden="1"/>
    <cellStyle name="강조색5 4" xfId="27850" hidden="1"/>
    <cellStyle name="강조색5 4" xfId="27892" hidden="1"/>
    <cellStyle name="강조색5 4" xfId="27934" hidden="1"/>
    <cellStyle name="강조색5 4" xfId="27976" hidden="1"/>
    <cellStyle name="강조색5 4" xfId="28018" hidden="1"/>
    <cellStyle name="강조색5 4" xfId="28060" hidden="1"/>
    <cellStyle name="강조색5 4" xfId="27556" hidden="1"/>
    <cellStyle name="강조색5 4" xfId="28239" hidden="1"/>
    <cellStyle name="강조색5 4" xfId="28279" hidden="1"/>
    <cellStyle name="강조색5 4" xfId="28319" hidden="1"/>
    <cellStyle name="강조색5 4" xfId="28359" hidden="1"/>
    <cellStyle name="강조색5 4" xfId="28399" hidden="1"/>
    <cellStyle name="강조색5 4" xfId="28439" hidden="1"/>
    <cellStyle name="강조색5 4" xfId="28479" hidden="1"/>
    <cellStyle name="강조색5 4" xfId="28519" hidden="1"/>
    <cellStyle name="강조색5 4" xfId="28559" hidden="1"/>
    <cellStyle name="강조색5 4" xfId="28599" hidden="1"/>
    <cellStyle name="강조색5 4" xfId="28639" hidden="1"/>
    <cellStyle name="강조색5 4" xfId="28679" hidden="1"/>
    <cellStyle name="강조색5 4" xfId="28117" hidden="1"/>
    <cellStyle name="강조색5 4" xfId="28078" hidden="1"/>
    <cellStyle name="강조색5 4" xfId="28721" hidden="1"/>
    <cellStyle name="강조색5 4" xfId="28763" hidden="1"/>
    <cellStyle name="강조색5 4" xfId="28805" hidden="1"/>
    <cellStyle name="강조색5 4" xfId="28847" hidden="1"/>
    <cellStyle name="강조색5 4" xfId="28889" hidden="1"/>
    <cellStyle name="강조색5 4" xfId="28931" hidden="1"/>
    <cellStyle name="강조색5 4" xfId="28973" hidden="1"/>
    <cellStyle name="강조색5 4" xfId="29015" hidden="1"/>
    <cellStyle name="강조색5 4" xfId="29057" hidden="1"/>
    <cellStyle name="강조색5 4" xfId="29099" hidden="1"/>
    <cellStyle name="강조색5 4" xfId="28170" hidden="1"/>
    <cellStyle name="강조색5 4" xfId="29127" hidden="1"/>
    <cellStyle name="강조색5 4" xfId="29167" hidden="1"/>
    <cellStyle name="강조색5 4" xfId="29207" hidden="1"/>
    <cellStyle name="강조색5 4" xfId="29247" hidden="1"/>
    <cellStyle name="강조색5 4" xfId="29287" hidden="1"/>
    <cellStyle name="강조색5 4" xfId="29327" hidden="1"/>
    <cellStyle name="강조색5 4" xfId="29367" hidden="1"/>
    <cellStyle name="강조색5 4" xfId="29407" hidden="1"/>
    <cellStyle name="강조색5 4" xfId="29447" hidden="1"/>
    <cellStyle name="강조색5 4" xfId="29487" hidden="1"/>
    <cellStyle name="강조색5 4" xfId="29527" hidden="1"/>
    <cellStyle name="강조색5 4" xfId="29567" hidden="1"/>
    <cellStyle name="강조색5 4" xfId="29577" hidden="1"/>
    <cellStyle name="강조색5 4" xfId="29617" hidden="1"/>
    <cellStyle name="강조색5 4" xfId="29657" hidden="1"/>
    <cellStyle name="강조색5 4" xfId="29697" hidden="1"/>
    <cellStyle name="강조색5 4" xfId="29737" hidden="1"/>
    <cellStyle name="강조색5 4" xfId="29777" hidden="1"/>
    <cellStyle name="강조색5 4" xfId="29817" hidden="1"/>
    <cellStyle name="강조색5 4" xfId="29857" hidden="1"/>
    <cellStyle name="강조색5 4" xfId="29897" hidden="1"/>
    <cellStyle name="강조색5 4" xfId="29937" hidden="1"/>
    <cellStyle name="강조색5 4" xfId="29977" hidden="1"/>
    <cellStyle name="강조색5 4" xfId="30017" hidden="1"/>
    <cellStyle name="강조색5 4" xfId="30101" hidden="1"/>
    <cellStyle name="강조색5 4" xfId="30142" hidden="1"/>
    <cellStyle name="강조색5 4" xfId="30184" hidden="1"/>
    <cellStyle name="강조색5 4" xfId="30226" hidden="1"/>
    <cellStyle name="강조색5 4" xfId="30268" hidden="1"/>
    <cellStyle name="강조색5 4" xfId="30310" hidden="1"/>
    <cellStyle name="강조색5 4" xfId="30352" hidden="1"/>
    <cellStyle name="강조색5 4" xfId="30394" hidden="1"/>
    <cellStyle name="강조색5 4" xfId="30436" hidden="1"/>
    <cellStyle name="강조색5 4" xfId="30478" hidden="1"/>
    <cellStyle name="강조색5 4" xfId="30520" hidden="1"/>
    <cellStyle name="강조색5 4" xfId="30562" hidden="1"/>
    <cellStyle name="강조색5 4" xfId="30058" hidden="1"/>
    <cellStyle name="강조색5 4" xfId="30741" hidden="1"/>
    <cellStyle name="강조색5 4" xfId="30781" hidden="1"/>
    <cellStyle name="강조색5 4" xfId="30821" hidden="1"/>
    <cellStyle name="강조색5 4" xfId="30861" hidden="1"/>
    <cellStyle name="강조색5 4" xfId="30901" hidden="1"/>
    <cellStyle name="강조색5 4" xfId="30941" hidden="1"/>
    <cellStyle name="강조색5 4" xfId="30981" hidden="1"/>
    <cellStyle name="강조색5 4" xfId="31021" hidden="1"/>
    <cellStyle name="강조색5 4" xfId="31061" hidden="1"/>
    <cellStyle name="강조색5 4" xfId="31101" hidden="1"/>
    <cellStyle name="강조색5 4" xfId="31141" hidden="1"/>
    <cellStyle name="강조색5 4" xfId="31181" hidden="1"/>
    <cellStyle name="강조색5 4" xfId="30619" hidden="1"/>
    <cellStyle name="강조색5 4" xfId="30580" hidden="1"/>
    <cellStyle name="강조색5 4" xfId="31223" hidden="1"/>
    <cellStyle name="강조색5 4" xfId="31265" hidden="1"/>
    <cellStyle name="강조색5 4" xfId="31307" hidden="1"/>
    <cellStyle name="강조색5 4" xfId="31349" hidden="1"/>
    <cellStyle name="강조색5 4" xfId="31391" hidden="1"/>
    <cellStyle name="강조색5 4" xfId="31433" hidden="1"/>
    <cellStyle name="강조색5 4" xfId="31475" hidden="1"/>
    <cellStyle name="강조색5 4" xfId="31517" hidden="1"/>
    <cellStyle name="강조색5 4" xfId="31559" hidden="1"/>
    <cellStyle name="강조색5 4" xfId="31601" hidden="1"/>
    <cellStyle name="강조색5 4" xfId="30672" hidden="1"/>
    <cellStyle name="강조색5 4" xfId="31629" hidden="1"/>
    <cellStyle name="강조색5 4" xfId="31669" hidden="1"/>
    <cellStyle name="강조색5 4" xfId="31709" hidden="1"/>
    <cellStyle name="강조색5 4" xfId="31749" hidden="1"/>
    <cellStyle name="강조색5 4" xfId="31789" hidden="1"/>
    <cellStyle name="강조색5 4" xfId="31829" hidden="1"/>
    <cellStyle name="강조색5 4" xfId="31869" hidden="1"/>
    <cellStyle name="강조색5 4" xfId="31909" hidden="1"/>
    <cellStyle name="강조색5 4" xfId="31949" hidden="1"/>
    <cellStyle name="강조색5 4" xfId="31989" hidden="1"/>
    <cellStyle name="강조색5 4" xfId="32029" hidden="1"/>
    <cellStyle name="강조색5 4" xfId="32069" hidden="1"/>
    <cellStyle name="강조색5 4" xfId="32131" hidden="1"/>
    <cellStyle name="강조색5 4" xfId="32171" hidden="1"/>
    <cellStyle name="강조색5 4" xfId="32211" hidden="1"/>
    <cellStyle name="강조색5 4" xfId="32251" hidden="1"/>
    <cellStyle name="강조색5 4" xfId="32291" hidden="1"/>
    <cellStyle name="강조색5 4" xfId="32331" hidden="1"/>
    <cellStyle name="강조색5 4" xfId="32371" hidden="1"/>
    <cellStyle name="강조색5 4" xfId="32411" hidden="1"/>
    <cellStyle name="강조색5 4" xfId="32451" hidden="1"/>
    <cellStyle name="강조색5 4" xfId="32491" hidden="1"/>
    <cellStyle name="강조색5 4" xfId="32531" hidden="1"/>
    <cellStyle name="강조색5 4" xfId="32571" hidden="1"/>
    <cellStyle name="강조색5 4" xfId="32656" hidden="1"/>
    <cellStyle name="강조색5 4" xfId="32697" hidden="1"/>
    <cellStyle name="강조색5 4" xfId="32739" hidden="1"/>
    <cellStyle name="강조색5 4" xfId="32781" hidden="1"/>
    <cellStyle name="강조색5 4" xfId="32823" hidden="1"/>
    <cellStyle name="강조색5 4" xfId="32865" hidden="1"/>
    <cellStyle name="강조색5 4" xfId="32907" hidden="1"/>
    <cellStyle name="강조색5 4" xfId="32949" hidden="1"/>
    <cellStyle name="강조색5 4" xfId="32991" hidden="1"/>
    <cellStyle name="강조색5 4" xfId="33033" hidden="1"/>
    <cellStyle name="강조색5 4" xfId="33075" hidden="1"/>
    <cellStyle name="강조색5 4" xfId="33117" hidden="1"/>
    <cellStyle name="강조색5 4" xfId="32613" hidden="1"/>
    <cellStyle name="강조색5 4" xfId="33296" hidden="1"/>
    <cellStyle name="강조색5 4" xfId="33336" hidden="1"/>
    <cellStyle name="강조색5 4" xfId="33376" hidden="1"/>
    <cellStyle name="강조색5 4" xfId="33416" hidden="1"/>
    <cellStyle name="강조색5 4" xfId="33456" hidden="1"/>
    <cellStyle name="강조색5 4" xfId="33496" hidden="1"/>
    <cellStyle name="강조색5 4" xfId="33536" hidden="1"/>
    <cellStyle name="강조색5 4" xfId="33576" hidden="1"/>
    <cellStyle name="강조색5 4" xfId="33616" hidden="1"/>
    <cellStyle name="강조색5 4" xfId="33656" hidden="1"/>
    <cellStyle name="강조색5 4" xfId="33696" hidden="1"/>
    <cellStyle name="강조색5 4" xfId="33736" hidden="1"/>
    <cellStyle name="강조색5 4" xfId="33174" hidden="1"/>
    <cellStyle name="강조색5 4" xfId="33135" hidden="1"/>
    <cellStyle name="강조색5 4" xfId="33778" hidden="1"/>
    <cellStyle name="강조색5 4" xfId="33820" hidden="1"/>
    <cellStyle name="강조색5 4" xfId="33862" hidden="1"/>
    <cellStyle name="강조색5 4" xfId="33904" hidden="1"/>
    <cellStyle name="강조색5 4" xfId="33946" hidden="1"/>
    <cellStyle name="강조색5 4" xfId="33988" hidden="1"/>
    <cellStyle name="강조색5 4" xfId="34030" hidden="1"/>
    <cellStyle name="강조색5 4" xfId="34072" hidden="1"/>
    <cellStyle name="강조색5 4" xfId="34114" hidden="1"/>
    <cellStyle name="강조색5 4" xfId="34156" hidden="1"/>
    <cellStyle name="강조색5 4" xfId="33227" hidden="1"/>
    <cellStyle name="강조색5 4" xfId="34184" hidden="1"/>
    <cellStyle name="강조색5 4" xfId="34224" hidden="1"/>
    <cellStyle name="강조색5 4" xfId="34264" hidden="1"/>
    <cellStyle name="강조색5 4" xfId="34304" hidden="1"/>
    <cellStyle name="강조색5 4" xfId="34344" hidden="1"/>
    <cellStyle name="강조색5 4" xfId="34384" hidden="1"/>
    <cellStyle name="강조색5 4" xfId="34424" hidden="1"/>
    <cellStyle name="강조색5 4" xfId="34464" hidden="1"/>
    <cellStyle name="강조색5 4" xfId="34504" hidden="1"/>
    <cellStyle name="강조색5 4" xfId="34544" hidden="1"/>
    <cellStyle name="강조색5 4" xfId="34584" hidden="1"/>
    <cellStyle name="강조색5 4" xfId="34624" hidden="1"/>
    <cellStyle name="강조색5 4" xfId="34721" hidden="1"/>
    <cellStyle name="강조색5 4" xfId="34761" hidden="1"/>
    <cellStyle name="강조색5 4" xfId="34801" hidden="1"/>
    <cellStyle name="강조색5 4" xfId="34841" hidden="1"/>
    <cellStyle name="강조색5 4" xfId="34881" hidden="1"/>
    <cellStyle name="강조색5 4" xfId="34921" hidden="1"/>
    <cellStyle name="강조색5 4" xfId="34961" hidden="1"/>
    <cellStyle name="강조색5 4" xfId="35001" hidden="1"/>
    <cellStyle name="강조색5 4" xfId="35041" hidden="1"/>
    <cellStyle name="강조색5 4" xfId="35081" hidden="1"/>
    <cellStyle name="강조색5 4" xfId="35121" hidden="1"/>
    <cellStyle name="강조색5 4" xfId="35161" hidden="1"/>
    <cellStyle name="강조색5 4" xfId="35245" hidden="1"/>
    <cellStyle name="강조색5 4" xfId="35286" hidden="1"/>
    <cellStyle name="강조색5 4" xfId="35328" hidden="1"/>
    <cellStyle name="강조색5 4" xfId="35370" hidden="1"/>
    <cellStyle name="강조색5 4" xfId="35412" hidden="1"/>
    <cellStyle name="강조색5 4" xfId="35454" hidden="1"/>
    <cellStyle name="강조색5 4" xfId="35496" hidden="1"/>
    <cellStyle name="강조색5 4" xfId="35538" hidden="1"/>
    <cellStyle name="강조색5 4" xfId="35580" hidden="1"/>
    <cellStyle name="강조색5 4" xfId="35622" hidden="1"/>
    <cellStyle name="강조색5 4" xfId="35664" hidden="1"/>
    <cellStyle name="강조색5 4" xfId="35706" hidden="1"/>
    <cellStyle name="강조색5 4" xfId="35202" hidden="1"/>
    <cellStyle name="강조색5 4" xfId="35885" hidden="1"/>
    <cellStyle name="강조색5 4" xfId="35925" hidden="1"/>
    <cellStyle name="강조색5 4" xfId="35965" hidden="1"/>
    <cellStyle name="강조색5 4" xfId="36005" hidden="1"/>
    <cellStyle name="강조색5 4" xfId="36045" hidden="1"/>
    <cellStyle name="강조색5 4" xfId="36085" hidden="1"/>
    <cellStyle name="강조색5 4" xfId="36125" hidden="1"/>
    <cellStyle name="강조색5 4" xfId="36165" hidden="1"/>
    <cellStyle name="강조색5 4" xfId="36205" hidden="1"/>
    <cellStyle name="강조색5 4" xfId="36245" hidden="1"/>
    <cellStyle name="강조색5 4" xfId="36285" hidden="1"/>
    <cellStyle name="강조색5 4" xfId="36325" hidden="1"/>
    <cellStyle name="강조색5 4" xfId="35763" hidden="1"/>
    <cellStyle name="강조색5 4" xfId="35724" hidden="1"/>
    <cellStyle name="강조색5 4" xfId="36367" hidden="1"/>
    <cellStyle name="강조색5 4" xfId="36409" hidden="1"/>
    <cellStyle name="강조색5 4" xfId="36451" hidden="1"/>
    <cellStyle name="강조색5 4" xfId="36493" hidden="1"/>
    <cellStyle name="강조색5 4" xfId="36535" hidden="1"/>
    <cellStyle name="강조색5 4" xfId="36577" hidden="1"/>
    <cellStyle name="강조색5 4" xfId="36619" hidden="1"/>
    <cellStyle name="강조색5 4" xfId="36661" hidden="1"/>
    <cellStyle name="강조색5 4" xfId="36703" hidden="1"/>
    <cellStyle name="강조색5 4" xfId="36745" hidden="1"/>
    <cellStyle name="강조색5 4" xfId="35816" hidden="1"/>
    <cellStyle name="강조색5 4" xfId="36773" hidden="1"/>
    <cellStyle name="강조색5 4" xfId="36813" hidden="1"/>
    <cellStyle name="강조색5 4" xfId="36853" hidden="1"/>
    <cellStyle name="강조색5 4" xfId="36893" hidden="1"/>
    <cellStyle name="강조색5 4" xfId="36933" hidden="1"/>
    <cellStyle name="강조색5 4" xfId="36973" hidden="1"/>
    <cellStyle name="강조색5 4" xfId="37013" hidden="1"/>
    <cellStyle name="강조색5 4" xfId="37053" hidden="1"/>
    <cellStyle name="강조색5 4" xfId="37093" hidden="1"/>
    <cellStyle name="강조색5 4" xfId="37133" hidden="1"/>
    <cellStyle name="강조색5 4" xfId="37173" hidden="1"/>
    <cellStyle name="강조색5 4" xfId="37213" hidden="1"/>
    <cellStyle name="강조색5 4" xfId="37224" hidden="1"/>
    <cellStyle name="강조색5 4" xfId="37264" hidden="1"/>
    <cellStyle name="강조색5 4" xfId="37305" hidden="1"/>
    <cellStyle name="강조색5 4" xfId="37345" hidden="1"/>
    <cellStyle name="강조색5 4" xfId="37385" hidden="1"/>
    <cellStyle name="강조색5 4" xfId="37425" hidden="1"/>
    <cellStyle name="강조색5 4" xfId="37465" hidden="1"/>
    <cellStyle name="강조색5 4" xfId="37505" hidden="1"/>
    <cellStyle name="강조색5 4" xfId="37545" hidden="1"/>
    <cellStyle name="강조색5 4" xfId="37585" hidden="1"/>
    <cellStyle name="강조색5 4" xfId="37625" hidden="1"/>
    <cellStyle name="강조색5 4" xfId="37665" hidden="1"/>
    <cellStyle name="강조색5 4" xfId="37749" hidden="1"/>
    <cellStyle name="강조색5 4" xfId="37790" hidden="1"/>
    <cellStyle name="강조색5 4" xfId="37832" hidden="1"/>
    <cellStyle name="강조색5 4" xfId="37874" hidden="1"/>
    <cellStyle name="강조색5 4" xfId="37916" hidden="1"/>
    <cellStyle name="강조색5 4" xfId="37958" hidden="1"/>
    <cellStyle name="강조색5 4" xfId="38000" hidden="1"/>
    <cellStyle name="강조색5 4" xfId="38042" hidden="1"/>
    <cellStyle name="강조색5 4" xfId="38084" hidden="1"/>
    <cellStyle name="강조색5 4" xfId="38126" hidden="1"/>
    <cellStyle name="강조색5 4" xfId="38168" hidden="1"/>
    <cellStyle name="강조색5 4" xfId="38210" hidden="1"/>
    <cellStyle name="강조색5 4" xfId="37706" hidden="1"/>
    <cellStyle name="강조색5 4" xfId="38389" hidden="1"/>
    <cellStyle name="강조색5 4" xfId="38429" hidden="1"/>
    <cellStyle name="강조색5 4" xfId="38469" hidden="1"/>
    <cellStyle name="강조색5 4" xfId="38509" hidden="1"/>
    <cellStyle name="강조색5 4" xfId="38549" hidden="1"/>
    <cellStyle name="강조색5 4" xfId="38589" hidden="1"/>
    <cellStyle name="강조색5 4" xfId="38629" hidden="1"/>
    <cellStyle name="강조색5 4" xfId="38669" hidden="1"/>
    <cellStyle name="강조색5 4" xfId="38709" hidden="1"/>
    <cellStyle name="강조색5 4" xfId="38749" hidden="1"/>
    <cellStyle name="강조색5 4" xfId="38789" hidden="1"/>
    <cellStyle name="강조색5 4" xfId="38829" hidden="1"/>
    <cellStyle name="강조색5 4" xfId="38267" hidden="1"/>
    <cellStyle name="강조색5 4" xfId="38228" hidden="1"/>
    <cellStyle name="강조색5 4" xfId="38871" hidden="1"/>
    <cellStyle name="강조색5 4" xfId="38913" hidden="1"/>
    <cellStyle name="강조색5 4" xfId="38955" hidden="1"/>
    <cellStyle name="강조색5 4" xfId="38997" hidden="1"/>
    <cellStyle name="강조색5 4" xfId="39039" hidden="1"/>
    <cellStyle name="강조색5 4" xfId="39081" hidden="1"/>
    <cellStyle name="강조색5 4" xfId="39123" hidden="1"/>
    <cellStyle name="강조색5 4" xfId="39165" hidden="1"/>
    <cellStyle name="강조색5 4" xfId="39207" hidden="1"/>
    <cellStyle name="강조색5 4" xfId="39249" hidden="1"/>
    <cellStyle name="강조색5 4" xfId="38320" hidden="1"/>
    <cellStyle name="강조색5 4" xfId="39277" hidden="1"/>
    <cellStyle name="강조색5 4" xfId="39317" hidden="1"/>
    <cellStyle name="강조색5 4" xfId="39357" hidden="1"/>
    <cellStyle name="강조색5 4" xfId="39397" hidden="1"/>
    <cellStyle name="강조색5 4" xfId="39437" hidden="1"/>
    <cellStyle name="강조색5 4" xfId="39477" hidden="1"/>
    <cellStyle name="강조색5 4" xfId="39517" hidden="1"/>
    <cellStyle name="강조색5 4" xfId="39557" hidden="1"/>
    <cellStyle name="강조색5 4" xfId="39597" hidden="1"/>
    <cellStyle name="강조색5 4" xfId="39637" hidden="1"/>
    <cellStyle name="강조색5 4" xfId="39677" hidden="1"/>
    <cellStyle name="강조색5 4" xfId="39717" hidden="1"/>
    <cellStyle name="강조색5 4" xfId="39727" hidden="1"/>
    <cellStyle name="강조색5 4" xfId="39767" hidden="1"/>
    <cellStyle name="강조색5 4" xfId="39807" hidden="1"/>
    <cellStyle name="강조색5 4" xfId="39847" hidden="1"/>
    <cellStyle name="강조색5 4" xfId="39887" hidden="1"/>
    <cellStyle name="강조색5 4" xfId="39927" hidden="1"/>
    <cellStyle name="강조색5 4" xfId="39967" hidden="1"/>
    <cellStyle name="강조색5 4" xfId="40007" hidden="1"/>
    <cellStyle name="강조색5 4" xfId="40047" hidden="1"/>
    <cellStyle name="강조색5 4" xfId="40087" hidden="1"/>
    <cellStyle name="강조색5 4" xfId="40127" hidden="1"/>
    <cellStyle name="강조색5 4" xfId="40167" hidden="1"/>
    <cellStyle name="강조색5 4" xfId="40251" hidden="1"/>
    <cellStyle name="강조색5 4" xfId="40292" hidden="1"/>
    <cellStyle name="강조색5 4" xfId="40334" hidden="1"/>
    <cellStyle name="강조색5 4" xfId="40376" hidden="1"/>
    <cellStyle name="강조색5 4" xfId="40418" hidden="1"/>
    <cellStyle name="강조색5 4" xfId="40460" hidden="1"/>
    <cellStyle name="강조색5 4" xfId="40502" hidden="1"/>
    <cellStyle name="강조색5 4" xfId="40544" hidden="1"/>
    <cellStyle name="강조색5 4" xfId="40586" hidden="1"/>
    <cellStyle name="강조색5 4" xfId="40628" hidden="1"/>
    <cellStyle name="강조색5 4" xfId="40670" hidden="1"/>
    <cellStyle name="강조색5 4" xfId="40712" hidden="1"/>
    <cellStyle name="강조색5 4" xfId="40208" hidden="1"/>
    <cellStyle name="강조색5 4" xfId="40891" hidden="1"/>
    <cellStyle name="강조색5 4" xfId="40931" hidden="1"/>
    <cellStyle name="강조색5 4" xfId="40971" hidden="1"/>
    <cellStyle name="강조색5 4" xfId="41011" hidden="1"/>
    <cellStyle name="강조색5 4" xfId="41051" hidden="1"/>
    <cellStyle name="강조색5 4" xfId="41091" hidden="1"/>
    <cellStyle name="강조색5 4" xfId="41131" hidden="1"/>
    <cellStyle name="강조색5 4" xfId="41171" hidden="1"/>
    <cellStyle name="강조색5 4" xfId="41211" hidden="1"/>
    <cellStyle name="강조색5 4" xfId="41251" hidden="1"/>
    <cellStyle name="강조색5 4" xfId="41291" hidden="1"/>
    <cellStyle name="강조색5 4" xfId="41331" hidden="1"/>
    <cellStyle name="강조색5 4" xfId="40769" hidden="1"/>
    <cellStyle name="강조색5 4" xfId="40730" hidden="1"/>
    <cellStyle name="강조색5 4" xfId="41373" hidden="1"/>
    <cellStyle name="강조색5 4" xfId="41415" hidden="1"/>
    <cellStyle name="강조색5 4" xfId="41457" hidden="1"/>
    <cellStyle name="강조색5 4" xfId="41499" hidden="1"/>
    <cellStyle name="강조색5 4" xfId="41541" hidden="1"/>
    <cellStyle name="강조색5 4" xfId="41583" hidden="1"/>
    <cellStyle name="강조색5 4" xfId="41625" hidden="1"/>
    <cellStyle name="강조색5 4" xfId="41667" hidden="1"/>
    <cellStyle name="강조색5 4" xfId="41709" hidden="1"/>
    <cellStyle name="강조색5 4" xfId="41751" hidden="1"/>
    <cellStyle name="강조색5 4" xfId="40822" hidden="1"/>
    <cellStyle name="강조색5 4" xfId="41779" hidden="1"/>
    <cellStyle name="강조색5 4" xfId="41819" hidden="1"/>
    <cellStyle name="강조색5 4" xfId="41859" hidden="1"/>
    <cellStyle name="강조색5 4" xfId="41899" hidden="1"/>
    <cellStyle name="강조색5 4" xfId="41939" hidden="1"/>
    <cellStyle name="강조색5 4" xfId="41979" hidden="1"/>
    <cellStyle name="강조색5 4" xfId="42019" hidden="1"/>
    <cellStyle name="강조색5 4" xfId="42059" hidden="1"/>
    <cellStyle name="강조색5 4" xfId="42099" hidden="1"/>
    <cellStyle name="강조색5 4" xfId="42139" hidden="1"/>
    <cellStyle name="강조색5 4" xfId="42179" hidden="1"/>
    <cellStyle name="강조색5 4" xfId="42219" hidden="1"/>
    <cellStyle name="강조색5 4" xfId="42262" hidden="1"/>
    <cellStyle name="강조색5 4" xfId="42302" hidden="1"/>
    <cellStyle name="강조색5 4" xfId="42342" hidden="1"/>
    <cellStyle name="강조색5 4" xfId="42382" hidden="1"/>
    <cellStyle name="강조색5 4" xfId="42422" hidden="1"/>
    <cellStyle name="강조색5 4" xfId="42462" hidden="1"/>
    <cellStyle name="강조색5 4" xfId="42502" hidden="1"/>
    <cellStyle name="강조색5 4" xfId="42542" hidden="1"/>
    <cellStyle name="강조색5 4" xfId="42582" hidden="1"/>
    <cellStyle name="강조색5 4" xfId="42622" hidden="1"/>
    <cellStyle name="강조색5 4" xfId="42662" hidden="1"/>
    <cellStyle name="강조색5 4" xfId="42702" hidden="1"/>
    <cellStyle name="강조색5 4" xfId="42786" hidden="1"/>
    <cellStyle name="강조색5 4" xfId="42827" hidden="1"/>
    <cellStyle name="강조색5 4" xfId="42869" hidden="1"/>
    <cellStyle name="강조색5 4" xfId="42911" hidden="1"/>
    <cellStyle name="강조색5 4" xfId="42953" hidden="1"/>
    <cellStyle name="강조색5 4" xfId="42995" hidden="1"/>
    <cellStyle name="강조색5 4" xfId="43037" hidden="1"/>
    <cellStyle name="강조색5 4" xfId="43079" hidden="1"/>
    <cellStyle name="강조색5 4" xfId="43121" hidden="1"/>
    <cellStyle name="강조색5 4" xfId="43163" hidden="1"/>
    <cellStyle name="강조색5 4" xfId="43205" hidden="1"/>
    <cellStyle name="강조색5 4" xfId="43247" hidden="1"/>
    <cellStyle name="강조색5 4" xfId="42743" hidden="1"/>
    <cellStyle name="강조색5 4" xfId="43426" hidden="1"/>
    <cellStyle name="강조색5 4" xfId="43466" hidden="1"/>
    <cellStyle name="강조색5 4" xfId="43506" hidden="1"/>
    <cellStyle name="강조색5 4" xfId="43546" hidden="1"/>
    <cellStyle name="강조색5 4" xfId="43586" hidden="1"/>
    <cellStyle name="강조색5 4" xfId="43626" hidden="1"/>
    <cellStyle name="강조색5 4" xfId="43666" hidden="1"/>
    <cellStyle name="강조색5 4" xfId="43706" hidden="1"/>
    <cellStyle name="강조색5 4" xfId="43746" hidden="1"/>
    <cellStyle name="강조색5 4" xfId="43786" hidden="1"/>
    <cellStyle name="강조색5 4" xfId="43826" hidden="1"/>
    <cellStyle name="강조색5 4" xfId="43866" hidden="1"/>
    <cellStyle name="강조색5 4" xfId="43304" hidden="1"/>
    <cellStyle name="강조색5 4" xfId="43265" hidden="1"/>
    <cellStyle name="강조색5 4" xfId="43908" hidden="1"/>
    <cellStyle name="강조색5 4" xfId="43950" hidden="1"/>
    <cellStyle name="강조색5 4" xfId="43992" hidden="1"/>
    <cellStyle name="강조색5 4" xfId="44034" hidden="1"/>
    <cellStyle name="강조색5 4" xfId="44076" hidden="1"/>
    <cellStyle name="강조색5 4" xfId="44118" hidden="1"/>
    <cellStyle name="강조색5 4" xfId="44160" hidden="1"/>
    <cellStyle name="강조색5 4" xfId="44202" hidden="1"/>
    <cellStyle name="강조색5 4" xfId="44244" hidden="1"/>
    <cellStyle name="강조색5 4" xfId="44286" hidden="1"/>
    <cellStyle name="강조색5 4" xfId="43357" hidden="1"/>
    <cellStyle name="강조색5 4" xfId="44314" hidden="1"/>
    <cellStyle name="강조색5 4" xfId="44354" hidden="1"/>
    <cellStyle name="강조색5 4" xfId="44394" hidden="1"/>
    <cellStyle name="강조색5 4" xfId="44434" hidden="1"/>
    <cellStyle name="강조색5 4" xfId="44474" hidden="1"/>
    <cellStyle name="강조색5 4" xfId="44514" hidden="1"/>
    <cellStyle name="강조색5 4" xfId="44554" hidden="1"/>
    <cellStyle name="강조색5 4" xfId="44594" hidden="1"/>
    <cellStyle name="강조색5 4" xfId="44634" hidden="1"/>
    <cellStyle name="강조색5 4" xfId="44674" hidden="1"/>
    <cellStyle name="강조색5 4" xfId="44714" hidden="1"/>
    <cellStyle name="강조색5 4" xfId="44754" hidden="1"/>
    <cellStyle name="강조색5 4" xfId="44850" hidden="1"/>
    <cellStyle name="강조색5 4" xfId="44890" hidden="1"/>
    <cellStyle name="강조색5 4" xfId="44932" hidden="1"/>
    <cellStyle name="강조색5 4" xfId="44973" hidden="1"/>
    <cellStyle name="강조색5 4" xfId="45013" hidden="1"/>
    <cellStyle name="강조색5 4" xfId="45053" hidden="1"/>
    <cellStyle name="강조색5 4" xfId="45093" hidden="1"/>
    <cellStyle name="강조색5 4" xfId="45133" hidden="1"/>
    <cellStyle name="강조색5 4" xfId="45173" hidden="1"/>
    <cellStyle name="강조색5 4" xfId="45213" hidden="1"/>
    <cellStyle name="강조색5 4" xfId="45253" hidden="1"/>
    <cellStyle name="강조색5 4" xfId="45293" hidden="1"/>
    <cellStyle name="강조색5 4" xfId="45377" hidden="1"/>
    <cellStyle name="강조색5 4" xfId="45418" hidden="1"/>
    <cellStyle name="강조색5 4" xfId="45460" hidden="1"/>
    <cellStyle name="강조색5 4" xfId="45502" hidden="1"/>
    <cellStyle name="강조색5 4" xfId="45544" hidden="1"/>
    <cellStyle name="강조색5 4" xfId="45586" hidden="1"/>
    <cellStyle name="강조색5 4" xfId="45628" hidden="1"/>
    <cellStyle name="강조색5 4" xfId="45670" hidden="1"/>
    <cellStyle name="강조색5 4" xfId="45712" hidden="1"/>
    <cellStyle name="강조색5 4" xfId="45754" hidden="1"/>
    <cellStyle name="강조색5 4" xfId="45796" hidden="1"/>
    <cellStyle name="강조색5 4" xfId="45838" hidden="1"/>
    <cellStyle name="강조색5 4" xfId="45334" hidden="1"/>
    <cellStyle name="강조색5 4" xfId="46017" hidden="1"/>
    <cellStyle name="강조색5 4" xfId="46057" hidden="1"/>
    <cellStyle name="강조색5 4" xfId="46097" hidden="1"/>
    <cellStyle name="강조색5 4" xfId="46137" hidden="1"/>
    <cellStyle name="강조색5 4" xfId="46177" hidden="1"/>
    <cellStyle name="강조색5 4" xfId="46217" hidden="1"/>
    <cellStyle name="강조색5 4" xfId="46257" hidden="1"/>
    <cellStyle name="강조색5 4" xfId="46297" hidden="1"/>
    <cellStyle name="강조색5 4" xfId="46337" hidden="1"/>
    <cellStyle name="강조색5 4" xfId="46377" hidden="1"/>
    <cellStyle name="강조색5 4" xfId="46417" hidden="1"/>
    <cellStyle name="강조색5 4" xfId="46457" hidden="1"/>
    <cellStyle name="강조색5 4" xfId="45895" hidden="1"/>
    <cellStyle name="강조색5 4" xfId="45856" hidden="1"/>
    <cellStyle name="강조색5 4" xfId="46499" hidden="1"/>
    <cellStyle name="강조색5 4" xfId="46541" hidden="1"/>
    <cellStyle name="강조색5 4" xfId="46583" hidden="1"/>
    <cellStyle name="강조색5 4" xfId="46625" hidden="1"/>
    <cellStyle name="강조색5 4" xfId="46667" hidden="1"/>
    <cellStyle name="강조색5 4" xfId="46709" hidden="1"/>
    <cellStyle name="강조색5 4" xfId="46751" hidden="1"/>
    <cellStyle name="강조색5 4" xfId="46793" hidden="1"/>
    <cellStyle name="강조색5 4" xfId="46835" hidden="1"/>
    <cellStyle name="강조색5 4" xfId="46877" hidden="1"/>
    <cellStyle name="강조색5 4" xfId="45948" hidden="1"/>
    <cellStyle name="강조색5 4" xfId="46905" hidden="1"/>
    <cellStyle name="강조색5 4" xfId="46945" hidden="1"/>
    <cellStyle name="강조색5 4" xfId="46985" hidden="1"/>
    <cellStyle name="강조색5 4" xfId="47025" hidden="1"/>
    <cellStyle name="강조색5 4" xfId="47065" hidden="1"/>
    <cellStyle name="강조색5 4" xfId="47105" hidden="1"/>
    <cellStyle name="강조색5 4" xfId="47145" hidden="1"/>
    <cellStyle name="강조색5 4" xfId="47185" hidden="1"/>
    <cellStyle name="강조색5 4" xfId="47225" hidden="1"/>
    <cellStyle name="강조색5 4" xfId="47265" hidden="1"/>
    <cellStyle name="강조색5 4" xfId="47305" hidden="1"/>
    <cellStyle name="강조색5 4" xfId="47345" hidden="1"/>
    <cellStyle name="강조색5 4" xfId="47356" hidden="1"/>
    <cellStyle name="강조색5 4" xfId="47396" hidden="1"/>
    <cellStyle name="강조색5 4" xfId="47436" hidden="1"/>
    <cellStyle name="강조색5 4" xfId="47476" hidden="1"/>
    <cellStyle name="강조색5 4" xfId="47516" hidden="1"/>
    <cellStyle name="강조색5 4" xfId="47556" hidden="1"/>
    <cellStyle name="강조색5 4" xfId="47596" hidden="1"/>
    <cellStyle name="강조색5 4" xfId="47636" hidden="1"/>
    <cellStyle name="강조색5 4" xfId="47676" hidden="1"/>
    <cellStyle name="강조색5 4" xfId="47716" hidden="1"/>
    <cellStyle name="강조색5 4" xfId="47756" hidden="1"/>
    <cellStyle name="강조색5 4" xfId="47796" hidden="1"/>
    <cellStyle name="강조색5 4" xfId="47880" hidden="1"/>
    <cellStyle name="강조색5 4" xfId="47921" hidden="1"/>
    <cellStyle name="강조색5 4" xfId="47963" hidden="1"/>
    <cellStyle name="강조색5 4" xfId="48005" hidden="1"/>
    <cellStyle name="강조색5 4" xfId="48047" hidden="1"/>
    <cellStyle name="강조색5 4" xfId="48089" hidden="1"/>
    <cellStyle name="강조색5 4" xfId="48131" hidden="1"/>
    <cellStyle name="강조색5 4" xfId="48173" hidden="1"/>
    <cellStyle name="강조색5 4" xfId="48215" hidden="1"/>
    <cellStyle name="강조색5 4" xfId="48257" hidden="1"/>
    <cellStyle name="강조색5 4" xfId="48299" hidden="1"/>
    <cellStyle name="강조색5 4" xfId="48341" hidden="1"/>
    <cellStyle name="강조색5 4" xfId="47837" hidden="1"/>
    <cellStyle name="강조색5 4" xfId="48520" hidden="1"/>
    <cellStyle name="강조색5 4" xfId="48560" hidden="1"/>
    <cellStyle name="강조색5 4" xfId="48600" hidden="1"/>
    <cellStyle name="강조색5 4" xfId="48640" hidden="1"/>
    <cellStyle name="강조색5 4" xfId="48680" hidden="1"/>
    <cellStyle name="강조색5 4" xfId="48720" hidden="1"/>
    <cellStyle name="강조색5 4" xfId="48760" hidden="1"/>
    <cellStyle name="강조색5 4" xfId="48800" hidden="1"/>
    <cellStyle name="강조색5 4" xfId="48840" hidden="1"/>
    <cellStyle name="강조색5 4" xfId="48880" hidden="1"/>
    <cellStyle name="강조색5 4" xfId="48920" hidden="1"/>
    <cellStyle name="강조색5 4" xfId="48960" hidden="1"/>
    <cellStyle name="강조색5 4" xfId="48398" hidden="1"/>
    <cellStyle name="강조색5 4" xfId="48359" hidden="1"/>
    <cellStyle name="강조색5 4" xfId="49002" hidden="1"/>
    <cellStyle name="강조색5 4" xfId="49044" hidden="1"/>
    <cellStyle name="강조색5 4" xfId="49086" hidden="1"/>
    <cellStyle name="강조색5 4" xfId="49128" hidden="1"/>
    <cellStyle name="강조색5 4" xfId="49170" hidden="1"/>
    <cellStyle name="강조색5 4" xfId="49212" hidden="1"/>
    <cellStyle name="강조색5 4" xfId="49254" hidden="1"/>
    <cellStyle name="강조색5 4" xfId="49296" hidden="1"/>
    <cellStyle name="강조색5 4" xfId="49338" hidden="1"/>
    <cellStyle name="강조색5 4" xfId="49380" hidden="1"/>
    <cellStyle name="강조색5 4" xfId="48451" hidden="1"/>
    <cellStyle name="강조색5 4" xfId="49408" hidden="1"/>
    <cellStyle name="강조색5 4" xfId="49448" hidden="1"/>
    <cellStyle name="강조색5 4" xfId="49488" hidden="1"/>
    <cellStyle name="강조색5 4" xfId="49528" hidden="1"/>
    <cellStyle name="강조색5 4" xfId="49568" hidden="1"/>
    <cellStyle name="강조색5 4" xfId="49608" hidden="1"/>
    <cellStyle name="강조색5 4" xfId="49648" hidden="1"/>
    <cellStyle name="강조색5 4" xfId="49688" hidden="1"/>
    <cellStyle name="강조색5 4" xfId="49728" hidden="1"/>
    <cellStyle name="강조색5 4" xfId="49768" hidden="1"/>
    <cellStyle name="강조색5 4" xfId="49808" hidden="1"/>
    <cellStyle name="강조색5 4" xfId="49848" hidden="1"/>
    <cellStyle name="강조색5 4" xfId="49858" hidden="1"/>
    <cellStyle name="강조색5 4" xfId="49898" hidden="1"/>
    <cellStyle name="강조색5 4" xfId="49938" hidden="1"/>
    <cellStyle name="강조색5 4" xfId="49978" hidden="1"/>
    <cellStyle name="강조색5 4" xfId="50018" hidden="1"/>
    <cellStyle name="강조색5 4" xfId="50058" hidden="1"/>
    <cellStyle name="강조색5 4" xfId="50098" hidden="1"/>
    <cellStyle name="강조색5 4" xfId="50138" hidden="1"/>
    <cellStyle name="강조색5 4" xfId="50178" hidden="1"/>
    <cellStyle name="강조색5 4" xfId="50218" hidden="1"/>
    <cellStyle name="강조색5 4" xfId="50258" hidden="1"/>
    <cellStyle name="강조색5 4" xfId="50298" hidden="1"/>
    <cellStyle name="강조색5 4" xfId="50382" hidden="1"/>
    <cellStyle name="강조색5 4" xfId="50423" hidden="1"/>
    <cellStyle name="강조색5 4" xfId="50465" hidden="1"/>
    <cellStyle name="강조색5 4" xfId="50507" hidden="1"/>
    <cellStyle name="강조색5 4" xfId="50549" hidden="1"/>
    <cellStyle name="강조색5 4" xfId="50591" hidden="1"/>
    <cellStyle name="강조색5 4" xfId="50633" hidden="1"/>
    <cellStyle name="강조색5 4" xfId="50675" hidden="1"/>
    <cellStyle name="강조색5 4" xfId="50717" hidden="1"/>
    <cellStyle name="강조색5 4" xfId="50759" hidden="1"/>
    <cellStyle name="강조색5 4" xfId="50801" hidden="1"/>
    <cellStyle name="강조색5 4" xfId="50843" hidden="1"/>
    <cellStyle name="강조색5 4" xfId="50339" hidden="1"/>
    <cellStyle name="강조색5 4" xfId="51022" hidden="1"/>
    <cellStyle name="강조색5 4" xfId="51062" hidden="1"/>
    <cellStyle name="강조색5 4" xfId="51102" hidden="1"/>
    <cellStyle name="강조색5 4" xfId="51142" hidden="1"/>
    <cellStyle name="강조색5 4" xfId="51182" hidden="1"/>
    <cellStyle name="강조색5 4" xfId="51222" hidden="1"/>
    <cellStyle name="강조색5 4" xfId="51262" hidden="1"/>
    <cellStyle name="강조색5 4" xfId="51302" hidden="1"/>
    <cellStyle name="강조색5 4" xfId="51342" hidden="1"/>
    <cellStyle name="강조색5 4" xfId="51382" hidden="1"/>
    <cellStyle name="강조색5 4" xfId="51422" hidden="1"/>
    <cellStyle name="강조색5 4" xfId="51462" hidden="1"/>
    <cellStyle name="강조색5 4" xfId="50900" hidden="1"/>
    <cellStyle name="강조색5 4" xfId="50861" hidden="1"/>
    <cellStyle name="강조색5 4" xfId="51504" hidden="1"/>
    <cellStyle name="강조색5 4" xfId="51546" hidden="1"/>
    <cellStyle name="강조색5 4" xfId="51588" hidden="1"/>
    <cellStyle name="강조색5 4" xfId="51630" hidden="1"/>
    <cellStyle name="강조색5 4" xfId="51672" hidden="1"/>
    <cellStyle name="강조색5 4" xfId="51714" hidden="1"/>
    <cellStyle name="강조색5 4" xfId="51756" hidden="1"/>
    <cellStyle name="강조색5 4" xfId="51798" hidden="1"/>
    <cellStyle name="강조색5 4" xfId="51840" hidden="1"/>
    <cellStyle name="강조색5 4" xfId="51882" hidden="1"/>
    <cellStyle name="강조색5 4" xfId="50953" hidden="1"/>
    <cellStyle name="강조색5 4" xfId="51910" hidden="1"/>
    <cellStyle name="강조색5 4" xfId="51950" hidden="1"/>
    <cellStyle name="강조색5 4" xfId="51990" hidden="1"/>
    <cellStyle name="강조색5 4" xfId="52030" hidden="1"/>
    <cellStyle name="강조색5 4" xfId="52070" hidden="1"/>
    <cellStyle name="강조색5 4" xfId="52110" hidden="1"/>
    <cellStyle name="강조색5 4" xfId="52150" hidden="1"/>
    <cellStyle name="강조색5 4" xfId="52190" hidden="1"/>
    <cellStyle name="강조색5 4" xfId="52230" hidden="1"/>
    <cellStyle name="강조색5 4" xfId="52270" hidden="1"/>
    <cellStyle name="강조색5 4" xfId="52310" hidden="1"/>
    <cellStyle name="강조색5 4" xfId="52350" hidden="1"/>
    <cellStyle name="강조색5 4 2" xfId="5033"/>
    <cellStyle name="강조색5 4 3" xfId="5034"/>
    <cellStyle name="강조색5 4 4" xfId="5035"/>
    <cellStyle name="강조색5 4 5" xfId="5036"/>
    <cellStyle name="강조색5 40" xfId="5037"/>
    <cellStyle name="강조색5 41" xfId="5038"/>
    <cellStyle name="강조색5 42" xfId="5039"/>
    <cellStyle name="강조색5 43" xfId="5040"/>
    <cellStyle name="강조색5 44" xfId="5041"/>
    <cellStyle name="강조색5 45" xfId="5042"/>
    <cellStyle name="강조색5 46" xfId="5043"/>
    <cellStyle name="강조색5 47" xfId="5044"/>
    <cellStyle name="강조색5 48" xfId="5045"/>
    <cellStyle name="강조색5 49" xfId="5046"/>
    <cellStyle name="강조색5 5" xfId="5047"/>
    <cellStyle name="강조색5 50" xfId="5048"/>
    <cellStyle name="강조색5 51" xfId="5049"/>
    <cellStyle name="강조색5 52" xfId="5050"/>
    <cellStyle name="강조색5 6" xfId="5051"/>
    <cellStyle name="강조색5 7" xfId="5052"/>
    <cellStyle name="강조색5 8" xfId="5053"/>
    <cellStyle name="강조색5 9" xfId="5054"/>
    <cellStyle name="강조색6 10" xfId="5055"/>
    <cellStyle name="강조색6 11" xfId="5056"/>
    <cellStyle name="강조색6 12" xfId="5057"/>
    <cellStyle name="강조색6 13" xfId="5058"/>
    <cellStyle name="강조색6 14" xfId="5059"/>
    <cellStyle name="강조색6 15" xfId="5060"/>
    <cellStyle name="강조색6 16" xfId="5061"/>
    <cellStyle name="강조색6 17" xfId="5062"/>
    <cellStyle name="강조색6 18" xfId="5063"/>
    <cellStyle name="강조색6 19" xfId="5064"/>
    <cellStyle name="강조색6 2" xfId="356"/>
    <cellStyle name="강조색6 2 10" xfId="5065"/>
    <cellStyle name="강조색6 2 100" xfId="5066"/>
    <cellStyle name="강조색6 2 101" xfId="5067"/>
    <cellStyle name="강조색6 2 102" xfId="5068"/>
    <cellStyle name="강조색6 2 103" xfId="5069"/>
    <cellStyle name="강조색6 2 104" xfId="5070"/>
    <cellStyle name="강조색6 2 105" xfId="5071"/>
    <cellStyle name="강조색6 2 106" xfId="5072"/>
    <cellStyle name="강조색6 2 107" xfId="5073"/>
    <cellStyle name="강조색6 2 108" xfId="5074"/>
    <cellStyle name="강조색6 2 109" xfId="5075"/>
    <cellStyle name="강조색6 2 11" xfId="5076"/>
    <cellStyle name="강조색6 2 110" xfId="5077"/>
    <cellStyle name="강조색6 2 111" xfId="5078"/>
    <cellStyle name="강조색6 2 112" xfId="5079"/>
    <cellStyle name="강조색6 2 12" xfId="5080"/>
    <cellStyle name="강조색6 2 13" xfId="5081"/>
    <cellStyle name="강조색6 2 14" xfId="5082"/>
    <cellStyle name="강조색6 2 15" xfId="5083"/>
    <cellStyle name="강조색6 2 16" xfId="5084"/>
    <cellStyle name="강조색6 2 17" xfId="5085"/>
    <cellStyle name="강조색6 2 18" xfId="5086"/>
    <cellStyle name="강조색6 2 19" xfId="5087"/>
    <cellStyle name="강조색6 2 2" xfId="5088"/>
    <cellStyle name="강조색6 2 2 2" xfId="5089"/>
    <cellStyle name="강조색6 2 2 3" xfId="5090"/>
    <cellStyle name="강조색6 2 2 4" xfId="5091"/>
    <cellStyle name="강조색6 2 2 5" xfId="5092"/>
    <cellStyle name="강조색6 2 20" xfId="5093"/>
    <cellStyle name="강조색6 2 21" xfId="5094"/>
    <cellStyle name="강조색6 2 22" xfId="5095"/>
    <cellStyle name="강조색6 2 23" xfId="5096"/>
    <cellStyle name="강조색6 2 24" xfId="5097"/>
    <cellStyle name="강조색6 2 25" xfId="5098"/>
    <cellStyle name="강조색6 2 26" xfId="5099"/>
    <cellStyle name="강조색6 2 27" xfId="5100"/>
    <cellStyle name="강조색6 2 28" xfId="5101"/>
    <cellStyle name="강조색6 2 29" xfId="5102"/>
    <cellStyle name="강조색6 2 3" xfId="5103"/>
    <cellStyle name="강조색6 2 30" xfId="5104"/>
    <cellStyle name="강조색6 2 31" xfId="5105"/>
    <cellStyle name="강조색6 2 32" xfId="5106"/>
    <cellStyle name="강조색6 2 33" xfId="5107"/>
    <cellStyle name="강조색6 2 34" xfId="5108"/>
    <cellStyle name="강조색6 2 35" xfId="5109"/>
    <cellStyle name="강조색6 2 36" xfId="5110"/>
    <cellStyle name="강조색6 2 37" xfId="5111"/>
    <cellStyle name="강조색6 2 38" xfId="5112"/>
    <cellStyle name="강조색6 2 39" xfId="5113"/>
    <cellStyle name="강조색6 2 4" xfId="5114"/>
    <cellStyle name="강조색6 2 40" xfId="5115"/>
    <cellStyle name="강조색6 2 41" xfId="5116"/>
    <cellStyle name="강조색6 2 42" xfId="5117"/>
    <cellStyle name="강조색6 2 43" xfId="5118"/>
    <cellStyle name="강조색6 2 44" xfId="5119"/>
    <cellStyle name="강조색6 2 45" xfId="5120"/>
    <cellStyle name="강조색6 2 46" xfId="5121"/>
    <cellStyle name="강조색6 2 47" xfId="5122"/>
    <cellStyle name="강조색6 2 48" xfId="5123"/>
    <cellStyle name="강조색6 2 49" xfId="5124"/>
    <cellStyle name="강조색6 2 5" xfId="5125"/>
    <cellStyle name="강조색6 2 50" xfId="5126"/>
    <cellStyle name="강조색6 2 51" xfId="5127"/>
    <cellStyle name="강조색6 2 52" xfId="5128"/>
    <cellStyle name="강조색6 2 53" xfId="5129"/>
    <cellStyle name="강조색6 2 54" xfId="5130"/>
    <cellStyle name="강조색6 2 55" xfId="5131"/>
    <cellStyle name="강조색6 2 56" xfId="5132"/>
    <cellStyle name="강조색6 2 57" xfId="5133"/>
    <cellStyle name="강조색6 2 58" xfId="5134"/>
    <cellStyle name="강조색6 2 59" xfId="5135"/>
    <cellStyle name="강조색6 2 6" xfId="5136"/>
    <cellStyle name="강조색6 2 60" xfId="5137"/>
    <cellStyle name="강조색6 2 61" xfId="5138"/>
    <cellStyle name="강조색6 2 62" xfId="5139"/>
    <cellStyle name="강조색6 2 63" xfId="5140"/>
    <cellStyle name="강조색6 2 64" xfId="5141"/>
    <cellStyle name="강조색6 2 65" xfId="5142"/>
    <cellStyle name="강조색6 2 66" xfId="5143"/>
    <cellStyle name="강조색6 2 67" xfId="5144"/>
    <cellStyle name="강조색6 2 68" xfId="5145"/>
    <cellStyle name="강조색6 2 69" xfId="5146"/>
    <cellStyle name="강조색6 2 7" xfId="5147"/>
    <cellStyle name="강조색6 2 70" xfId="5148"/>
    <cellStyle name="강조색6 2 71" xfId="5149"/>
    <cellStyle name="강조색6 2 72" xfId="5150"/>
    <cellStyle name="강조색6 2 73" xfId="5151"/>
    <cellStyle name="강조색6 2 74" xfId="5152"/>
    <cellStyle name="강조색6 2 75" xfId="5153"/>
    <cellStyle name="강조색6 2 76" xfId="5154"/>
    <cellStyle name="강조색6 2 77" xfId="5155"/>
    <cellStyle name="강조색6 2 78" xfId="5156"/>
    <cellStyle name="강조색6 2 79" xfId="5157"/>
    <cellStyle name="강조색6 2 8" xfId="5158"/>
    <cellStyle name="강조색6 2 80" xfId="5159"/>
    <cellStyle name="강조색6 2 81" xfId="5160"/>
    <cellStyle name="강조색6 2 82" xfId="5161"/>
    <cellStyle name="강조색6 2 83" xfId="5162"/>
    <cellStyle name="강조색6 2 84" xfId="5163"/>
    <cellStyle name="강조색6 2 85" xfId="5164"/>
    <cellStyle name="강조색6 2 86" xfId="5165"/>
    <cellStyle name="강조색6 2 87" xfId="5166"/>
    <cellStyle name="강조색6 2 88" xfId="5167"/>
    <cellStyle name="강조색6 2 89" xfId="5168"/>
    <cellStyle name="강조색6 2 9" xfId="5169"/>
    <cellStyle name="강조색6 2 90" xfId="5170"/>
    <cellStyle name="강조색6 2 91" xfId="5171"/>
    <cellStyle name="강조색6 2 92" xfId="5172"/>
    <cellStyle name="강조색6 2 93" xfId="5173"/>
    <cellStyle name="강조색6 2 94" xfId="5174"/>
    <cellStyle name="강조색6 2 95" xfId="5175"/>
    <cellStyle name="강조색6 2 96" xfId="5176"/>
    <cellStyle name="강조색6 2 97" xfId="5177"/>
    <cellStyle name="강조색6 2 98" xfId="5178"/>
    <cellStyle name="강조색6 2 99" xfId="5179"/>
    <cellStyle name="강조색6 20" xfId="5180"/>
    <cellStyle name="강조색6 21" xfId="5181"/>
    <cellStyle name="강조색6 22" xfId="5182"/>
    <cellStyle name="강조색6 23" xfId="5183"/>
    <cellStyle name="강조색6 24" xfId="5184"/>
    <cellStyle name="강조색6 25" xfId="5185"/>
    <cellStyle name="강조색6 26" xfId="5186"/>
    <cellStyle name="강조색6 27" xfId="5187"/>
    <cellStyle name="강조색6 28" xfId="5188"/>
    <cellStyle name="강조색6 29" xfId="5189"/>
    <cellStyle name="강조색6 3" xfId="357"/>
    <cellStyle name="강조색6 30" xfId="5190"/>
    <cellStyle name="강조색6 31" xfId="5191"/>
    <cellStyle name="강조색6 32" xfId="5192"/>
    <cellStyle name="강조색6 33" xfId="5193"/>
    <cellStyle name="강조색6 34" xfId="5194"/>
    <cellStyle name="강조색6 35" xfId="5195"/>
    <cellStyle name="강조색6 36" xfId="5196"/>
    <cellStyle name="강조색6 37" xfId="5197"/>
    <cellStyle name="강조색6 38" xfId="5198"/>
    <cellStyle name="강조색6 39" xfId="5199"/>
    <cellStyle name="강조색6 4" xfId="11744" hidden="1"/>
    <cellStyle name="강조색6 4" xfId="11790" hidden="1"/>
    <cellStyle name="강조색6 4" xfId="11836" hidden="1"/>
    <cellStyle name="강조색6 4" xfId="11882" hidden="1"/>
    <cellStyle name="강조색6 4" xfId="11928" hidden="1"/>
    <cellStyle name="강조색6 4" xfId="11974" hidden="1"/>
    <cellStyle name="강조색6 4" xfId="12020" hidden="1"/>
    <cellStyle name="강조색6 4" xfId="12066" hidden="1"/>
    <cellStyle name="강조색6 4" xfId="12112" hidden="1"/>
    <cellStyle name="강조색6 4" xfId="12158" hidden="1"/>
    <cellStyle name="강조색6 4" xfId="12204" hidden="1"/>
    <cellStyle name="강조색6 4" xfId="12250" hidden="1"/>
    <cellStyle name="강조색6 4" xfId="12340" hidden="1"/>
    <cellStyle name="강조색6 4" xfId="12381" hidden="1"/>
    <cellStyle name="강조색6 4" xfId="12423" hidden="1"/>
    <cellStyle name="강조색6 4" xfId="12465" hidden="1"/>
    <cellStyle name="강조색6 4" xfId="12507" hidden="1"/>
    <cellStyle name="강조색6 4" xfId="12549" hidden="1"/>
    <cellStyle name="강조색6 4" xfId="12591" hidden="1"/>
    <cellStyle name="강조색6 4" xfId="12633" hidden="1"/>
    <cellStyle name="강조색6 4" xfId="12675" hidden="1"/>
    <cellStyle name="강조색6 4" xfId="12717" hidden="1"/>
    <cellStyle name="강조색6 4" xfId="12759" hidden="1"/>
    <cellStyle name="강조색6 4" xfId="12801" hidden="1"/>
    <cellStyle name="강조색6 4" xfId="12295" hidden="1"/>
    <cellStyle name="강조색6 4" xfId="12983" hidden="1"/>
    <cellStyle name="강조색6 4" xfId="13023" hidden="1"/>
    <cellStyle name="강조색6 4" xfId="13063" hidden="1"/>
    <cellStyle name="강조색6 4" xfId="13103" hidden="1"/>
    <cellStyle name="강조색6 4" xfId="13143" hidden="1"/>
    <cellStyle name="강조색6 4" xfId="13183" hidden="1"/>
    <cellStyle name="강조색6 4" xfId="13223" hidden="1"/>
    <cellStyle name="강조색6 4" xfId="13263" hidden="1"/>
    <cellStyle name="강조색6 4" xfId="13303" hidden="1"/>
    <cellStyle name="강조색6 4" xfId="13343" hidden="1"/>
    <cellStyle name="강조색6 4" xfId="13383" hidden="1"/>
    <cellStyle name="강조색6 4" xfId="13423" hidden="1"/>
    <cellStyle name="강조색6 4" xfId="12851" hidden="1"/>
    <cellStyle name="강조색6 4" xfId="12812" hidden="1"/>
    <cellStyle name="강조색6 4" xfId="13465" hidden="1"/>
    <cellStyle name="강조색6 4" xfId="13507" hidden="1"/>
    <cellStyle name="강조색6 4" xfId="13549" hidden="1"/>
    <cellStyle name="강조색6 4" xfId="13591" hidden="1"/>
    <cellStyle name="강조색6 4" xfId="13633" hidden="1"/>
    <cellStyle name="강조색6 4" xfId="13675" hidden="1"/>
    <cellStyle name="강조색6 4" xfId="13717" hidden="1"/>
    <cellStyle name="강조색6 4" xfId="13759" hidden="1"/>
    <cellStyle name="강조색6 4" xfId="13801" hidden="1"/>
    <cellStyle name="강조색6 4" xfId="13843" hidden="1"/>
    <cellStyle name="강조색6 4" xfId="12905" hidden="1"/>
    <cellStyle name="강조색6 4" xfId="13871" hidden="1"/>
    <cellStyle name="강조색6 4" xfId="13911" hidden="1"/>
    <cellStyle name="강조색6 4" xfId="13951" hidden="1"/>
    <cellStyle name="강조색6 4" xfId="13991" hidden="1"/>
    <cellStyle name="강조색6 4" xfId="14031" hidden="1"/>
    <cellStyle name="강조색6 4" xfId="14071" hidden="1"/>
    <cellStyle name="강조색6 4" xfId="14111" hidden="1"/>
    <cellStyle name="강조색6 4" xfId="14151" hidden="1"/>
    <cellStyle name="강조색6 4" xfId="14191" hidden="1"/>
    <cellStyle name="강조색6 4" xfId="14231" hidden="1"/>
    <cellStyle name="강조색6 4" xfId="14271" hidden="1"/>
    <cellStyle name="강조색6 4" xfId="14311" hidden="1"/>
    <cellStyle name="강조색6 4" xfId="14417" hidden="1"/>
    <cellStyle name="강조색6 4" xfId="14457" hidden="1"/>
    <cellStyle name="강조색6 4" xfId="14497" hidden="1"/>
    <cellStyle name="강조색6 4" xfId="14537" hidden="1"/>
    <cellStyle name="강조색6 4" xfId="14577" hidden="1"/>
    <cellStyle name="강조색6 4" xfId="14617" hidden="1"/>
    <cellStyle name="강조색6 4" xfId="14657" hidden="1"/>
    <cellStyle name="강조색6 4" xfId="14697" hidden="1"/>
    <cellStyle name="강조색6 4" xfId="14737" hidden="1"/>
    <cellStyle name="강조색6 4" xfId="14777" hidden="1"/>
    <cellStyle name="강조색6 4" xfId="14817" hidden="1"/>
    <cellStyle name="강조색6 4" xfId="14857" hidden="1"/>
    <cellStyle name="강조색6 4" xfId="14941" hidden="1"/>
    <cellStyle name="강조색6 4" xfId="14982" hidden="1"/>
    <cellStyle name="강조색6 4" xfId="15024" hidden="1"/>
    <cellStyle name="강조색6 4" xfId="15066" hidden="1"/>
    <cellStyle name="강조색6 4" xfId="15108" hidden="1"/>
    <cellStyle name="강조색6 4" xfId="15150" hidden="1"/>
    <cellStyle name="강조색6 4" xfId="15192" hidden="1"/>
    <cellStyle name="강조색6 4" xfId="15234" hidden="1"/>
    <cellStyle name="강조색6 4" xfId="15276" hidden="1"/>
    <cellStyle name="강조색6 4" xfId="15318" hidden="1"/>
    <cellStyle name="강조색6 4" xfId="15360" hidden="1"/>
    <cellStyle name="강조색6 4" xfId="15402" hidden="1"/>
    <cellStyle name="강조색6 4" xfId="14898" hidden="1"/>
    <cellStyle name="강조색6 4" xfId="15581" hidden="1"/>
    <cellStyle name="강조색6 4" xfId="15621" hidden="1"/>
    <cellStyle name="강조색6 4" xfId="15661" hidden="1"/>
    <cellStyle name="강조색6 4" xfId="15701" hidden="1"/>
    <cellStyle name="강조색6 4" xfId="15741" hidden="1"/>
    <cellStyle name="강조색6 4" xfId="15781" hidden="1"/>
    <cellStyle name="강조색6 4" xfId="15821" hidden="1"/>
    <cellStyle name="강조색6 4" xfId="15861" hidden="1"/>
    <cellStyle name="강조색6 4" xfId="15901" hidden="1"/>
    <cellStyle name="강조색6 4" xfId="15941" hidden="1"/>
    <cellStyle name="강조색6 4" xfId="15981" hidden="1"/>
    <cellStyle name="강조색6 4" xfId="16021" hidden="1"/>
    <cellStyle name="강조색6 4" xfId="15451" hidden="1"/>
    <cellStyle name="강조색6 4" xfId="15412" hidden="1"/>
    <cellStyle name="강조색6 4" xfId="16063" hidden="1"/>
    <cellStyle name="강조색6 4" xfId="16105" hidden="1"/>
    <cellStyle name="강조색6 4" xfId="16147" hidden="1"/>
    <cellStyle name="강조색6 4" xfId="16189" hidden="1"/>
    <cellStyle name="강조색6 4" xfId="16231" hidden="1"/>
    <cellStyle name="강조색6 4" xfId="16273" hidden="1"/>
    <cellStyle name="강조색6 4" xfId="16315" hidden="1"/>
    <cellStyle name="강조색6 4" xfId="16357" hidden="1"/>
    <cellStyle name="강조색6 4" xfId="16399" hidden="1"/>
    <cellStyle name="강조색6 4" xfId="16441" hidden="1"/>
    <cellStyle name="강조색6 4" xfId="15504" hidden="1"/>
    <cellStyle name="강조색6 4" xfId="16469" hidden="1"/>
    <cellStyle name="강조색6 4" xfId="16509" hidden="1"/>
    <cellStyle name="강조색6 4" xfId="16549" hidden="1"/>
    <cellStyle name="강조색6 4" xfId="16589" hidden="1"/>
    <cellStyle name="강조색6 4" xfId="16629" hidden="1"/>
    <cellStyle name="강조색6 4" xfId="16669" hidden="1"/>
    <cellStyle name="강조색6 4" xfId="16709" hidden="1"/>
    <cellStyle name="강조색6 4" xfId="16749" hidden="1"/>
    <cellStyle name="강조색6 4" xfId="16789" hidden="1"/>
    <cellStyle name="강조색6 4" xfId="16829" hidden="1"/>
    <cellStyle name="강조색6 4" xfId="16869" hidden="1"/>
    <cellStyle name="강조색6 4" xfId="16909" hidden="1"/>
    <cellStyle name="강조색6 4" xfId="16920" hidden="1"/>
    <cellStyle name="강조색6 4" xfId="16960" hidden="1"/>
    <cellStyle name="강조색6 4" xfId="17001" hidden="1"/>
    <cellStyle name="강조색6 4" xfId="17041" hidden="1"/>
    <cellStyle name="강조색6 4" xfId="17081" hidden="1"/>
    <cellStyle name="강조색6 4" xfId="17121" hidden="1"/>
    <cellStyle name="강조색6 4" xfId="17161" hidden="1"/>
    <cellStyle name="강조색6 4" xfId="17201" hidden="1"/>
    <cellStyle name="강조색6 4" xfId="17241" hidden="1"/>
    <cellStyle name="강조색6 4" xfId="17281" hidden="1"/>
    <cellStyle name="강조색6 4" xfId="17321" hidden="1"/>
    <cellStyle name="강조색6 4" xfId="17361" hidden="1"/>
    <cellStyle name="강조색6 4" xfId="17445" hidden="1"/>
    <cellStyle name="강조색6 4" xfId="17486" hidden="1"/>
    <cellStyle name="강조색6 4" xfId="17528" hidden="1"/>
    <cellStyle name="강조색6 4" xfId="17570" hidden="1"/>
    <cellStyle name="강조색6 4" xfId="17612" hidden="1"/>
    <cellStyle name="강조색6 4" xfId="17654" hidden="1"/>
    <cellStyle name="강조색6 4" xfId="17696" hidden="1"/>
    <cellStyle name="강조색6 4" xfId="17738" hidden="1"/>
    <cellStyle name="강조색6 4" xfId="17780" hidden="1"/>
    <cellStyle name="강조색6 4" xfId="17822" hidden="1"/>
    <cellStyle name="강조색6 4" xfId="17864" hidden="1"/>
    <cellStyle name="강조색6 4" xfId="17906" hidden="1"/>
    <cellStyle name="강조색6 4" xfId="17402" hidden="1"/>
    <cellStyle name="강조색6 4" xfId="18085" hidden="1"/>
    <cellStyle name="강조색6 4" xfId="18125" hidden="1"/>
    <cellStyle name="강조색6 4" xfId="18165" hidden="1"/>
    <cellStyle name="강조색6 4" xfId="18205" hidden="1"/>
    <cellStyle name="강조색6 4" xfId="18245" hidden="1"/>
    <cellStyle name="강조색6 4" xfId="18285" hidden="1"/>
    <cellStyle name="강조색6 4" xfId="18325" hidden="1"/>
    <cellStyle name="강조색6 4" xfId="18365" hidden="1"/>
    <cellStyle name="강조색6 4" xfId="18405" hidden="1"/>
    <cellStyle name="강조색6 4" xfId="18445" hidden="1"/>
    <cellStyle name="강조색6 4" xfId="18485" hidden="1"/>
    <cellStyle name="강조색6 4" xfId="18525" hidden="1"/>
    <cellStyle name="강조색6 4" xfId="17955" hidden="1"/>
    <cellStyle name="강조색6 4" xfId="17916" hidden="1"/>
    <cellStyle name="강조색6 4" xfId="18567" hidden="1"/>
    <cellStyle name="강조색6 4" xfId="18609" hidden="1"/>
    <cellStyle name="강조색6 4" xfId="18651" hidden="1"/>
    <cellStyle name="강조색6 4" xfId="18693" hidden="1"/>
    <cellStyle name="강조색6 4" xfId="18735" hidden="1"/>
    <cellStyle name="강조색6 4" xfId="18777" hidden="1"/>
    <cellStyle name="강조색6 4" xfId="18819" hidden="1"/>
    <cellStyle name="강조색6 4" xfId="18861" hidden="1"/>
    <cellStyle name="강조색6 4" xfId="18903" hidden="1"/>
    <cellStyle name="강조색6 4" xfId="18945" hidden="1"/>
    <cellStyle name="강조색6 4" xfId="18008" hidden="1"/>
    <cellStyle name="강조색6 4" xfId="18973" hidden="1"/>
    <cellStyle name="강조색6 4" xfId="19013" hidden="1"/>
    <cellStyle name="강조색6 4" xfId="19053" hidden="1"/>
    <cellStyle name="강조색6 4" xfId="19093" hidden="1"/>
    <cellStyle name="강조색6 4" xfId="19133" hidden="1"/>
    <cellStyle name="강조색6 4" xfId="19173" hidden="1"/>
    <cellStyle name="강조색6 4" xfId="19213" hidden="1"/>
    <cellStyle name="강조색6 4" xfId="19253" hidden="1"/>
    <cellStyle name="강조색6 4" xfId="19293" hidden="1"/>
    <cellStyle name="강조색6 4" xfId="19333" hidden="1"/>
    <cellStyle name="강조색6 4" xfId="19373" hidden="1"/>
    <cellStyle name="강조색6 4" xfId="19413" hidden="1"/>
    <cellStyle name="강조색6 4" xfId="19423" hidden="1"/>
    <cellStyle name="강조색6 4" xfId="19463" hidden="1"/>
    <cellStyle name="강조색6 4" xfId="19503" hidden="1"/>
    <cellStyle name="강조색6 4" xfId="19543" hidden="1"/>
    <cellStyle name="강조색6 4" xfId="19583" hidden="1"/>
    <cellStyle name="강조색6 4" xfId="19623" hidden="1"/>
    <cellStyle name="강조색6 4" xfId="19663" hidden="1"/>
    <cellStyle name="강조색6 4" xfId="19703" hidden="1"/>
    <cellStyle name="강조색6 4" xfId="19743" hidden="1"/>
    <cellStyle name="강조색6 4" xfId="19783" hidden="1"/>
    <cellStyle name="강조색6 4" xfId="19823" hidden="1"/>
    <cellStyle name="강조색6 4" xfId="19863" hidden="1"/>
    <cellStyle name="강조색6 4" xfId="19947" hidden="1"/>
    <cellStyle name="강조색6 4" xfId="19988" hidden="1"/>
    <cellStyle name="강조색6 4" xfId="20030" hidden="1"/>
    <cellStyle name="강조색6 4" xfId="20072" hidden="1"/>
    <cellStyle name="강조색6 4" xfId="20114" hidden="1"/>
    <cellStyle name="강조색6 4" xfId="20156" hidden="1"/>
    <cellStyle name="강조색6 4" xfId="20198" hidden="1"/>
    <cellStyle name="강조색6 4" xfId="20240" hidden="1"/>
    <cellStyle name="강조색6 4" xfId="20282" hidden="1"/>
    <cellStyle name="강조색6 4" xfId="20324" hidden="1"/>
    <cellStyle name="강조색6 4" xfId="20366" hidden="1"/>
    <cellStyle name="강조색6 4" xfId="20408" hidden="1"/>
    <cellStyle name="강조색6 4" xfId="19904" hidden="1"/>
    <cellStyle name="강조색6 4" xfId="20587" hidden="1"/>
    <cellStyle name="강조색6 4" xfId="20627" hidden="1"/>
    <cellStyle name="강조색6 4" xfId="20667" hidden="1"/>
    <cellStyle name="강조색6 4" xfId="20707" hidden="1"/>
    <cellStyle name="강조색6 4" xfId="20747" hidden="1"/>
    <cellStyle name="강조색6 4" xfId="20787" hidden="1"/>
    <cellStyle name="강조색6 4" xfId="20827" hidden="1"/>
    <cellStyle name="강조색6 4" xfId="20867" hidden="1"/>
    <cellStyle name="강조색6 4" xfId="20907" hidden="1"/>
    <cellStyle name="강조색6 4" xfId="20947" hidden="1"/>
    <cellStyle name="강조색6 4" xfId="20987" hidden="1"/>
    <cellStyle name="강조색6 4" xfId="21027" hidden="1"/>
    <cellStyle name="강조색6 4" xfId="20457" hidden="1"/>
    <cellStyle name="강조색6 4" xfId="20418" hidden="1"/>
    <cellStyle name="강조색6 4" xfId="21069" hidden="1"/>
    <cellStyle name="강조색6 4" xfId="21111" hidden="1"/>
    <cellStyle name="강조색6 4" xfId="21153" hidden="1"/>
    <cellStyle name="강조색6 4" xfId="21195" hidden="1"/>
    <cellStyle name="강조색6 4" xfId="21237" hidden="1"/>
    <cellStyle name="강조색6 4" xfId="21279" hidden="1"/>
    <cellStyle name="강조색6 4" xfId="21321" hidden="1"/>
    <cellStyle name="강조색6 4" xfId="21363" hidden="1"/>
    <cellStyle name="강조색6 4" xfId="21405" hidden="1"/>
    <cellStyle name="강조색6 4" xfId="21447" hidden="1"/>
    <cellStyle name="강조색6 4" xfId="20510" hidden="1"/>
    <cellStyle name="강조색6 4" xfId="21475" hidden="1"/>
    <cellStyle name="강조색6 4" xfId="21515" hidden="1"/>
    <cellStyle name="강조색6 4" xfId="21555" hidden="1"/>
    <cellStyle name="강조색6 4" xfId="21595" hidden="1"/>
    <cellStyle name="강조색6 4" xfId="21635" hidden="1"/>
    <cellStyle name="강조색6 4" xfId="21675" hidden="1"/>
    <cellStyle name="강조색6 4" xfId="21715" hidden="1"/>
    <cellStyle name="강조색6 4" xfId="21755" hidden="1"/>
    <cellStyle name="강조색6 4" xfId="21795" hidden="1"/>
    <cellStyle name="강조색6 4" xfId="21835" hidden="1"/>
    <cellStyle name="강조색6 4" xfId="21875" hidden="1"/>
    <cellStyle name="강조색6 4" xfId="21915" hidden="1"/>
    <cellStyle name="강조색6 4" xfId="21983" hidden="1"/>
    <cellStyle name="강조색6 4" xfId="22023" hidden="1"/>
    <cellStyle name="강조색6 4" xfId="22063" hidden="1"/>
    <cellStyle name="강조색6 4" xfId="22103" hidden="1"/>
    <cellStyle name="강조색6 4" xfId="22143" hidden="1"/>
    <cellStyle name="강조색6 4" xfId="22183" hidden="1"/>
    <cellStyle name="강조색6 4" xfId="22223" hidden="1"/>
    <cellStyle name="강조색6 4" xfId="22263" hidden="1"/>
    <cellStyle name="강조색6 4" xfId="22303" hidden="1"/>
    <cellStyle name="강조색6 4" xfId="22343" hidden="1"/>
    <cellStyle name="강조색6 4" xfId="22383" hidden="1"/>
    <cellStyle name="강조색6 4" xfId="22423" hidden="1"/>
    <cellStyle name="강조색6 4" xfId="22507" hidden="1"/>
    <cellStyle name="강조색6 4" xfId="22548" hidden="1"/>
    <cellStyle name="강조색6 4" xfId="22590" hidden="1"/>
    <cellStyle name="강조색6 4" xfId="22632" hidden="1"/>
    <cellStyle name="강조색6 4" xfId="22674" hidden="1"/>
    <cellStyle name="강조색6 4" xfId="22716" hidden="1"/>
    <cellStyle name="강조색6 4" xfId="22758" hidden="1"/>
    <cellStyle name="강조색6 4" xfId="22800" hidden="1"/>
    <cellStyle name="강조색6 4" xfId="22842" hidden="1"/>
    <cellStyle name="강조색6 4" xfId="22884" hidden="1"/>
    <cellStyle name="강조색6 4" xfId="22926" hidden="1"/>
    <cellStyle name="강조색6 4" xfId="22968" hidden="1"/>
    <cellStyle name="강조색6 4" xfId="22464" hidden="1"/>
    <cellStyle name="강조색6 4" xfId="23147" hidden="1"/>
    <cellStyle name="강조색6 4" xfId="23187" hidden="1"/>
    <cellStyle name="강조색6 4" xfId="23227" hidden="1"/>
    <cellStyle name="강조색6 4" xfId="23267" hidden="1"/>
    <cellStyle name="강조색6 4" xfId="23307" hidden="1"/>
    <cellStyle name="강조색6 4" xfId="23347" hidden="1"/>
    <cellStyle name="강조색6 4" xfId="23387" hidden="1"/>
    <cellStyle name="강조색6 4" xfId="23427" hidden="1"/>
    <cellStyle name="강조색6 4" xfId="23467" hidden="1"/>
    <cellStyle name="강조색6 4" xfId="23507" hidden="1"/>
    <cellStyle name="강조색6 4" xfId="23547" hidden="1"/>
    <cellStyle name="강조색6 4" xfId="23587" hidden="1"/>
    <cellStyle name="강조색6 4" xfId="23017" hidden="1"/>
    <cellStyle name="강조색6 4" xfId="22978" hidden="1"/>
    <cellStyle name="강조색6 4" xfId="23629" hidden="1"/>
    <cellStyle name="강조색6 4" xfId="23671" hidden="1"/>
    <cellStyle name="강조색6 4" xfId="23713" hidden="1"/>
    <cellStyle name="강조색6 4" xfId="23755" hidden="1"/>
    <cellStyle name="강조색6 4" xfId="23797" hidden="1"/>
    <cellStyle name="강조색6 4" xfId="23839" hidden="1"/>
    <cellStyle name="강조색6 4" xfId="23881" hidden="1"/>
    <cellStyle name="강조색6 4" xfId="23923" hidden="1"/>
    <cellStyle name="강조색6 4" xfId="23965" hidden="1"/>
    <cellStyle name="강조색6 4" xfId="24007" hidden="1"/>
    <cellStyle name="강조색6 4" xfId="23070" hidden="1"/>
    <cellStyle name="강조색6 4" xfId="24035" hidden="1"/>
    <cellStyle name="강조색6 4" xfId="24075" hidden="1"/>
    <cellStyle name="강조색6 4" xfId="24115" hidden="1"/>
    <cellStyle name="강조색6 4" xfId="24155" hidden="1"/>
    <cellStyle name="강조색6 4" xfId="24195" hidden="1"/>
    <cellStyle name="강조색6 4" xfId="24235" hidden="1"/>
    <cellStyle name="강조색6 4" xfId="24275" hidden="1"/>
    <cellStyle name="강조색6 4" xfId="24315" hidden="1"/>
    <cellStyle name="강조색6 4" xfId="24355" hidden="1"/>
    <cellStyle name="강조색6 4" xfId="24395" hidden="1"/>
    <cellStyle name="강조색6 4" xfId="24435" hidden="1"/>
    <cellStyle name="강조색6 4" xfId="24475" hidden="1"/>
    <cellStyle name="강조색6 4" xfId="24573" hidden="1"/>
    <cellStyle name="강조색6 4" xfId="24613" hidden="1"/>
    <cellStyle name="강조색6 4" xfId="24655" hidden="1"/>
    <cellStyle name="강조색6 4" xfId="24696" hidden="1"/>
    <cellStyle name="강조색6 4" xfId="24736" hidden="1"/>
    <cellStyle name="강조색6 4" xfId="24776" hidden="1"/>
    <cellStyle name="강조색6 4" xfId="24816" hidden="1"/>
    <cellStyle name="강조색6 4" xfId="24856" hidden="1"/>
    <cellStyle name="강조색6 4" xfId="24896" hidden="1"/>
    <cellStyle name="강조색6 4" xfId="24936" hidden="1"/>
    <cellStyle name="강조색6 4" xfId="24976" hidden="1"/>
    <cellStyle name="강조색6 4" xfId="25016" hidden="1"/>
    <cellStyle name="강조색6 4" xfId="25100" hidden="1"/>
    <cellStyle name="강조색6 4" xfId="25141" hidden="1"/>
    <cellStyle name="강조색6 4" xfId="25183" hidden="1"/>
    <cellStyle name="강조색6 4" xfId="25225" hidden="1"/>
    <cellStyle name="강조색6 4" xfId="25267" hidden="1"/>
    <cellStyle name="강조색6 4" xfId="25309" hidden="1"/>
    <cellStyle name="강조색6 4" xfId="25351" hidden="1"/>
    <cellStyle name="강조색6 4" xfId="25393" hidden="1"/>
    <cellStyle name="강조색6 4" xfId="25435" hidden="1"/>
    <cellStyle name="강조색6 4" xfId="25477" hidden="1"/>
    <cellStyle name="강조색6 4" xfId="25519" hidden="1"/>
    <cellStyle name="강조색6 4" xfId="25561" hidden="1"/>
    <cellStyle name="강조색6 4" xfId="25057" hidden="1"/>
    <cellStyle name="강조색6 4" xfId="25740" hidden="1"/>
    <cellStyle name="강조색6 4" xfId="25780" hidden="1"/>
    <cellStyle name="강조색6 4" xfId="25820" hidden="1"/>
    <cellStyle name="강조색6 4" xfId="25860" hidden="1"/>
    <cellStyle name="강조색6 4" xfId="25900" hidden="1"/>
    <cellStyle name="강조색6 4" xfId="25940" hidden="1"/>
    <cellStyle name="강조색6 4" xfId="25980" hidden="1"/>
    <cellStyle name="강조색6 4" xfId="26020" hidden="1"/>
    <cellStyle name="강조색6 4" xfId="26060" hidden="1"/>
    <cellStyle name="강조색6 4" xfId="26100" hidden="1"/>
    <cellStyle name="강조색6 4" xfId="26140" hidden="1"/>
    <cellStyle name="강조색6 4" xfId="26180" hidden="1"/>
    <cellStyle name="강조색6 4" xfId="25610" hidden="1"/>
    <cellStyle name="강조색6 4" xfId="25571" hidden="1"/>
    <cellStyle name="강조색6 4" xfId="26222" hidden="1"/>
    <cellStyle name="강조색6 4" xfId="26264" hidden="1"/>
    <cellStyle name="강조색6 4" xfId="26306" hidden="1"/>
    <cellStyle name="강조색6 4" xfId="26348" hidden="1"/>
    <cellStyle name="강조색6 4" xfId="26390" hidden="1"/>
    <cellStyle name="강조색6 4" xfId="26432" hidden="1"/>
    <cellStyle name="강조색6 4" xfId="26474" hidden="1"/>
    <cellStyle name="강조색6 4" xfId="26516" hidden="1"/>
    <cellStyle name="강조색6 4" xfId="26558" hidden="1"/>
    <cellStyle name="강조색6 4" xfId="26600" hidden="1"/>
    <cellStyle name="강조색6 4" xfId="25663" hidden="1"/>
    <cellStyle name="강조색6 4" xfId="26628" hidden="1"/>
    <cellStyle name="강조색6 4" xfId="26668" hidden="1"/>
    <cellStyle name="강조색6 4" xfId="26708" hidden="1"/>
    <cellStyle name="강조색6 4" xfId="26748" hidden="1"/>
    <cellStyle name="강조색6 4" xfId="26788" hidden="1"/>
    <cellStyle name="강조색6 4" xfId="26828" hidden="1"/>
    <cellStyle name="강조색6 4" xfId="26868" hidden="1"/>
    <cellStyle name="강조색6 4" xfId="26908" hidden="1"/>
    <cellStyle name="강조색6 4" xfId="26948" hidden="1"/>
    <cellStyle name="강조색6 4" xfId="26988" hidden="1"/>
    <cellStyle name="강조색6 4" xfId="27028" hidden="1"/>
    <cellStyle name="강조색6 4" xfId="27068" hidden="1"/>
    <cellStyle name="강조색6 4" xfId="27079" hidden="1"/>
    <cellStyle name="강조색6 4" xfId="27119" hidden="1"/>
    <cellStyle name="강조색6 4" xfId="27159" hidden="1"/>
    <cellStyle name="강조색6 4" xfId="27199" hidden="1"/>
    <cellStyle name="강조색6 4" xfId="27239" hidden="1"/>
    <cellStyle name="강조색6 4" xfId="27279" hidden="1"/>
    <cellStyle name="강조색6 4" xfId="27319" hidden="1"/>
    <cellStyle name="강조색6 4" xfId="27359" hidden="1"/>
    <cellStyle name="강조색6 4" xfId="27399" hidden="1"/>
    <cellStyle name="강조색6 4" xfId="27439" hidden="1"/>
    <cellStyle name="강조색6 4" xfId="27479" hidden="1"/>
    <cellStyle name="강조색6 4" xfId="27519" hidden="1"/>
    <cellStyle name="강조색6 4" xfId="27603" hidden="1"/>
    <cellStyle name="강조색6 4" xfId="27644" hidden="1"/>
    <cellStyle name="강조색6 4" xfId="27686" hidden="1"/>
    <cellStyle name="강조색6 4" xfId="27728" hidden="1"/>
    <cellStyle name="강조색6 4" xfId="27770" hidden="1"/>
    <cellStyle name="강조색6 4" xfId="27812" hidden="1"/>
    <cellStyle name="강조색6 4" xfId="27854" hidden="1"/>
    <cellStyle name="강조색6 4" xfId="27896" hidden="1"/>
    <cellStyle name="강조색6 4" xfId="27938" hidden="1"/>
    <cellStyle name="강조색6 4" xfId="27980" hidden="1"/>
    <cellStyle name="강조색6 4" xfId="28022" hidden="1"/>
    <cellStyle name="강조색6 4" xfId="28064" hidden="1"/>
    <cellStyle name="강조색6 4" xfId="27560" hidden="1"/>
    <cellStyle name="강조색6 4" xfId="28243" hidden="1"/>
    <cellStyle name="강조색6 4" xfId="28283" hidden="1"/>
    <cellStyle name="강조색6 4" xfId="28323" hidden="1"/>
    <cellStyle name="강조색6 4" xfId="28363" hidden="1"/>
    <cellStyle name="강조색6 4" xfId="28403" hidden="1"/>
    <cellStyle name="강조색6 4" xfId="28443" hidden="1"/>
    <cellStyle name="강조색6 4" xfId="28483" hidden="1"/>
    <cellStyle name="강조색6 4" xfId="28523" hidden="1"/>
    <cellStyle name="강조색6 4" xfId="28563" hidden="1"/>
    <cellStyle name="강조색6 4" xfId="28603" hidden="1"/>
    <cellStyle name="강조색6 4" xfId="28643" hidden="1"/>
    <cellStyle name="강조색6 4" xfId="28683" hidden="1"/>
    <cellStyle name="강조색6 4" xfId="28113" hidden="1"/>
    <cellStyle name="강조색6 4" xfId="28074" hidden="1"/>
    <cellStyle name="강조색6 4" xfId="28725" hidden="1"/>
    <cellStyle name="강조색6 4" xfId="28767" hidden="1"/>
    <cellStyle name="강조색6 4" xfId="28809" hidden="1"/>
    <cellStyle name="강조색6 4" xfId="28851" hidden="1"/>
    <cellStyle name="강조색6 4" xfId="28893" hidden="1"/>
    <cellStyle name="강조색6 4" xfId="28935" hidden="1"/>
    <cellStyle name="강조색6 4" xfId="28977" hidden="1"/>
    <cellStyle name="강조색6 4" xfId="29019" hidden="1"/>
    <cellStyle name="강조색6 4" xfId="29061" hidden="1"/>
    <cellStyle name="강조색6 4" xfId="29103" hidden="1"/>
    <cellStyle name="강조색6 4" xfId="28166" hidden="1"/>
    <cellStyle name="강조색6 4" xfId="29131" hidden="1"/>
    <cellStyle name="강조색6 4" xfId="29171" hidden="1"/>
    <cellStyle name="강조색6 4" xfId="29211" hidden="1"/>
    <cellStyle name="강조색6 4" xfId="29251" hidden="1"/>
    <cellStyle name="강조색6 4" xfId="29291" hidden="1"/>
    <cellStyle name="강조색6 4" xfId="29331" hidden="1"/>
    <cellStyle name="강조색6 4" xfId="29371" hidden="1"/>
    <cellStyle name="강조색6 4" xfId="29411" hidden="1"/>
    <cellStyle name="강조색6 4" xfId="29451" hidden="1"/>
    <cellStyle name="강조색6 4" xfId="29491" hidden="1"/>
    <cellStyle name="강조색6 4" xfId="29531" hidden="1"/>
    <cellStyle name="강조색6 4" xfId="29571" hidden="1"/>
    <cellStyle name="강조색6 4" xfId="29581" hidden="1"/>
    <cellStyle name="강조색6 4" xfId="29621" hidden="1"/>
    <cellStyle name="강조색6 4" xfId="29661" hidden="1"/>
    <cellStyle name="강조색6 4" xfId="29701" hidden="1"/>
    <cellStyle name="강조색6 4" xfId="29741" hidden="1"/>
    <cellStyle name="강조색6 4" xfId="29781" hidden="1"/>
    <cellStyle name="강조색6 4" xfId="29821" hidden="1"/>
    <cellStyle name="강조색6 4" xfId="29861" hidden="1"/>
    <cellStyle name="강조색6 4" xfId="29901" hidden="1"/>
    <cellStyle name="강조색6 4" xfId="29941" hidden="1"/>
    <cellStyle name="강조색6 4" xfId="29981" hidden="1"/>
    <cellStyle name="강조색6 4" xfId="30021" hidden="1"/>
    <cellStyle name="강조색6 4" xfId="30105" hidden="1"/>
    <cellStyle name="강조색6 4" xfId="30146" hidden="1"/>
    <cellStyle name="강조색6 4" xfId="30188" hidden="1"/>
    <cellStyle name="강조색6 4" xfId="30230" hidden="1"/>
    <cellStyle name="강조색6 4" xfId="30272" hidden="1"/>
    <cellStyle name="강조색6 4" xfId="30314" hidden="1"/>
    <cellStyle name="강조색6 4" xfId="30356" hidden="1"/>
    <cellStyle name="강조색6 4" xfId="30398" hidden="1"/>
    <cellStyle name="강조색6 4" xfId="30440" hidden="1"/>
    <cellStyle name="강조색6 4" xfId="30482" hidden="1"/>
    <cellStyle name="강조색6 4" xfId="30524" hidden="1"/>
    <cellStyle name="강조색6 4" xfId="30566" hidden="1"/>
    <cellStyle name="강조색6 4" xfId="30062" hidden="1"/>
    <cellStyle name="강조색6 4" xfId="30745" hidden="1"/>
    <cellStyle name="강조색6 4" xfId="30785" hidden="1"/>
    <cellStyle name="강조색6 4" xfId="30825" hidden="1"/>
    <cellStyle name="강조색6 4" xfId="30865" hidden="1"/>
    <cellStyle name="강조색6 4" xfId="30905" hidden="1"/>
    <cellStyle name="강조색6 4" xfId="30945" hidden="1"/>
    <cellStyle name="강조색6 4" xfId="30985" hidden="1"/>
    <cellStyle name="강조색6 4" xfId="31025" hidden="1"/>
    <cellStyle name="강조색6 4" xfId="31065" hidden="1"/>
    <cellStyle name="강조색6 4" xfId="31105" hidden="1"/>
    <cellStyle name="강조색6 4" xfId="31145" hidden="1"/>
    <cellStyle name="강조색6 4" xfId="31185" hidden="1"/>
    <cellStyle name="강조색6 4" xfId="30615" hidden="1"/>
    <cellStyle name="강조색6 4" xfId="30576" hidden="1"/>
    <cellStyle name="강조색6 4" xfId="31227" hidden="1"/>
    <cellStyle name="강조색6 4" xfId="31269" hidden="1"/>
    <cellStyle name="강조색6 4" xfId="31311" hidden="1"/>
    <cellStyle name="강조색6 4" xfId="31353" hidden="1"/>
    <cellStyle name="강조색6 4" xfId="31395" hidden="1"/>
    <cellStyle name="강조색6 4" xfId="31437" hidden="1"/>
    <cellStyle name="강조색6 4" xfId="31479" hidden="1"/>
    <cellStyle name="강조색6 4" xfId="31521" hidden="1"/>
    <cellStyle name="강조색6 4" xfId="31563" hidden="1"/>
    <cellStyle name="강조색6 4" xfId="31605" hidden="1"/>
    <cellStyle name="강조색6 4" xfId="30668" hidden="1"/>
    <cellStyle name="강조색6 4" xfId="31633" hidden="1"/>
    <cellStyle name="강조색6 4" xfId="31673" hidden="1"/>
    <cellStyle name="강조색6 4" xfId="31713" hidden="1"/>
    <cellStyle name="강조색6 4" xfId="31753" hidden="1"/>
    <cellStyle name="강조색6 4" xfId="31793" hidden="1"/>
    <cellStyle name="강조색6 4" xfId="31833" hidden="1"/>
    <cellStyle name="강조색6 4" xfId="31873" hidden="1"/>
    <cellStyle name="강조색6 4" xfId="31913" hidden="1"/>
    <cellStyle name="강조색6 4" xfId="31953" hidden="1"/>
    <cellStyle name="강조색6 4" xfId="31993" hidden="1"/>
    <cellStyle name="강조색6 4" xfId="32033" hidden="1"/>
    <cellStyle name="강조색6 4" xfId="32073" hidden="1"/>
    <cellStyle name="강조색6 4" xfId="32135" hidden="1"/>
    <cellStyle name="강조색6 4" xfId="32175" hidden="1"/>
    <cellStyle name="강조색6 4" xfId="32215" hidden="1"/>
    <cellStyle name="강조색6 4" xfId="32255" hidden="1"/>
    <cellStyle name="강조색6 4" xfId="32295" hidden="1"/>
    <cellStyle name="강조색6 4" xfId="32335" hidden="1"/>
    <cellStyle name="강조색6 4" xfId="32375" hidden="1"/>
    <cellStyle name="강조색6 4" xfId="32415" hidden="1"/>
    <cellStyle name="강조색6 4" xfId="32455" hidden="1"/>
    <cellStyle name="강조색6 4" xfId="32495" hidden="1"/>
    <cellStyle name="강조색6 4" xfId="32535" hidden="1"/>
    <cellStyle name="강조색6 4" xfId="32575" hidden="1"/>
    <cellStyle name="강조색6 4" xfId="32660" hidden="1"/>
    <cellStyle name="강조색6 4" xfId="32701" hidden="1"/>
    <cellStyle name="강조색6 4" xfId="32743" hidden="1"/>
    <cellStyle name="강조색6 4" xfId="32785" hidden="1"/>
    <cellStyle name="강조색6 4" xfId="32827" hidden="1"/>
    <cellStyle name="강조색6 4" xfId="32869" hidden="1"/>
    <cellStyle name="강조색6 4" xfId="32911" hidden="1"/>
    <cellStyle name="강조색6 4" xfId="32953" hidden="1"/>
    <cellStyle name="강조색6 4" xfId="32995" hidden="1"/>
    <cellStyle name="강조색6 4" xfId="33037" hidden="1"/>
    <cellStyle name="강조색6 4" xfId="33079" hidden="1"/>
    <cellStyle name="강조색6 4" xfId="33121" hidden="1"/>
    <cellStyle name="강조색6 4" xfId="32617" hidden="1"/>
    <cellStyle name="강조색6 4" xfId="33300" hidden="1"/>
    <cellStyle name="강조색6 4" xfId="33340" hidden="1"/>
    <cellStyle name="강조색6 4" xfId="33380" hidden="1"/>
    <cellStyle name="강조색6 4" xfId="33420" hidden="1"/>
    <cellStyle name="강조색6 4" xfId="33460" hidden="1"/>
    <cellStyle name="강조색6 4" xfId="33500" hidden="1"/>
    <cellStyle name="강조색6 4" xfId="33540" hidden="1"/>
    <cellStyle name="강조색6 4" xfId="33580" hidden="1"/>
    <cellStyle name="강조색6 4" xfId="33620" hidden="1"/>
    <cellStyle name="강조색6 4" xfId="33660" hidden="1"/>
    <cellStyle name="강조색6 4" xfId="33700" hidden="1"/>
    <cellStyle name="강조색6 4" xfId="33740" hidden="1"/>
    <cellStyle name="강조색6 4" xfId="33170" hidden="1"/>
    <cellStyle name="강조색6 4" xfId="33131" hidden="1"/>
    <cellStyle name="강조색6 4" xfId="33782" hidden="1"/>
    <cellStyle name="강조색6 4" xfId="33824" hidden="1"/>
    <cellStyle name="강조색6 4" xfId="33866" hidden="1"/>
    <cellStyle name="강조색6 4" xfId="33908" hidden="1"/>
    <cellStyle name="강조색6 4" xfId="33950" hidden="1"/>
    <cellStyle name="강조색6 4" xfId="33992" hidden="1"/>
    <cellStyle name="강조색6 4" xfId="34034" hidden="1"/>
    <cellStyle name="강조색6 4" xfId="34076" hidden="1"/>
    <cellStyle name="강조색6 4" xfId="34118" hidden="1"/>
    <cellStyle name="강조색6 4" xfId="34160" hidden="1"/>
    <cellStyle name="강조색6 4" xfId="33223" hidden="1"/>
    <cellStyle name="강조색6 4" xfId="34188" hidden="1"/>
    <cellStyle name="강조색6 4" xfId="34228" hidden="1"/>
    <cellStyle name="강조색6 4" xfId="34268" hidden="1"/>
    <cellStyle name="강조색6 4" xfId="34308" hidden="1"/>
    <cellStyle name="강조색6 4" xfId="34348" hidden="1"/>
    <cellStyle name="강조색6 4" xfId="34388" hidden="1"/>
    <cellStyle name="강조색6 4" xfId="34428" hidden="1"/>
    <cellStyle name="강조색6 4" xfId="34468" hidden="1"/>
    <cellStyle name="강조색6 4" xfId="34508" hidden="1"/>
    <cellStyle name="강조색6 4" xfId="34548" hidden="1"/>
    <cellStyle name="강조색6 4" xfId="34588" hidden="1"/>
    <cellStyle name="강조색6 4" xfId="34628" hidden="1"/>
    <cellStyle name="강조색6 4" xfId="34725" hidden="1"/>
    <cellStyle name="강조색6 4" xfId="34765" hidden="1"/>
    <cellStyle name="강조색6 4" xfId="34805" hidden="1"/>
    <cellStyle name="강조색6 4" xfId="34845" hidden="1"/>
    <cellStyle name="강조색6 4" xfId="34885" hidden="1"/>
    <cellStyle name="강조색6 4" xfId="34925" hidden="1"/>
    <cellStyle name="강조색6 4" xfId="34965" hidden="1"/>
    <cellStyle name="강조색6 4" xfId="35005" hidden="1"/>
    <cellStyle name="강조색6 4" xfId="35045" hidden="1"/>
    <cellStyle name="강조색6 4" xfId="35085" hidden="1"/>
    <cellStyle name="강조색6 4" xfId="35125" hidden="1"/>
    <cellStyle name="강조색6 4" xfId="35165" hidden="1"/>
    <cellStyle name="강조색6 4" xfId="35249" hidden="1"/>
    <cellStyle name="강조색6 4" xfId="35290" hidden="1"/>
    <cellStyle name="강조색6 4" xfId="35332" hidden="1"/>
    <cellStyle name="강조색6 4" xfId="35374" hidden="1"/>
    <cellStyle name="강조색6 4" xfId="35416" hidden="1"/>
    <cellStyle name="강조색6 4" xfId="35458" hidden="1"/>
    <cellStyle name="강조색6 4" xfId="35500" hidden="1"/>
    <cellStyle name="강조색6 4" xfId="35542" hidden="1"/>
    <cellStyle name="강조색6 4" xfId="35584" hidden="1"/>
    <cellStyle name="강조색6 4" xfId="35626" hidden="1"/>
    <cellStyle name="강조색6 4" xfId="35668" hidden="1"/>
    <cellStyle name="강조색6 4" xfId="35710" hidden="1"/>
    <cellStyle name="강조색6 4" xfId="35206" hidden="1"/>
    <cellStyle name="강조색6 4" xfId="35889" hidden="1"/>
    <cellStyle name="강조색6 4" xfId="35929" hidden="1"/>
    <cellStyle name="강조색6 4" xfId="35969" hidden="1"/>
    <cellStyle name="강조색6 4" xfId="36009" hidden="1"/>
    <cellStyle name="강조색6 4" xfId="36049" hidden="1"/>
    <cellStyle name="강조색6 4" xfId="36089" hidden="1"/>
    <cellStyle name="강조색6 4" xfId="36129" hidden="1"/>
    <cellStyle name="강조색6 4" xfId="36169" hidden="1"/>
    <cellStyle name="강조색6 4" xfId="36209" hidden="1"/>
    <cellStyle name="강조색6 4" xfId="36249" hidden="1"/>
    <cellStyle name="강조색6 4" xfId="36289" hidden="1"/>
    <cellStyle name="강조색6 4" xfId="36329" hidden="1"/>
    <cellStyle name="강조색6 4" xfId="35759" hidden="1"/>
    <cellStyle name="강조색6 4" xfId="35720" hidden="1"/>
    <cellStyle name="강조색6 4" xfId="36371" hidden="1"/>
    <cellStyle name="강조색6 4" xfId="36413" hidden="1"/>
    <cellStyle name="강조색6 4" xfId="36455" hidden="1"/>
    <cellStyle name="강조색6 4" xfId="36497" hidden="1"/>
    <cellStyle name="강조색6 4" xfId="36539" hidden="1"/>
    <cellStyle name="강조색6 4" xfId="36581" hidden="1"/>
    <cellStyle name="강조색6 4" xfId="36623" hidden="1"/>
    <cellStyle name="강조색6 4" xfId="36665" hidden="1"/>
    <cellStyle name="강조색6 4" xfId="36707" hidden="1"/>
    <cellStyle name="강조색6 4" xfId="36749" hidden="1"/>
    <cellStyle name="강조색6 4" xfId="35812" hidden="1"/>
    <cellStyle name="강조색6 4" xfId="36777" hidden="1"/>
    <cellStyle name="강조색6 4" xfId="36817" hidden="1"/>
    <cellStyle name="강조색6 4" xfId="36857" hidden="1"/>
    <cellStyle name="강조색6 4" xfId="36897" hidden="1"/>
    <cellStyle name="강조색6 4" xfId="36937" hidden="1"/>
    <cellStyle name="강조색6 4" xfId="36977" hidden="1"/>
    <cellStyle name="강조색6 4" xfId="37017" hidden="1"/>
    <cellStyle name="강조색6 4" xfId="37057" hidden="1"/>
    <cellStyle name="강조색6 4" xfId="37097" hidden="1"/>
    <cellStyle name="강조색6 4" xfId="37137" hidden="1"/>
    <cellStyle name="강조색6 4" xfId="37177" hidden="1"/>
    <cellStyle name="강조색6 4" xfId="37217" hidden="1"/>
    <cellStyle name="강조색6 4" xfId="37228" hidden="1"/>
    <cellStyle name="강조색6 4" xfId="37268" hidden="1"/>
    <cellStyle name="강조색6 4" xfId="37309" hidden="1"/>
    <cellStyle name="강조색6 4" xfId="37349" hidden="1"/>
    <cellStyle name="강조색6 4" xfId="37389" hidden="1"/>
    <cellStyle name="강조색6 4" xfId="37429" hidden="1"/>
    <cellStyle name="강조색6 4" xfId="37469" hidden="1"/>
    <cellStyle name="강조색6 4" xfId="37509" hidden="1"/>
    <cellStyle name="강조색6 4" xfId="37549" hidden="1"/>
    <cellStyle name="강조색6 4" xfId="37589" hidden="1"/>
    <cellStyle name="강조색6 4" xfId="37629" hidden="1"/>
    <cellStyle name="강조색6 4" xfId="37669" hidden="1"/>
    <cellStyle name="강조색6 4" xfId="37753" hidden="1"/>
    <cellStyle name="강조색6 4" xfId="37794" hidden="1"/>
    <cellStyle name="강조색6 4" xfId="37836" hidden="1"/>
    <cellStyle name="강조색6 4" xfId="37878" hidden="1"/>
    <cellStyle name="강조색6 4" xfId="37920" hidden="1"/>
    <cellStyle name="강조색6 4" xfId="37962" hidden="1"/>
    <cellStyle name="강조색6 4" xfId="38004" hidden="1"/>
    <cellStyle name="강조색6 4" xfId="38046" hidden="1"/>
    <cellStyle name="강조색6 4" xfId="38088" hidden="1"/>
    <cellStyle name="강조색6 4" xfId="38130" hidden="1"/>
    <cellStyle name="강조색6 4" xfId="38172" hidden="1"/>
    <cellStyle name="강조색6 4" xfId="38214" hidden="1"/>
    <cellStyle name="강조색6 4" xfId="37710" hidden="1"/>
    <cellStyle name="강조색6 4" xfId="38393" hidden="1"/>
    <cellStyle name="강조색6 4" xfId="38433" hidden="1"/>
    <cellStyle name="강조색6 4" xfId="38473" hidden="1"/>
    <cellStyle name="강조색6 4" xfId="38513" hidden="1"/>
    <cellStyle name="강조색6 4" xfId="38553" hidden="1"/>
    <cellStyle name="강조색6 4" xfId="38593" hidden="1"/>
    <cellStyle name="강조색6 4" xfId="38633" hidden="1"/>
    <cellStyle name="강조색6 4" xfId="38673" hidden="1"/>
    <cellStyle name="강조색6 4" xfId="38713" hidden="1"/>
    <cellStyle name="강조색6 4" xfId="38753" hidden="1"/>
    <cellStyle name="강조색6 4" xfId="38793" hidden="1"/>
    <cellStyle name="강조색6 4" xfId="38833" hidden="1"/>
    <cellStyle name="강조색6 4" xfId="38263" hidden="1"/>
    <cellStyle name="강조색6 4" xfId="38224" hidden="1"/>
    <cellStyle name="강조색6 4" xfId="38875" hidden="1"/>
    <cellStyle name="강조색6 4" xfId="38917" hidden="1"/>
    <cellStyle name="강조색6 4" xfId="38959" hidden="1"/>
    <cellStyle name="강조색6 4" xfId="39001" hidden="1"/>
    <cellStyle name="강조색6 4" xfId="39043" hidden="1"/>
    <cellStyle name="강조색6 4" xfId="39085" hidden="1"/>
    <cellStyle name="강조색6 4" xfId="39127" hidden="1"/>
    <cellStyle name="강조색6 4" xfId="39169" hidden="1"/>
    <cellStyle name="강조색6 4" xfId="39211" hidden="1"/>
    <cellStyle name="강조색6 4" xfId="39253" hidden="1"/>
    <cellStyle name="강조색6 4" xfId="38316" hidden="1"/>
    <cellStyle name="강조색6 4" xfId="39281" hidden="1"/>
    <cellStyle name="강조색6 4" xfId="39321" hidden="1"/>
    <cellStyle name="강조색6 4" xfId="39361" hidden="1"/>
    <cellStyle name="강조색6 4" xfId="39401" hidden="1"/>
    <cellStyle name="강조색6 4" xfId="39441" hidden="1"/>
    <cellStyle name="강조색6 4" xfId="39481" hidden="1"/>
    <cellStyle name="강조색6 4" xfId="39521" hidden="1"/>
    <cellStyle name="강조색6 4" xfId="39561" hidden="1"/>
    <cellStyle name="강조색6 4" xfId="39601" hidden="1"/>
    <cellStyle name="강조색6 4" xfId="39641" hidden="1"/>
    <cellStyle name="강조색6 4" xfId="39681" hidden="1"/>
    <cellStyle name="강조색6 4" xfId="39721" hidden="1"/>
    <cellStyle name="강조색6 4" xfId="39731" hidden="1"/>
    <cellStyle name="강조색6 4" xfId="39771" hidden="1"/>
    <cellStyle name="강조색6 4" xfId="39811" hidden="1"/>
    <cellStyle name="강조색6 4" xfId="39851" hidden="1"/>
    <cellStyle name="강조색6 4" xfId="39891" hidden="1"/>
    <cellStyle name="강조색6 4" xfId="39931" hidden="1"/>
    <cellStyle name="강조색6 4" xfId="39971" hidden="1"/>
    <cellStyle name="강조색6 4" xfId="40011" hidden="1"/>
    <cellStyle name="강조색6 4" xfId="40051" hidden="1"/>
    <cellStyle name="강조색6 4" xfId="40091" hidden="1"/>
    <cellStyle name="강조색6 4" xfId="40131" hidden="1"/>
    <cellStyle name="강조색6 4" xfId="40171" hidden="1"/>
    <cellStyle name="강조색6 4" xfId="40255" hidden="1"/>
    <cellStyle name="강조색6 4" xfId="40296" hidden="1"/>
    <cellStyle name="강조색6 4" xfId="40338" hidden="1"/>
    <cellStyle name="강조색6 4" xfId="40380" hidden="1"/>
    <cellStyle name="강조색6 4" xfId="40422" hidden="1"/>
    <cellStyle name="강조색6 4" xfId="40464" hidden="1"/>
    <cellStyle name="강조색6 4" xfId="40506" hidden="1"/>
    <cellStyle name="강조색6 4" xfId="40548" hidden="1"/>
    <cellStyle name="강조색6 4" xfId="40590" hidden="1"/>
    <cellStyle name="강조색6 4" xfId="40632" hidden="1"/>
    <cellStyle name="강조색6 4" xfId="40674" hidden="1"/>
    <cellStyle name="강조색6 4" xfId="40716" hidden="1"/>
    <cellStyle name="강조색6 4" xfId="40212" hidden="1"/>
    <cellStyle name="강조색6 4" xfId="40895" hidden="1"/>
    <cellStyle name="강조색6 4" xfId="40935" hidden="1"/>
    <cellStyle name="강조색6 4" xfId="40975" hidden="1"/>
    <cellStyle name="강조색6 4" xfId="41015" hidden="1"/>
    <cellStyle name="강조색6 4" xfId="41055" hidden="1"/>
    <cellStyle name="강조색6 4" xfId="41095" hidden="1"/>
    <cellStyle name="강조색6 4" xfId="41135" hidden="1"/>
    <cellStyle name="강조색6 4" xfId="41175" hidden="1"/>
    <cellStyle name="강조색6 4" xfId="41215" hidden="1"/>
    <cellStyle name="강조색6 4" xfId="41255" hidden="1"/>
    <cellStyle name="강조색6 4" xfId="41295" hidden="1"/>
    <cellStyle name="강조색6 4" xfId="41335" hidden="1"/>
    <cellStyle name="강조색6 4" xfId="40765" hidden="1"/>
    <cellStyle name="강조색6 4" xfId="40726" hidden="1"/>
    <cellStyle name="강조색6 4" xfId="41377" hidden="1"/>
    <cellStyle name="강조색6 4" xfId="41419" hidden="1"/>
    <cellStyle name="강조색6 4" xfId="41461" hidden="1"/>
    <cellStyle name="강조색6 4" xfId="41503" hidden="1"/>
    <cellStyle name="강조색6 4" xfId="41545" hidden="1"/>
    <cellStyle name="강조색6 4" xfId="41587" hidden="1"/>
    <cellStyle name="강조색6 4" xfId="41629" hidden="1"/>
    <cellStyle name="강조색6 4" xfId="41671" hidden="1"/>
    <cellStyle name="강조색6 4" xfId="41713" hidden="1"/>
    <cellStyle name="강조색6 4" xfId="41755" hidden="1"/>
    <cellStyle name="강조색6 4" xfId="40818" hidden="1"/>
    <cellStyle name="강조색6 4" xfId="41783" hidden="1"/>
    <cellStyle name="강조색6 4" xfId="41823" hidden="1"/>
    <cellStyle name="강조색6 4" xfId="41863" hidden="1"/>
    <cellStyle name="강조색6 4" xfId="41903" hidden="1"/>
    <cellStyle name="강조색6 4" xfId="41943" hidden="1"/>
    <cellStyle name="강조색6 4" xfId="41983" hidden="1"/>
    <cellStyle name="강조색6 4" xfId="42023" hidden="1"/>
    <cellStyle name="강조색6 4" xfId="42063" hidden="1"/>
    <cellStyle name="강조색6 4" xfId="42103" hidden="1"/>
    <cellStyle name="강조색6 4" xfId="42143" hidden="1"/>
    <cellStyle name="강조색6 4" xfId="42183" hidden="1"/>
    <cellStyle name="강조색6 4" xfId="42223" hidden="1"/>
    <cellStyle name="강조색6 4" xfId="42266" hidden="1"/>
    <cellStyle name="강조색6 4" xfId="42306" hidden="1"/>
    <cellStyle name="강조색6 4" xfId="42346" hidden="1"/>
    <cellStyle name="강조색6 4" xfId="42386" hidden="1"/>
    <cellStyle name="강조색6 4" xfId="42426" hidden="1"/>
    <cellStyle name="강조색6 4" xfId="42466" hidden="1"/>
    <cellStyle name="강조색6 4" xfId="42506" hidden="1"/>
    <cellStyle name="강조색6 4" xfId="42546" hidden="1"/>
    <cellStyle name="강조색6 4" xfId="42586" hidden="1"/>
    <cellStyle name="강조색6 4" xfId="42626" hidden="1"/>
    <cellStyle name="강조색6 4" xfId="42666" hidden="1"/>
    <cellStyle name="강조색6 4" xfId="42706" hidden="1"/>
    <cellStyle name="강조색6 4" xfId="42790" hidden="1"/>
    <cellStyle name="강조색6 4" xfId="42831" hidden="1"/>
    <cellStyle name="강조색6 4" xfId="42873" hidden="1"/>
    <cellStyle name="강조색6 4" xfId="42915" hidden="1"/>
    <cellStyle name="강조색6 4" xfId="42957" hidden="1"/>
    <cellStyle name="강조색6 4" xfId="42999" hidden="1"/>
    <cellStyle name="강조색6 4" xfId="43041" hidden="1"/>
    <cellStyle name="강조색6 4" xfId="43083" hidden="1"/>
    <cellStyle name="강조색6 4" xfId="43125" hidden="1"/>
    <cellStyle name="강조색6 4" xfId="43167" hidden="1"/>
    <cellStyle name="강조색6 4" xfId="43209" hidden="1"/>
    <cellStyle name="강조색6 4" xfId="43251" hidden="1"/>
    <cellStyle name="강조색6 4" xfId="42747" hidden="1"/>
    <cellStyle name="강조색6 4" xfId="43430" hidden="1"/>
    <cellStyle name="강조색6 4" xfId="43470" hidden="1"/>
    <cellStyle name="강조색6 4" xfId="43510" hidden="1"/>
    <cellStyle name="강조색6 4" xfId="43550" hidden="1"/>
    <cellStyle name="강조색6 4" xfId="43590" hidden="1"/>
    <cellStyle name="강조색6 4" xfId="43630" hidden="1"/>
    <cellStyle name="강조색6 4" xfId="43670" hidden="1"/>
    <cellStyle name="강조색6 4" xfId="43710" hidden="1"/>
    <cellStyle name="강조색6 4" xfId="43750" hidden="1"/>
    <cellStyle name="강조색6 4" xfId="43790" hidden="1"/>
    <cellStyle name="강조색6 4" xfId="43830" hidden="1"/>
    <cellStyle name="강조색6 4" xfId="43870" hidden="1"/>
    <cellStyle name="강조색6 4" xfId="43300" hidden="1"/>
    <cellStyle name="강조색6 4" xfId="43261" hidden="1"/>
    <cellStyle name="강조색6 4" xfId="43912" hidden="1"/>
    <cellStyle name="강조색6 4" xfId="43954" hidden="1"/>
    <cellStyle name="강조색6 4" xfId="43996" hidden="1"/>
    <cellStyle name="강조색6 4" xfId="44038" hidden="1"/>
    <cellStyle name="강조색6 4" xfId="44080" hidden="1"/>
    <cellStyle name="강조색6 4" xfId="44122" hidden="1"/>
    <cellStyle name="강조색6 4" xfId="44164" hidden="1"/>
    <cellStyle name="강조색6 4" xfId="44206" hidden="1"/>
    <cellStyle name="강조색6 4" xfId="44248" hidden="1"/>
    <cellStyle name="강조색6 4" xfId="44290" hidden="1"/>
    <cellStyle name="강조색6 4" xfId="43353" hidden="1"/>
    <cellStyle name="강조색6 4" xfId="44318" hidden="1"/>
    <cellStyle name="강조색6 4" xfId="44358" hidden="1"/>
    <cellStyle name="강조색6 4" xfId="44398" hidden="1"/>
    <cellStyle name="강조색6 4" xfId="44438" hidden="1"/>
    <cellStyle name="강조색6 4" xfId="44478" hidden="1"/>
    <cellStyle name="강조색6 4" xfId="44518" hidden="1"/>
    <cellStyle name="강조색6 4" xfId="44558" hidden="1"/>
    <cellStyle name="강조색6 4" xfId="44598" hidden="1"/>
    <cellStyle name="강조색6 4" xfId="44638" hidden="1"/>
    <cellStyle name="강조색6 4" xfId="44678" hidden="1"/>
    <cellStyle name="강조색6 4" xfId="44718" hidden="1"/>
    <cellStyle name="강조색6 4" xfId="44758" hidden="1"/>
    <cellStyle name="강조색6 4" xfId="44854" hidden="1"/>
    <cellStyle name="강조색6 4" xfId="44894" hidden="1"/>
    <cellStyle name="강조색6 4" xfId="44936" hidden="1"/>
    <cellStyle name="강조색6 4" xfId="44977" hidden="1"/>
    <cellStyle name="강조색6 4" xfId="45017" hidden="1"/>
    <cellStyle name="강조색6 4" xfId="45057" hidden="1"/>
    <cellStyle name="강조색6 4" xfId="45097" hidden="1"/>
    <cellStyle name="강조색6 4" xfId="45137" hidden="1"/>
    <cellStyle name="강조색6 4" xfId="45177" hidden="1"/>
    <cellStyle name="강조색6 4" xfId="45217" hidden="1"/>
    <cellStyle name="강조색6 4" xfId="45257" hidden="1"/>
    <cellStyle name="강조색6 4" xfId="45297" hidden="1"/>
    <cellStyle name="강조색6 4" xfId="45381" hidden="1"/>
    <cellStyle name="강조색6 4" xfId="45422" hidden="1"/>
    <cellStyle name="강조색6 4" xfId="45464" hidden="1"/>
    <cellStyle name="강조색6 4" xfId="45506" hidden="1"/>
    <cellStyle name="강조색6 4" xfId="45548" hidden="1"/>
    <cellStyle name="강조색6 4" xfId="45590" hidden="1"/>
    <cellStyle name="강조색6 4" xfId="45632" hidden="1"/>
    <cellStyle name="강조색6 4" xfId="45674" hidden="1"/>
    <cellStyle name="강조색6 4" xfId="45716" hidden="1"/>
    <cellStyle name="강조색6 4" xfId="45758" hidden="1"/>
    <cellStyle name="강조색6 4" xfId="45800" hidden="1"/>
    <cellStyle name="강조색6 4" xfId="45842" hidden="1"/>
    <cellStyle name="강조색6 4" xfId="45338" hidden="1"/>
    <cellStyle name="강조색6 4" xfId="46021" hidden="1"/>
    <cellStyle name="강조색6 4" xfId="46061" hidden="1"/>
    <cellStyle name="강조색6 4" xfId="46101" hidden="1"/>
    <cellStyle name="강조색6 4" xfId="46141" hidden="1"/>
    <cellStyle name="강조색6 4" xfId="46181" hidden="1"/>
    <cellStyle name="강조색6 4" xfId="46221" hidden="1"/>
    <cellStyle name="강조색6 4" xfId="46261" hidden="1"/>
    <cellStyle name="강조색6 4" xfId="46301" hidden="1"/>
    <cellStyle name="강조색6 4" xfId="46341" hidden="1"/>
    <cellStyle name="강조색6 4" xfId="46381" hidden="1"/>
    <cellStyle name="강조색6 4" xfId="46421" hidden="1"/>
    <cellStyle name="강조색6 4" xfId="46461" hidden="1"/>
    <cellStyle name="강조색6 4" xfId="45891" hidden="1"/>
    <cellStyle name="강조색6 4" xfId="45852" hidden="1"/>
    <cellStyle name="강조색6 4" xfId="46503" hidden="1"/>
    <cellStyle name="강조색6 4" xfId="46545" hidden="1"/>
    <cellStyle name="강조색6 4" xfId="46587" hidden="1"/>
    <cellStyle name="강조색6 4" xfId="46629" hidden="1"/>
    <cellStyle name="강조색6 4" xfId="46671" hidden="1"/>
    <cellStyle name="강조색6 4" xfId="46713" hidden="1"/>
    <cellStyle name="강조색6 4" xfId="46755" hidden="1"/>
    <cellStyle name="강조색6 4" xfId="46797" hidden="1"/>
    <cellStyle name="강조색6 4" xfId="46839" hidden="1"/>
    <cellStyle name="강조색6 4" xfId="46881" hidden="1"/>
    <cellStyle name="강조색6 4" xfId="45944" hidden="1"/>
    <cellStyle name="강조색6 4" xfId="46909" hidden="1"/>
    <cellStyle name="강조색6 4" xfId="46949" hidden="1"/>
    <cellStyle name="강조색6 4" xfId="46989" hidden="1"/>
    <cellStyle name="강조색6 4" xfId="47029" hidden="1"/>
    <cellStyle name="강조색6 4" xfId="47069" hidden="1"/>
    <cellStyle name="강조색6 4" xfId="47109" hidden="1"/>
    <cellStyle name="강조색6 4" xfId="47149" hidden="1"/>
    <cellStyle name="강조색6 4" xfId="47189" hidden="1"/>
    <cellStyle name="강조색6 4" xfId="47229" hidden="1"/>
    <cellStyle name="강조색6 4" xfId="47269" hidden="1"/>
    <cellStyle name="강조색6 4" xfId="47309" hidden="1"/>
    <cellStyle name="강조색6 4" xfId="47349" hidden="1"/>
    <cellStyle name="강조색6 4" xfId="47360" hidden="1"/>
    <cellStyle name="강조색6 4" xfId="47400" hidden="1"/>
    <cellStyle name="강조색6 4" xfId="47440" hidden="1"/>
    <cellStyle name="강조색6 4" xfId="47480" hidden="1"/>
    <cellStyle name="강조색6 4" xfId="47520" hidden="1"/>
    <cellStyle name="강조색6 4" xfId="47560" hidden="1"/>
    <cellStyle name="강조색6 4" xfId="47600" hidden="1"/>
    <cellStyle name="강조색6 4" xfId="47640" hidden="1"/>
    <cellStyle name="강조색6 4" xfId="47680" hidden="1"/>
    <cellStyle name="강조색6 4" xfId="47720" hidden="1"/>
    <cellStyle name="강조색6 4" xfId="47760" hidden="1"/>
    <cellStyle name="강조색6 4" xfId="47800" hidden="1"/>
    <cellStyle name="강조색6 4" xfId="47884" hidden="1"/>
    <cellStyle name="강조색6 4" xfId="47925" hidden="1"/>
    <cellStyle name="강조색6 4" xfId="47967" hidden="1"/>
    <cellStyle name="강조색6 4" xfId="48009" hidden="1"/>
    <cellStyle name="강조색6 4" xfId="48051" hidden="1"/>
    <cellStyle name="강조색6 4" xfId="48093" hidden="1"/>
    <cellStyle name="강조색6 4" xfId="48135" hidden="1"/>
    <cellStyle name="강조색6 4" xfId="48177" hidden="1"/>
    <cellStyle name="강조색6 4" xfId="48219" hidden="1"/>
    <cellStyle name="강조색6 4" xfId="48261" hidden="1"/>
    <cellStyle name="강조색6 4" xfId="48303" hidden="1"/>
    <cellStyle name="강조색6 4" xfId="48345" hidden="1"/>
    <cellStyle name="강조색6 4" xfId="47841" hidden="1"/>
    <cellStyle name="강조색6 4" xfId="48524" hidden="1"/>
    <cellStyle name="강조색6 4" xfId="48564" hidden="1"/>
    <cellStyle name="강조색6 4" xfId="48604" hidden="1"/>
    <cellStyle name="강조색6 4" xfId="48644" hidden="1"/>
    <cellStyle name="강조색6 4" xfId="48684" hidden="1"/>
    <cellStyle name="강조색6 4" xfId="48724" hidden="1"/>
    <cellStyle name="강조색6 4" xfId="48764" hidden="1"/>
    <cellStyle name="강조색6 4" xfId="48804" hidden="1"/>
    <cellStyle name="강조색6 4" xfId="48844" hidden="1"/>
    <cellStyle name="강조색6 4" xfId="48884" hidden="1"/>
    <cellStyle name="강조색6 4" xfId="48924" hidden="1"/>
    <cellStyle name="강조색6 4" xfId="48964" hidden="1"/>
    <cellStyle name="강조색6 4" xfId="48394" hidden="1"/>
    <cellStyle name="강조색6 4" xfId="48355" hidden="1"/>
    <cellStyle name="강조색6 4" xfId="49006" hidden="1"/>
    <cellStyle name="강조색6 4" xfId="49048" hidden="1"/>
    <cellStyle name="강조색6 4" xfId="49090" hidden="1"/>
    <cellStyle name="강조색6 4" xfId="49132" hidden="1"/>
    <cellStyle name="강조색6 4" xfId="49174" hidden="1"/>
    <cellStyle name="강조색6 4" xfId="49216" hidden="1"/>
    <cellStyle name="강조색6 4" xfId="49258" hidden="1"/>
    <cellStyle name="강조색6 4" xfId="49300" hidden="1"/>
    <cellStyle name="강조색6 4" xfId="49342" hidden="1"/>
    <cellStyle name="강조색6 4" xfId="49384" hidden="1"/>
    <cellStyle name="강조색6 4" xfId="48447" hidden="1"/>
    <cellStyle name="강조색6 4" xfId="49412" hidden="1"/>
    <cellStyle name="강조색6 4" xfId="49452" hidden="1"/>
    <cellStyle name="강조색6 4" xfId="49492" hidden="1"/>
    <cellStyle name="강조색6 4" xfId="49532" hidden="1"/>
    <cellStyle name="강조색6 4" xfId="49572" hidden="1"/>
    <cellStyle name="강조색6 4" xfId="49612" hidden="1"/>
    <cellStyle name="강조색6 4" xfId="49652" hidden="1"/>
    <cellStyle name="강조색6 4" xfId="49692" hidden="1"/>
    <cellStyle name="강조색6 4" xfId="49732" hidden="1"/>
    <cellStyle name="강조색6 4" xfId="49772" hidden="1"/>
    <cellStyle name="강조색6 4" xfId="49812" hidden="1"/>
    <cellStyle name="강조색6 4" xfId="49852" hidden="1"/>
    <cellStyle name="강조색6 4" xfId="49862" hidden="1"/>
    <cellStyle name="강조색6 4" xfId="49902" hidden="1"/>
    <cellStyle name="강조색6 4" xfId="49942" hidden="1"/>
    <cellStyle name="강조색6 4" xfId="49982" hidden="1"/>
    <cellStyle name="강조색6 4" xfId="50022" hidden="1"/>
    <cellStyle name="강조색6 4" xfId="50062" hidden="1"/>
    <cellStyle name="강조색6 4" xfId="50102" hidden="1"/>
    <cellStyle name="강조색6 4" xfId="50142" hidden="1"/>
    <cellStyle name="강조색6 4" xfId="50182" hidden="1"/>
    <cellStyle name="강조색6 4" xfId="50222" hidden="1"/>
    <cellStyle name="강조색6 4" xfId="50262" hidden="1"/>
    <cellStyle name="강조색6 4" xfId="50302" hidden="1"/>
    <cellStyle name="강조색6 4" xfId="50386" hidden="1"/>
    <cellStyle name="강조색6 4" xfId="50427" hidden="1"/>
    <cellStyle name="강조색6 4" xfId="50469" hidden="1"/>
    <cellStyle name="강조색6 4" xfId="50511" hidden="1"/>
    <cellStyle name="강조색6 4" xfId="50553" hidden="1"/>
    <cellStyle name="강조색6 4" xfId="50595" hidden="1"/>
    <cellStyle name="강조색6 4" xfId="50637" hidden="1"/>
    <cellStyle name="강조색6 4" xfId="50679" hidden="1"/>
    <cellStyle name="강조색6 4" xfId="50721" hidden="1"/>
    <cellStyle name="강조색6 4" xfId="50763" hidden="1"/>
    <cellStyle name="강조색6 4" xfId="50805" hidden="1"/>
    <cellStyle name="강조색6 4" xfId="50847" hidden="1"/>
    <cellStyle name="강조색6 4" xfId="50343" hidden="1"/>
    <cellStyle name="강조색6 4" xfId="51026" hidden="1"/>
    <cellStyle name="강조색6 4" xfId="51066" hidden="1"/>
    <cellStyle name="강조색6 4" xfId="51106" hidden="1"/>
    <cellStyle name="강조색6 4" xfId="51146" hidden="1"/>
    <cellStyle name="강조색6 4" xfId="51186" hidden="1"/>
    <cellStyle name="강조색6 4" xfId="51226" hidden="1"/>
    <cellStyle name="강조색6 4" xfId="51266" hidden="1"/>
    <cellStyle name="강조색6 4" xfId="51306" hidden="1"/>
    <cellStyle name="강조색6 4" xfId="51346" hidden="1"/>
    <cellStyle name="강조색6 4" xfId="51386" hidden="1"/>
    <cellStyle name="강조색6 4" xfId="51426" hidden="1"/>
    <cellStyle name="강조색6 4" xfId="51466" hidden="1"/>
    <cellStyle name="강조색6 4" xfId="50896" hidden="1"/>
    <cellStyle name="강조색6 4" xfId="50857" hidden="1"/>
    <cellStyle name="강조색6 4" xfId="51508" hidden="1"/>
    <cellStyle name="강조색6 4" xfId="51550" hidden="1"/>
    <cellStyle name="강조색6 4" xfId="51592" hidden="1"/>
    <cellStyle name="강조색6 4" xfId="51634" hidden="1"/>
    <cellStyle name="강조색6 4" xfId="51676" hidden="1"/>
    <cellStyle name="강조색6 4" xfId="51718" hidden="1"/>
    <cellStyle name="강조색6 4" xfId="51760" hidden="1"/>
    <cellStyle name="강조색6 4" xfId="51802" hidden="1"/>
    <cellStyle name="강조색6 4" xfId="51844" hidden="1"/>
    <cellStyle name="강조색6 4" xfId="51886" hidden="1"/>
    <cellStyle name="강조색6 4" xfId="50949" hidden="1"/>
    <cellStyle name="강조색6 4" xfId="51914" hidden="1"/>
    <cellStyle name="강조색6 4" xfId="51954" hidden="1"/>
    <cellStyle name="강조색6 4" xfId="51994" hidden="1"/>
    <cellStyle name="강조색6 4" xfId="52034" hidden="1"/>
    <cellStyle name="강조색6 4" xfId="52074" hidden="1"/>
    <cellStyle name="강조색6 4" xfId="52114" hidden="1"/>
    <cellStyle name="강조색6 4" xfId="52154" hidden="1"/>
    <cellStyle name="강조색6 4" xfId="52194" hidden="1"/>
    <cellStyle name="강조색6 4" xfId="52234" hidden="1"/>
    <cellStyle name="강조색6 4" xfId="52274" hidden="1"/>
    <cellStyle name="강조색6 4" xfId="52314" hidden="1"/>
    <cellStyle name="강조색6 4" xfId="52354" hidden="1"/>
    <cellStyle name="강조색6 4 2" xfId="5200"/>
    <cellStyle name="강조색6 4 3" xfId="5201"/>
    <cellStyle name="강조색6 4 4" xfId="5202"/>
    <cellStyle name="강조색6 4 5" xfId="5203"/>
    <cellStyle name="강조색6 40" xfId="5204"/>
    <cellStyle name="강조색6 41" xfId="5205"/>
    <cellStyle name="강조색6 42" xfId="5206"/>
    <cellStyle name="강조색6 43" xfId="5207"/>
    <cellStyle name="강조색6 44" xfId="5208"/>
    <cellStyle name="강조색6 45" xfId="5209"/>
    <cellStyle name="강조색6 46" xfId="5210"/>
    <cellStyle name="강조색6 47" xfId="5211"/>
    <cellStyle name="강조색6 48" xfId="5212"/>
    <cellStyle name="강조색6 49" xfId="5213"/>
    <cellStyle name="강조색6 5" xfId="5214"/>
    <cellStyle name="강조색6 50" xfId="5215"/>
    <cellStyle name="강조색6 51" xfId="5216"/>
    <cellStyle name="강조색6 52" xfId="5217"/>
    <cellStyle name="강조색6 6" xfId="5218"/>
    <cellStyle name="강조색6 7" xfId="5219"/>
    <cellStyle name="강조색6 8" xfId="5220"/>
    <cellStyle name="강조색6 9" xfId="5221"/>
    <cellStyle name="경고문 10" xfId="5222"/>
    <cellStyle name="경고문 11" xfId="5223"/>
    <cellStyle name="경고문 12" xfId="5224"/>
    <cellStyle name="경고문 13" xfId="5225"/>
    <cellStyle name="경고문 14" xfId="5226"/>
    <cellStyle name="경고문 15" xfId="5227"/>
    <cellStyle name="경고문 16" xfId="5228"/>
    <cellStyle name="경고문 17" xfId="5229"/>
    <cellStyle name="경고문 18" xfId="5230"/>
    <cellStyle name="경고문 19" xfId="5231"/>
    <cellStyle name="경고문 2" xfId="358"/>
    <cellStyle name="경고문 2 10" xfId="5232"/>
    <cellStyle name="경고문 2 100" xfId="5233"/>
    <cellStyle name="경고문 2 101" xfId="5234"/>
    <cellStyle name="경고문 2 102" xfId="5235"/>
    <cellStyle name="경고문 2 103" xfId="5236"/>
    <cellStyle name="경고문 2 104" xfId="5237"/>
    <cellStyle name="경고문 2 105" xfId="5238"/>
    <cellStyle name="경고문 2 106" xfId="5239"/>
    <cellStyle name="경고문 2 107" xfId="5240"/>
    <cellStyle name="경고문 2 108" xfId="5241"/>
    <cellStyle name="경고문 2 109" xfId="5242"/>
    <cellStyle name="경고문 2 11" xfId="5243"/>
    <cellStyle name="경고문 2 110" xfId="5244"/>
    <cellStyle name="경고문 2 111" xfId="5245"/>
    <cellStyle name="경고문 2 112" xfId="5246"/>
    <cellStyle name="경고문 2 12" xfId="5247"/>
    <cellStyle name="경고문 2 13" xfId="5248"/>
    <cellStyle name="경고문 2 14" xfId="5249"/>
    <cellStyle name="경고문 2 15" xfId="5250"/>
    <cellStyle name="경고문 2 16" xfId="5251"/>
    <cellStyle name="경고문 2 17" xfId="5252"/>
    <cellStyle name="경고문 2 18" xfId="5253"/>
    <cellStyle name="경고문 2 19" xfId="5254"/>
    <cellStyle name="경고문 2 2" xfId="5255"/>
    <cellStyle name="경고문 2 2 2" xfId="5256"/>
    <cellStyle name="경고문 2 2 3" xfId="5257"/>
    <cellStyle name="경고문 2 2 4" xfId="5258"/>
    <cellStyle name="경고문 2 2 5" xfId="5259"/>
    <cellStyle name="경고문 2 20" xfId="5260"/>
    <cellStyle name="경고문 2 21" xfId="5261"/>
    <cellStyle name="경고문 2 22" xfId="5262"/>
    <cellStyle name="경고문 2 23" xfId="5263"/>
    <cellStyle name="경고문 2 24" xfId="5264"/>
    <cellStyle name="경고문 2 25" xfId="5265"/>
    <cellStyle name="경고문 2 26" xfId="5266"/>
    <cellStyle name="경고문 2 27" xfId="5267"/>
    <cellStyle name="경고문 2 28" xfId="5268"/>
    <cellStyle name="경고문 2 29" xfId="5269"/>
    <cellStyle name="경고문 2 3" xfId="5270"/>
    <cellStyle name="경고문 2 30" xfId="5271"/>
    <cellStyle name="경고문 2 31" xfId="5272"/>
    <cellStyle name="경고문 2 32" xfId="5273"/>
    <cellStyle name="경고문 2 33" xfId="5274"/>
    <cellStyle name="경고문 2 34" xfId="5275"/>
    <cellStyle name="경고문 2 35" xfId="5276"/>
    <cellStyle name="경고문 2 36" xfId="5277"/>
    <cellStyle name="경고문 2 37" xfId="5278"/>
    <cellStyle name="경고문 2 38" xfId="5279"/>
    <cellStyle name="경고문 2 39" xfId="5280"/>
    <cellStyle name="경고문 2 4" xfId="5281"/>
    <cellStyle name="경고문 2 40" xfId="5282"/>
    <cellStyle name="경고문 2 41" xfId="5283"/>
    <cellStyle name="경고문 2 42" xfId="5284"/>
    <cellStyle name="경고문 2 43" xfId="5285"/>
    <cellStyle name="경고문 2 44" xfId="5286"/>
    <cellStyle name="경고문 2 45" xfId="5287"/>
    <cellStyle name="경고문 2 46" xfId="5288"/>
    <cellStyle name="경고문 2 47" xfId="5289"/>
    <cellStyle name="경고문 2 48" xfId="5290"/>
    <cellStyle name="경고문 2 49" xfId="5291"/>
    <cellStyle name="경고문 2 5" xfId="5292"/>
    <cellStyle name="경고문 2 50" xfId="5293"/>
    <cellStyle name="경고문 2 51" xfId="5294"/>
    <cellStyle name="경고문 2 52" xfId="5295"/>
    <cellStyle name="경고문 2 53" xfId="5296"/>
    <cellStyle name="경고문 2 54" xfId="5297"/>
    <cellStyle name="경고문 2 55" xfId="5298"/>
    <cellStyle name="경고문 2 56" xfId="5299"/>
    <cellStyle name="경고문 2 57" xfId="5300"/>
    <cellStyle name="경고문 2 58" xfId="5301"/>
    <cellStyle name="경고문 2 59" xfId="5302"/>
    <cellStyle name="경고문 2 6" xfId="5303"/>
    <cellStyle name="경고문 2 60" xfId="5304"/>
    <cellStyle name="경고문 2 61" xfId="5305"/>
    <cellStyle name="경고문 2 62" xfId="5306"/>
    <cellStyle name="경고문 2 63" xfId="5307"/>
    <cellStyle name="경고문 2 64" xfId="5308"/>
    <cellStyle name="경고문 2 65" xfId="5309"/>
    <cellStyle name="경고문 2 66" xfId="5310"/>
    <cellStyle name="경고문 2 67" xfId="5311"/>
    <cellStyle name="경고문 2 68" xfId="5312"/>
    <cellStyle name="경고문 2 69" xfId="5313"/>
    <cellStyle name="경고문 2 7" xfId="5314"/>
    <cellStyle name="경고문 2 70" xfId="5315"/>
    <cellStyle name="경고문 2 71" xfId="5316"/>
    <cellStyle name="경고문 2 72" xfId="5317"/>
    <cellStyle name="경고문 2 73" xfId="5318"/>
    <cellStyle name="경고문 2 74" xfId="5319"/>
    <cellStyle name="경고문 2 75" xfId="5320"/>
    <cellStyle name="경고문 2 76" xfId="5321"/>
    <cellStyle name="경고문 2 77" xfId="5322"/>
    <cellStyle name="경고문 2 78" xfId="5323"/>
    <cellStyle name="경고문 2 79" xfId="5324"/>
    <cellStyle name="경고문 2 8" xfId="5325"/>
    <cellStyle name="경고문 2 80" xfId="5326"/>
    <cellStyle name="경고문 2 81" xfId="5327"/>
    <cellStyle name="경고문 2 82" xfId="5328"/>
    <cellStyle name="경고문 2 83" xfId="5329"/>
    <cellStyle name="경고문 2 84" xfId="5330"/>
    <cellStyle name="경고문 2 85" xfId="5331"/>
    <cellStyle name="경고문 2 86" xfId="5332"/>
    <cellStyle name="경고문 2 87" xfId="5333"/>
    <cellStyle name="경고문 2 88" xfId="5334"/>
    <cellStyle name="경고문 2 89" xfId="5335"/>
    <cellStyle name="경고문 2 9" xfId="5336"/>
    <cellStyle name="경고문 2 90" xfId="5337"/>
    <cellStyle name="경고문 2 91" xfId="5338"/>
    <cellStyle name="경고문 2 92" xfId="5339"/>
    <cellStyle name="경고문 2 93" xfId="5340"/>
    <cellStyle name="경고문 2 94" xfId="5341"/>
    <cellStyle name="경고문 2 95" xfId="5342"/>
    <cellStyle name="경고문 2 96" xfId="5343"/>
    <cellStyle name="경고문 2 97" xfId="5344"/>
    <cellStyle name="경고문 2 98" xfId="5345"/>
    <cellStyle name="경고문 2 99" xfId="5346"/>
    <cellStyle name="경고문 20" xfId="5347"/>
    <cellStyle name="경고문 21" xfId="5348"/>
    <cellStyle name="경고문 22" xfId="5349"/>
    <cellStyle name="경고문 23" xfId="5350"/>
    <cellStyle name="경고문 24" xfId="5351"/>
    <cellStyle name="경고문 25" xfId="5352"/>
    <cellStyle name="경고문 26" xfId="5353"/>
    <cellStyle name="경고문 27" xfId="5354"/>
    <cellStyle name="경고문 28" xfId="5355"/>
    <cellStyle name="경고문 29" xfId="5356"/>
    <cellStyle name="경고문 3" xfId="359"/>
    <cellStyle name="경고문 30" xfId="5357"/>
    <cellStyle name="경고문 31" xfId="5358"/>
    <cellStyle name="경고문 32" xfId="5359"/>
    <cellStyle name="경고문 33" xfId="5360"/>
    <cellStyle name="경고문 34" xfId="5361"/>
    <cellStyle name="경고문 35" xfId="5362"/>
    <cellStyle name="경고문 36" xfId="5363"/>
    <cellStyle name="경고문 37" xfId="5364"/>
    <cellStyle name="경고문 38" xfId="5365"/>
    <cellStyle name="경고문 39" xfId="5366"/>
    <cellStyle name="경고문 4" xfId="11721" hidden="1"/>
    <cellStyle name="경고문 4" xfId="11767" hidden="1"/>
    <cellStyle name="경고문 4" xfId="11813" hidden="1"/>
    <cellStyle name="경고문 4" xfId="11859" hidden="1"/>
    <cellStyle name="경고문 4" xfId="11905" hidden="1"/>
    <cellStyle name="경고문 4" xfId="11951" hidden="1"/>
    <cellStyle name="경고문 4" xfId="11997" hidden="1"/>
    <cellStyle name="경고문 4" xfId="12043" hidden="1"/>
    <cellStyle name="경고문 4" xfId="12089" hidden="1"/>
    <cellStyle name="경고문 4" xfId="12135" hidden="1"/>
    <cellStyle name="경고문 4" xfId="12181" hidden="1"/>
    <cellStyle name="경고문 4" xfId="12227" hidden="1"/>
    <cellStyle name="경고문 4" xfId="12317" hidden="1"/>
    <cellStyle name="경고문 4" xfId="12357" hidden="1"/>
    <cellStyle name="경고문 4" xfId="12399" hidden="1"/>
    <cellStyle name="경고문 4" xfId="12441" hidden="1"/>
    <cellStyle name="경고문 4" xfId="12483" hidden="1"/>
    <cellStyle name="경고문 4" xfId="12525" hidden="1"/>
    <cellStyle name="경고문 4" xfId="12567" hidden="1"/>
    <cellStyle name="경고문 4" xfId="12609" hidden="1"/>
    <cellStyle name="경고문 4" xfId="12651" hidden="1"/>
    <cellStyle name="경고문 4" xfId="12693" hidden="1"/>
    <cellStyle name="경고문 4" xfId="12735" hidden="1"/>
    <cellStyle name="경고문 4" xfId="12777" hidden="1"/>
    <cellStyle name="경고문 4" xfId="12271" hidden="1"/>
    <cellStyle name="경고문 4" xfId="12960" hidden="1"/>
    <cellStyle name="경고문 4" xfId="13000" hidden="1"/>
    <cellStyle name="경고문 4" xfId="13040" hidden="1"/>
    <cellStyle name="경고문 4" xfId="13080" hidden="1"/>
    <cellStyle name="경고문 4" xfId="13120" hidden="1"/>
    <cellStyle name="경고문 4" xfId="13160" hidden="1"/>
    <cellStyle name="경고문 4" xfId="13200" hidden="1"/>
    <cellStyle name="경고문 4" xfId="13240" hidden="1"/>
    <cellStyle name="경고문 4" xfId="13280" hidden="1"/>
    <cellStyle name="경고문 4" xfId="13320" hidden="1"/>
    <cellStyle name="경고문 4" xfId="13360" hidden="1"/>
    <cellStyle name="경고문 4" xfId="13400" hidden="1"/>
    <cellStyle name="경고문 4" xfId="12874" hidden="1"/>
    <cellStyle name="경고문 4" xfId="12835" hidden="1"/>
    <cellStyle name="경고문 4" xfId="13441" hidden="1"/>
    <cellStyle name="경고문 4" xfId="13483" hidden="1"/>
    <cellStyle name="경고문 4" xfId="13525" hidden="1"/>
    <cellStyle name="경고문 4" xfId="13567" hidden="1"/>
    <cellStyle name="경고문 4" xfId="13609" hidden="1"/>
    <cellStyle name="경고문 4" xfId="13651" hidden="1"/>
    <cellStyle name="경고문 4" xfId="13693" hidden="1"/>
    <cellStyle name="경고문 4" xfId="13735" hidden="1"/>
    <cellStyle name="경고문 4" xfId="13777" hidden="1"/>
    <cellStyle name="경고문 4" xfId="13819" hidden="1"/>
    <cellStyle name="경고문 4" xfId="12929" hidden="1"/>
    <cellStyle name="경고문 4" xfId="13848" hidden="1"/>
    <cellStyle name="경고문 4" xfId="13888" hidden="1"/>
    <cellStyle name="경고문 4" xfId="13928" hidden="1"/>
    <cellStyle name="경고문 4" xfId="13968" hidden="1"/>
    <cellStyle name="경고문 4" xfId="14008" hidden="1"/>
    <cellStyle name="경고문 4" xfId="14048" hidden="1"/>
    <cellStyle name="경고문 4" xfId="14088" hidden="1"/>
    <cellStyle name="경고문 4" xfId="14128" hidden="1"/>
    <cellStyle name="경고문 4" xfId="14168" hidden="1"/>
    <cellStyle name="경고문 4" xfId="14208" hidden="1"/>
    <cellStyle name="경고문 4" xfId="14248" hidden="1"/>
    <cellStyle name="경고문 4" xfId="14288" hidden="1"/>
    <cellStyle name="경고문 4" xfId="14394" hidden="1"/>
    <cellStyle name="경고문 4" xfId="14434" hidden="1"/>
    <cellStyle name="경고문 4" xfId="14474" hidden="1"/>
    <cellStyle name="경고문 4" xfId="14514" hidden="1"/>
    <cellStyle name="경고문 4" xfId="14554" hidden="1"/>
    <cellStyle name="경고문 4" xfId="14594" hidden="1"/>
    <cellStyle name="경고문 4" xfId="14634" hidden="1"/>
    <cellStyle name="경고문 4" xfId="14674" hidden="1"/>
    <cellStyle name="경고문 4" xfId="14714" hidden="1"/>
    <cellStyle name="경고문 4" xfId="14754" hidden="1"/>
    <cellStyle name="경고문 4" xfId="14794" hidden="1"/>
    <cellStyle name="경고문 4" xfId="14834" hidden="1"/>
    <cellStyle name="경고문 4" xfId="14918" hidden="1"/>
    <cellStyle name="경고문 4" xfId="14958" hidden="1"/>
    <cellStyle name="경고문 4" xfId="15000" hidden="1"/>
    <cellStyle name="경고문 4" xfId="15042" hidden="1"/>
    <cellStyle name="경고문 4" xfId="15084" hidden="1"/>
    <cellStyle name="경고문 4" xfId="15126" hidden="1"/>
    <cellStyle name="경고문 4" xfId="15168" hidden="1"/>
    <cellStyle name="경고문 4" xfId="15210" hidden="1"/>
    <cellStyle name="경고문 4" xfId="15252" hidden="1"/>
    <cellStyle name="경고문 4" xfId="15294" hidden="1"/>
    <cellStyle name="경고문 4" xfId="15336" hidden="1"/>
    <cellStyle name="경고문 4" xfId="15378" hidden="1"/>
    <cellStyle name="경고문 4" xfId="14874" hidden="1"/>
    <cellStyle name="경고문 4" xfId="15558" hidden="1"/>
    <cellStyle name="경고문 4" xfId="15598" hidden="1"/>
    <cellStyle name="경고문 4" xfId="15638" hidden="1"/>
    <cellStyle name="경고문 4" xfId="15678" hidden="1"/>
    <cellStyle name="경고문 4" xfId="15718" hidden="1"/>
    <cellStyle name="경고문 4" xfId="15758" hidden="1"/>
    <cellStyle name="경고문 4" xfId="15798" hidden="1"/>
    <cellStyle name="경고문 4" xfId="15838" hidden="1"/>
    <cellStyle name="경고문 4" xfId="15878" hidden="1"/>
    <cellStyle name="경고문 4" xfId="15918" hidden="1"/>
    <cellStyle name="경고문 4" xfId="15958" hidden="1"/>
    <cellStyle name="경고문 4" xfId="15998" hidden="1"/>
    <cellStyle name="경고문 4" xfId="15474" hidden="1"/>
    <cellStyle name="경고문 4" xfId="15435" hidden="1"/>
    <cellStyle name="경고문 4" xfId="16039" hidden="1"/>
    <cellStyle name="경고문 4" xfId="16081" hidden="1"/>
    <cellStyle name="경고문 4" xfId="16123" hidden="1"/>
    <cellStyle name="경고문 4" xfId="16165" hidden="1"/>
    <cellStyle name="경고문 4" xfId="16207" hidden="1"/>
    <cellStyle name="경고문 4" xfId="16249" hidden="1"/>
    <cellStyle name="경고문 4" xfId="16291" hidden="1"/>
    <cellStyle name="경고문 4" xfId="16333" hidden="1"/>
    <cellStyle name="경고문 4" xfId="16375" hidden="1"/>
    <cellStyle name="경고문 4" xfId="16417" hidden="1"/>
    <cellStyle name="경고문 4" xfId="15528" hidden="1"/>
    <cellStyle name="경고문 4" xfId="16446" hidden="1"/>
    <cellStyle name="경고문 4" xfId="16486" hidden="1"/>
    <cellStyle name="경고문 4" xfId="16526" hidden="1"/>
    <cellStyle name="경고문 4" xfId="16566" hidden="1"/>
    <cellStyle name="경고문 4" xfId="16606" hidden="1"/>
    <cellStyle name="경고문 4" xfId="16646" hidden="1"/>
    <cellStyle name="경고문 4" xfId="16686" hidden="1"/>
    <cellStyle name="경고문 4" xfId="16726" hidden="1"/>
    <cellStyle name="경고문 4" xfId="16766" hidden="1"/>
    <cellStyle name="경고문 4" xfId="16806" hidden="1"/>
    <cellStyle name="경고문 4" xfId="16846" hidden="1"/>
    <cellStyle name="경고문 4" xfId="16886" hidden="1"/>
    <cellStyle name="경고문 4" xfId="14331" hidden="1"/>
    <cellStyle name="경고문 4" xfId="16937" hidden="1"/>
    <cellStyle name="경고문 4" xfId="16978" hidden="1"/>
    <cellStyle name="경고문 4" xfId="17018" hidden="1"/>
    <cellStyle name="경고문 4" xfId="17058" hidden="1"/>
    <cellStyle name="경고문 4" xfId="17098" hidden="1"/>
    <cellStyle name="경고문 4" xfId="17138" hidden="1"/>
    <cellStyle name="경고문 4" xfId="17178" hidden="1"/>
    <cellStyle name="경고문 4" xfId="17218" hidden="1"/>
    <cellStyle name="경고문 4" xfId="17258" hidden="1"/>
    <cellStyle name="경고문 4" xfId="17298" hidden="1"/>
    <cellStyle name="경고문 4" xfId="17338" hidden="1"/>
    <cellStyle name="경고문 4" xfId="17422" hidden="1"/>
    <cellStyle name="경고문 4" xfId="17462" hidden="1"/>
    <cellStyle name="경고문 4" xfId="17504" hidden="1"/>
    <cellStyle name="경고문 4" xfId="17546" hidden="1"/>
    <cellStyle name="경고문 4" xfId="17588" hidden="1"/>
    <cellStyle name="경고문 4" xfId="17630" hidden="1"/>
    <cellStyle name="경고문 4" xfId="17672" hidden="1"/>
    <cellStyle name="경고문 4" xfId="17714" hidden="1"/>
    <cellStyle name="경고문 4" xfId="17756" hidden="1"/>
    <cellStyle name="경고문 4" xfId="17798" hidden="1"/>
    <cellStyle name="경고문 4" xfId="17840" hidden="1"/>
    <cellStyle name="경고문 4" xfId="17882" hidden="1"/>
    <cellStyle name="경고문 4" xfId="17378" hidden="1"/>
    <cellStyle name="경고문 4" xfId="18062" hidden="1"/>
    <cellStyle name="경고문 4" xfId="18102" hidden="1"/>
    <cellStyle name="경고문 4" xfId="18142" hidden="1"/>
    <cellStyle name="경고문 4" xfId="18182" hidden="1"/>
    <cellStyle name="경고문 4" xfId="18222" hidden="1"/>
    <cellStyle name="경고문 4" xfId="18262" hidden="1"/>
    <cellStyle name="경고문 4" xfId="18302" hidden="1"/>
    <cellStyle name="경고문 4" xfId="18342" hidden="1"/>
    <cellStyle name="경고문 4" xfId="18382" hidden="1"/>
    <cellStyle name="경고문 4" xfId="18422" hidden="1"/>
    <cellStyle name="경고문 4" xfId="18462" hidden="1"/>
    <cellStyle name="경고문 4" xfId="18502" hidden="1"/>
    <cellStyle name="경고문 4" xfId="17978" hidden="1"/>
    <cellStyle name="경고문 4" xfId="17939" hidden="1"/>
    <cellStyle name="경고문 4" xfId="18543" hidden="1"/>
    <cellStyle name="경고문 4" xfId="18585" hidden="1"/>
    <cellStyle name="경고문 4" xfId="18627" hidden="1"/>
    <cellStyle name="경고문 4" xfId="18669" hidden="1"/>
    <cellStyle name="경고문 4" xfId="18711" hidden="1"/>
    <cellStyle name="경고문 4" xfId="18753" hidden="1"/>
    <cellStyle name="경고문 4" xfId="18795" hidden="1"/>
    <cellStyle name="경고문 4" xfId="18837" hidden="1"/>
    <cellStyle name="경고문 4" xfId="18879" hidden="1"/>
    <cellStyle name="경고문 4" xfId="18921" hidden="1"/>
    <cellStyle name="경고문 4" xfId="18032" hidden="1"/>
    <cellStyle name="경고문 4" xfId="18950" hidden="1"/>
    <cellStyle name="경고문 4" xfId="18990" hidden="1"/>
    <cellStyle name="경고문 4" xfId="19030" hidden="1"/>
    <cellStyle name="경고문 4" xfId="19070" hidden="1"/>
    <cellStyle name="경고문 4" xfId="19110" hidden="1"/>
    <cellStyle name="경고문 4" xfId="19150" hidden="1"/>
    <cellStyle name="경고문 4" xfId="19190" hidden="1"/>
    <cellStyle name="경고문 4" xfId="19230" hidden="1"/>
    <cellStyle name="경고문 4" xfId="19270" hidden="1"/>
    <cellStyle name="경고문 4" xfId="19310" hidden="1"/>
    <cellStyle name="경고문 4" xfId="19350" hidden="1"/>
    <cellStyle name="경고문 4" xfId="19390" hidden="1"/>
    <cellStyle name="경고문 4" xfId="14361" hidden="1"/>
    <cellStyle name="경고문 4" xfId="19440" hidden="1"/>
    <cellStyle name="경고문 4" xfId="19480" hidden="1"/>
    <cellStyle name="경고문 4" xfId="19520" hidden="1"/>
    <cellStyle name="경고문 4" xfId="19560" hidden="1"/>
    <cellStyle name="경고문 4" xfId="19600" hidden="1"/>
    <cellStyle name="경고문 4" xfId="19640" hidden="1"/>
    <cellStyle name="경고문 4" xfId="19680" hidden="1"/>
    <cellStyle name="경고문 4" xfId="19720" hidden="1"/>
    <cellStyle name="경고문 4" xfId="19760" hidden="1"/>
    <cellStyle name="경고문 4" xfId="19800" hidden="1"/>
    <cellStyle name="경고문 4" xfId="19840" hidden="1"/>
    <cellStyle name="경고문 4" xfId="19924" hidden="1"/>
    <cellStyle name="경고문 4" xfId="19964" hidden="1"/>
    <cellStyle name="경고문 4" xfId="20006" hidden="1"/>
    <cellStyle name="경고문 4" xfId="20048" hidden="1"/>
    <cellStyle name="경고문 4" xfId="20090" hidden="1"/>
    <cellStyle name="경고문 4" xfId="20132" hidden="1"/>
    <cellStyle name="경고문 4" xfId="20174" hidden="1"/>
    <cellStyle name="경고문 4" xfId="20216" hidden="1"/>
    <cellStyle name="경고문 4" xfId="20258" hidden="1"/>
    <cellStyle name="경고문 4" xfId="20300" hidden="1"/>
    <cellStyle name="경고문 4" xfId="20342" hidden="1"/>
    <cellStyle name="경고문 4" xfId="20384" hidden="1"/>
    <cellStyle name="경고문 4" xfId="19880" hidden="1"/>
    <cellStyle name="경고문 4" xfId="20564" hidden="1"/>
    <cellStyle name="경고문 4" xfId="20604" hidden="1"/>
    <cellStyle name="경고문 4" xfId="20644" hidden="1"/>
    <cellStyle name="경고문 4" xfId="20684" hidden="1"/>
    <cellStyle name="경고문 4" xfId="20724" hidden="1"/>
    <cellStyle name="경고문 4" xfId="20764" hidden="1"/>
    <cellStyle name="경고문 4" xfId="20804" hidden="1"/>
    <cellStyle name="경고문 4" xfId="20844" hidden="1"/>
    <cellStyle name="경고문 4" xfId="20884" hidden="1"/>
    <cellStyle name="경고문 4" xfId="20924" hidden="1"/>
    <cellStyle name="경고문 4" xfId="20964" hidden="1"/>
    <cellStyle name="경고문 4" xfId="21004" hidden="1"/>
    <cellStyle name="경고문 4" xfId="20480" hidden="1"/>
    <cellStyle name="경고문 4" xfId="20441" hidden="1"/>
    <cellStyle name="경고문 4" xfId="21045" hidden="1"/>
    <cellStyle name="경고문 4" xfId="21087" hidden="1"/>
    <cellStyle name="경고문 4" xfId="21129" hidden="1"/>
    <cellStyle name="경고문 4" xfId="21171" hidden="1"/>
    <cellStyle name="경고문 4" xfId="21213" hidden="1"/>
    <cellStyle name="경고문 4" xfId="21255" hidden="1"/>
    <cellStyle name="경고문 4" xfId="21297" hidden="1"/>
    <cellStyle name="경고문 4" xfId="21339" hidden="1"/>
    <cellStyle name="경고문 4" xfId="21381" hidden="1"/>
    <cellStyle name="경고문 4" xfId="21423" hidden="1"/>
    <cellStyle name="경고문 4" xfId="20534" hidden="1"/>
    <cellStyle name="경고문 4" xfId="21452" hidden="1"/>
    <cellStyle name="경고문 4" xfId="21492" hidden="1"/>
    <cellStyle name="경고문 4" xfId="21532" hidden="1"/>
    <cellStyle name="경고문 4" xfId="21572" hidden="1"/>
    <cellStyle name="경고문 4" xfId="21612" hidden="1"/>
    <cellStyle name="경고문 4" xfId="21652" hidden="1"/>
    <cellStyle name="경고문 4" xfId="21692" hidden="1"/>
    <cellStyle name="경고문 4" xfId="21732" hidden="1"/>
    <cellStyle name="경고문 4" xfId="21772" hidden="1"/>
    <cellStyle name="경고문 4" xfId="21812" hidden="1"/>
    <cellStyle name="경고문 4" xfId="21852" hidden="1"/>
    <cellStyle name="경고문 4" xfId="21892" hidden="1"/>
    <cellStyle name="경고문 4" xfId="21960" hidden="1"/>
    <cellStyle name="경고문 4" xfId="22000" hidden="1"/>
    <cellStyle name="경고문 4" xfId="22040" hidden="1"/>
    <cellStyle name="경고문 4" xfId="22080" hidden="1"/>
    <cellStyle name="경고문 4" xfId="22120" hidden="1"/>
    <cellStyle name="경고문 4" xfId="22160" hidden="1"/>
    <cellStyle name="경고문 4" xfId="22200" hidden="1"/>
    <cellStyle name="경고문 4" xfId="22240" hidden="1"/>
    <cellStyle name="경고문 4" xfId="22280" hidden="1"/>
    <cellStyle name="경고문 4" xfId="22320" hidden="1"/>
    <cellStyle name="경고문 4" xfId="22360" hidden="1"/>
    <cellStyle name="경고문 4" xfId="22400" hidden="1"/>
    <cellStyle name="경고문 4" xfId="22484" hidden="1"/>
    <cellStyle name="경고문 4" xfId="22524" hidden="1"/>
    <cellStyle name="경고문 4" xfId="22566" hidden="1"/>
    <cellStyle name="경고문 4" xfId="22608" hidden="1"/>
    <cellStyle name="경고문 4" xfId="22650" hidden="1"/>
    <cellStyle name="경고문 4" xfId="22692" hidden="1"/>
    <cellStyle name="경고문 4" xfId="22734" hidden="1"/>
    <cellStyle name="경고문 4" xfId="22776" hidden="1"/>
    <cellStyle name="경고문 4" xfId="22818" hidden="1"/>
    <cellStyle name="경고문 4" xfId="22860" hidden="1"/>
    <cellStyle name="경고문 4" xfId="22902" hidden="1"/>
    <cellStyle name="경고문 4" xfId="22944" hidden="1"/>
    <cellStyle name="경고문 4" xfId="22440" hidden="1"/>
    <cellStyle name="경고문 4" xfId="23124" hidden="1"/>
    <cellStyle name="경고문 4" xfId="23164" hidden="1"/>
    <cellStyle name="경고문 4" xfId="23204" hidden="1"/>
    <cellStyle name="경고문 4" xfId="23244" hidden="1"/>
    <cellStyle name="경고문 4" xfId="23284" hidden="1"/>
    <cellStyle name="경고문 4" xfId="23324" hidden="1"/>
    <cellStyle name="경고문 4" xfId="23364" hidden="1"/>
    <cellStyle name="경고문 4" xfId="23404" hidden="1"/>
    <cellStyle name="경고문 4" xfId="23444" hidden="1"/>
    <cellStyle name="경고문 4" xfId="23484" hidden="1"/>
    <cellStyle name="경고문 4" xfId="23524" hidden="1"/>
    <cellStyle name="경고문 4" xfId="23564" hidden="1"/>
    <cellStyle name="경고문 4" xfId="23040" hidden="1"/>
    <cellStyle name="경고문 4" xfId="23001" hidden="1"/>
    <cellStyle name="경고문 4" xfId="23605" hidden="1"/>
    <cellStyle name="경고문 4" xfId="23647" hidden="1"/>
    <cellStyle name="경고문 4" xfId="23689" hidden="1"/>
    <cellStyle name="경고문 4" xfId="23731" hidden="1"/>
    <cellStyle name="경고문 4" xfId="23773" hidden="1"/>
    <cellStyle name="경고문 4" xfId="23815" hidden="1"/>
    <cellStyle name="경고문 4" xfId="23857" hidden="1"/>
    <cellStyle name="경고문 4" xfId="23899" hidden="1"/>
    <cellStyle name="경고문 4" xfId="23941" hidden="1"/>
    <cellStyle name="경고문 4" xfId="23983" hidden="1"/>
    <cellStyle name="경고문 4" xfId="23094" hidden="1"/>
    <cellStyle name="경고문 4" xfId="24012" hidden="1"/>
    <cellStyle name="경고문 4" xfId="24052" hidden="1"/>
    <cellStyle name="경고문 4" xfId="24092" hidden="1"/>
    <cellStyle name="경고문 4" xfId="24132" hidden="1"/>
    <cellStyle name="경고문 4" xfId="24172" hidden="1"/>
    <cellStyle name="경고문 4" xfId="24212" hidden="1"/>
    <cellStyle name="경고문 4" xfId="24252" hidden="1"/>
    <cellStyle name="경고문 4" xfId="24292" hidden="1"/>
    <cellStyle name="경고문 4" xfId="24332" hidden="1"/>
    <cellStyle name="경고문 4" xfId="24372" hidden="1"/>
    <cellStyle name="경고문 4" xfId="24412" hidden="1"/>
    <cellStyle name="경고문 4" xfId="24452" hidden="1"/>
    <cellStyle name="경고문 4" xfId="24550" hidden="1"/>
    <cellStyle name="경고문 4" xfId="24590" hidden="1"/>
    <cellStyle name="경고문 4" xfId="24631" hidden="1"/>
    <cellStyle name="경고문 4" xfId="24673" hidden="1"/>
    <cellStyle name="경고문 4" xfId="24713" hidden="1"/>
    <cellStyle name="경고문 4" xfId="24753" hidden="1"/>
    <cellStyle name="경고문 4" xfId="24793" hidden="1"/>
    <cellStyle name="경고문 4" xfId="24833" hidden="1"/>
    <cellStyle name="경고문 4" xfId="24873" hidden="1"/>
    <cellStyle name="경고문 4" xfId="24913" hidden="1"/>
    <cellStyle name="경고문 4" xfId="24953" hidden="1"/>
    <cellStyle name="경고문 4" xfId="24993" hidden="1"/>
    <cellStyle name="경고문 4" xfId="25077" hidden="1"/>
    <cellStyle name="경고문 4" xfId="25117" hidden="1"/>
    <cellStyle name="경고문 4" xfId="25159" hidden="1"/>
    <cellStyle name="경고문 4" xfId="25201" hidden="1"/>
    <cellStyle name="경고문 4" xfId="25243" hidden="1"/>
    <cellStyle name="경고문 4" xfId="25285" hidden="1"/>
    <cellStyle name="경고문 4" xfId="25327" hidden="1"/>
    <cellStyle name="경고문 4" xfId="25369" hidden="1"/>
    <cellStyle name="경고문 4" xfId="25411" hidden="1"/>
    <cellStyle name="경고문 4" xfId="25453" hidden="1"/>
    <cellStyle name="경고문 4" xfId="25495" hidden="1"/>
    <cellStyle name="경고문 4" xfId="25537" hidden="1"/>
    <cellStyle name="경고문 4" xfId="25033" hidden="1"/>
    <cellStyle name="경고문 4" xfId="25717" hidden="1"/>
    <cellStyle name="경고문 4" xfId="25757" hidden="1"/>
    <cellStyle name="경고문 4" xfId="25797" hidden="1"/>
    <cellStyle name="경고문 4" xfId="25837" hidden="1"/>
    <cellStyle name="경고문 4" xfId="25877" hidden="1"/>
    <cellStyle name="경고문 4" xfId="25917" hidden="1"/>
    <cellStyle name="경고문 4" xfId="25957" hidden="1"/>
    <cellStyle name="경고문 4" xfId="25997" hidden="1"/>
    <cellStyle name="경고문 4" xfId="26037" hidden="1"/>
    <cellStyle name="경고문 4" xfId="26077" hidden="1"/>
    <cellStyle name="경고문 4" xfId="26117" hidden="1"/>
    <cellStyle name="경고문 4" xfId="26157" hidden="1"/>
    <cellStyle name="경고문 4" xfId="25633" hidden="1"/>
    <cellStyle name="경고문 4" xfId="25594" hidden="1"/>
    <cellStyle name="경고문 4" xfId="26198" hidden="1"/>
    <cellStyle name="경고문 4" xfId="26240" hidden="1"/>
    <cellStyle name="경고문 4" xfId="26282" hidden="1"/>
    <cellStyle name="경고문 4" xfId="26324" hidden="1"/>
    <cellStyle name="경고문 4" xfId="26366" hidden="1"/>
    <cellStyle name="경고문 4" xfId="26408" hidden="1"/>
    <cellStyle name="경고문 4" xfId="26450" hidden="1"/>
    <cellStyle name="경고문 4" xfId="26492" hidden="1"/>
    <cellStyle name="경고문 4" xfId="26534" hidden="1"/>
    <cellStyle name="경고문 4" xfId="26576" hidden="1"/>
    <cellStyle name="경고문 4" xfId="25687" hidden="1"/>
    <cellStyle name="경고문 4" xfId="26605" hidden="1"/>
    <cellStyle name="경고문 4" xfId="26645" hidden="1"/>
    <cellStyle name="경고문 4" xfId="26685" hidden="1"/>
    <cellStyle name="경고문 4" xfId="26725" hidden="1"/>
    <cellStyle name="경고문 4" xfId="26765" hidden="1"/>
    <cellStyle name="경고문 4" xfId="26805" hidden="1"/>
    <cellStyle name="경고문 4" xfId="26845" hidden="1"/>
    <cellStyle name="경고문 4" xfId="26885" hidden="1"/>
    <cellStyle name="경고문 4" xfId="26925" hidden="1"/>
    <cellStyle name="경고문 4" xfId="26965" hidden="1"/>
    <cellStyle name="경고문 4" xfId="27005" hidden="1"/>
    <cellStyle name="경고문 4" xfId="27045" hidden="1"/>
    <cellStyle name="경고문 4" xfId="24493" hidden="1"/>
    <cellStyle name="경고문 4" xfId="27096" hidden="1"/>
    <cellStyle name="경고문 4" xfId="27136" hidden="1"/>
    <cellStyle name="경고문 4" xfId="27176" hidden="1"/>
    <cellStyle name="경고문 4" xfId="27216" hidden="1"/>
    <cellStyle name="경고문 4" xfId="27256" hidden="1"/>
    <cellStyle name="경고문 4" xfId="27296" hidden="1"/>
    <cellStyle name="경고문 4" xfId="27336" hidden="1"/>
    <cellStyle name="경고문 4" xfId="27376" hidden="1"/>
    <cellStyle name="경고문 4" xfId="27416" hidden="1"/>
    <cellStyle name="경고문 4" xfId="27456" hidden="1"/>
    <cellStyle name="경고문 4" xfId="27496" hidden="1"/>
    <cellStyle name="경고문 4" xfId="27580" hidden="1"/>
    <cellStyle name="경고문 4" xfId="27620" hidden="1"/>
    <cellStyle name="경고문 4" xfId="27662" hidden="1"/>
    <cellStyle name="경고문 4" xfId="27704" hidden="1"/>
    <cellStyle name="경고문 4" xfId="27746" hidden="1"/>
    <cellStyle name="경고문 4" xfId="27788" hidden="1"/>
    <cellStyle name="경고문 4" xfId="27830" hidden="1"/>
    <cellStyle name="경고문 4" xfId="27872" hidden="1"/>
    <cellStyle name="경고문 4" xfId="27914" hidden="1"/>
    <cellStyle name="경고문 4" xfId="27956" hidden="1"/>
    <cellStyle name="경고문 4" xfId="27998" hidden="1"/>
    <cellStyle name="경고문 4" xfId="28040" hidden="1"/>
    <cellStyle name="경고문 4" xfId="27536" hidden="1"/>
    <cellStyle name="경고문 4" xfId="28220" hidden="1"/>
    <cellStyle name="경고문 4" xfId="28260" hidden="1"/>
    <cellStyle name="경고문 4" xfId="28300" hidden="1"/>
    <cellStyle name="경고문 4" xfId="28340" hidden="1"/>
    <cellStyle name="경고문 4" xfId="28380" hidden="1"/>
    <cellStyle name="경고문 4" xfId="28420" hidden="1"/>
    <cellStyle name="경고문 4" xfId="28460" hidden="1"/>
    <cellStyle name="경고문 4" xfId="28500" hidden="1"/>
    <cellStyle name="경고문 4" xfId="28540" hidden="1"/>
    <cellStyle name="경고문 4" xfId="28580" hidden="1"/>
    <cellStyle name="경고문 4" xfId="28620" hidden="1"/>
    <cellStyle name="경고문 4" xfId="28660" hidden="1"/>
    <cellStyle name="경고문 4" xfId="28136" hidden="1"/>
    <cellStyle name="경고문 4" xfId="28097" hidden="1"/>
    <cellStyle name="경고문 4" xfId="28701" hidden="1"/>
    <cellStyle name="경고문 4" xfId="28743" hidden="1"/>
    <cellStyle name="경고문 4" xfId="28785" hidden="1"/>
    <cellStyle name="경고문 4" xfId="28827" hidden="1"/>
    <cellStyle name="경고문 4" xfId="28869" hidden="1"/>
    <cellStyle name="경고문 4" xfId="28911" hidden="1"/>
    <cellStyle name="경고문 4" xfId="28953" hidden="1"/>
    <cellStyle name="경고문 4" xfId="28995" hidden="1"/>
    <cellStyle name="경고문 4" xfId="29037" hidden="1"/>
    <cellStyle name="경고문 4" xfId="29079" hidden="1"/>
    <cellStyle name="경고문 4" xfId="28190" hidden="1"/>
    <cellStyle name="경고문 4" xfId="29108" hidden="1"/>
    <cellStyle name="경고문 4" xfId="29148" hidden="1"/>
    <cellStyle name="경고문 4" xfId="29188" hidden="1"/>
    <cellStyle name="경고문 4" xfId="29228" hidden="1"/>
    <cellStyle name="경고문 4" xfId="29268" hidden="1"/>
    <cellStyle name="경고문 4" xfId="29308" hidden="1"/>
    <cellStyle name="경고문 4" xfId="29348" hidden="1"/>
    <cellStyle name="경고문 4" xfId="29388" hidden="1"/>
    <cellStyle name="경고문 4" xfId="29428" hidden="1"/>
    <cellStyle name="경고문 4" xfId="29468" hidden="1"/>
    <cellStyle name="경고문 4" xfId="29508" hidden="1"/>
    <cellStyle name="경고문 4" xfId="29548" hidden="1"/>
    <cellStyle name="경고문 4" xfId="24519" hidden="1"/>
    <cellStyle name="경고문 4" xfId="29598" hidden="1"/>
    <cellStyle name="경고문 4" xfId="29638" hidden="1"/>
    <cellStyle name="경고문 4" xfId="29678" hidden="1"/>
    <cellStyle name="경고문 4" xfId="29718" hidden="1"/>
    <cellStyle name="경고문 4" xfId="29758" hidden="1"/>
    <cellStyle name="경고문 4" xfId="29798" hidden="1"/>
    <cellStyle name="경고문 4" xfId="29838" hidden="1"/>
    <cellStyle name="경고문 4" xfId="29878" hidden="1"/>
    <cellStyle name="경고문 4" xfId="29918" hidden="1"/>
    <cellStyle name="경고문 4" xfId="29958" hidden="1"/>
    <cellStyle name="경고문 4" xfId="29998" hidden="1"/>
    <cellStyle name="경고문 4" xfId="30082" hidden="1"/>
    <cellStyle name="경고문 4" xfId="30122" hidden="1"/>
    <cellStyle name="경고문 4" xfId="30164" hidden="1"/>
    <cellStyle name="경고문 4" xfId="30206" hidden="1"/>
    <cellStyle name="경고문 4" xfId="30248" hidden="1"/>
    <cellStyle name="경고문 4" xfId="30290" hidden="1"/>
    <cellStyle name="경고문 4" xfId="30332" hidden="1"/>
    <cellStyle name="경고문 4" xfId="30374" hidden="1"/>
    <cellStyle name="경고문 4" xfId="30416" hidden="1"/>
    <cellStyle name="경고문 4" xfId="30458" hidden="1"/>
    <cellStyle name="경고문 4" xfId="30500" hidden="1"/>
    <cellStyle name="경고문 4" xfId="30542" hidden="1"/>
    <cellStyle name="경고문 4" xfId="30038" hidden="1"/>
    <cellStyle name="경고문 4" xfId="30722" hidden="1"/>
    <cellStyle name="경고문 4" xfId="30762" hidden="1"/>
    <cellStyle name="경고문 4" xfId="30802" hidden="1"/>
    <cellStyle name="경고문 4" xfId="30842" hidden="1"/>
    <cellStyle name="경고문 4" xfId="30882" hidden="1"/>
    <cellStyle name="경고문 4" xfId="30922" hidden="1"/>
    <cellStyle name="경고문 4" xfId="30962" hidden="1"/>
    <cellStyle name="경고문 4" xfId="31002" hidden="1"/>
    <cellStyle name="경고문 4" xfId="31042" hidden="1"/>
    <cellStyle name="경고문 4" xfId="31082" hidden="1"/>
    <cellStyle name="경고문 4" xfId="31122" hidden="1"/>
    <cellStyle name="경고문 4" xfId="31162" hidden="1"/>
    <cellStyle name="경고문 4" xfId="30638" hidden="1"/>
    <cellStyle name="경고문 4" xfId="30599" hidden="1"/>
    <cellStyle name="경고문 4" xfId="31203" hidden="1"/>
    <cellStyle name="경고문 4" xfId="31245" hidden="1"/>
    <cellStyle name="경고문 4" xfId="31287" hidden="1"/>
    <cellStyle name="경고문 4" xfId="31329" hidden="1"/>
    <cellStyle name="경고문 4" xfId="31371" hidden="1"/>
    <cellStyle name="경고문 4" xfId="31413" hidden="1"/>
    <cellStyle name="경고문 4" xfId="31455" hidden="1"/>
    <cellStyle name="경고문 4" xfId="31497" hidden="1"/>
    <cellStyle name="경고문 4" xfId="31539" hidden="1"/>
    <cellStyle name="경고문 4" xfId="31581" hidden="1"/>
    <cellStyle name="경고문 4" xfId="30692" hidden="1"/>
    <cellStyle name="경고문 4" xfId="31610" hidden="1"/>
    <cellStyle name="경고문 4" xfId="31650" hidden="1"/>
    <cellStyle name="경고문 4" xfId="31690" hidden="1"/>
    <cellStyle name="경고문 4" xfId="31730" hidden="1"/>
    <cellStyle name="경고문 4" xfId="31770" hidden="1"/>
    <cellStyle name="경고문 4" xfId="31810" hidden="1"/>
    <cellStyle name="경고문 4" xfId="31850" hidden="1"/>
    <cellStyle name="경고문 4" xfId="31890" hidden="1"/>
    <cellStyle name="경고문 4" xfId="31930" hidden="1"/>
    <cellStyle name="경고문 4" xfId="31970" hidden="1"/>
    <cellStyle name="경고문 4" xfId="32010" hidden="1"/>
    <cellStyle name="경고문 4" xfId="32050" hidden="1"/>
    <cellStyle name="경고문 4" xfId="32112" hidden="1"/>
    <cellStyle name="경고문 4" xfId="32152" hidden="1"/>
    <cellStyle name="경고문 4" xfId="32192" hidden="1"/>
    <cellStyle name="경고문 4" xfId="32232" hidden="1"/>
    <cellStyle name="경고문 4" xfId="32272" hidden="1"/>
    <cellStyle name="경고문 4" xfId="32312" hidden="1"/>
    <cellStyle name="경고문 4" xfId="32352" hidden="1"/>
    <cellStyle name="경고문 4" xfId="32392" hidden="1"/>
    <cellStyle name="경고문 4" xfId="32432" hidden="1"/>
    <cellStyle name="경고문 4" xfId="32472" hidden="1"/>
    <cellStyle name="경고문 4" xfId="32512" hidden="1"/>
    <cellStyle name="경고문 4" xfId="32552" hidden="1"/>
    <cellStyle name="경고문 4" xfId="32637" hidden="1"/>
    <cellStyle name="경고문 4" xfId="32677" hidden="1"/>
    <cellStyle name="경고문 4" xfId="32719" hidden="1"/>
    <cellStyle name="경고문 4" xfId="32761" hidden="1"/>
    <cellStyle name="경고문 4" xfId="32803" hidden="1"/>
    <cellStyle name="경고문 4" xfId="32845" hidden="1"/>
    <cellStyle name="경고문 4" xfId="32887" hidden="1"/>
    <cellStyle name="경고문 4" xfId="32929" hidden="1"/>
    <cellStyle name="경고문 4" xfId="32971" hidden="1"/>
    <cellStyle name="경고문 4" xfId="33013" hidden="1"/>
    <cellStyle name="경고문 4" xfId="33055" hidden="1"/>
    <cellStyle name="경고문 4" xfId="33097" hidden="1"/>
    <cellStyle name="경고문 4" xfId="32593" hidden="1"/>
    <cellStyle name="경고문 4" xfId="33277" hidden="1"/>
    <cellStyle name="경고문 4" xfId="33317" hidden="1"/>
    <cellStyle name="경고문 4" xfId="33357" hidden="1"/>
    <cellStyle name="경고문 4" xfId="33397" hidden="1"/>
    <cellStyle name="경고문 4" xfId="33437" hidden="1"/>
    <cellStyle name="경고문 4" xfId="33477" hidden="1"/>
    <cellStyle name="경고문 4" xfId="33517" hidden="1"/>
    <cellStyle name="경고문 4" xfId="33557" hidden="1"/>
    <cellStyle name="경고문 4" xfId="33597" hidden="1"/>
    <cellStyle name="경고문 4" xfId="33637" hidden="1"/>
    <cellStyle name="경고문 4" xfId="33677" hidden="1"/>
    <cellStyle name="경고문 4" xfId="33717" hidden="1"/>
    <cellStyle name="경고문 4" xfId="33193" hidden="1"/>
    <cellStyle name="경고문 4" xfId="33154" hidden="1"/>
    <cellStyle name="경고문 4" xfId="33758" hidden="1"/>
    <cellStyle name="경고문 4" xfId="33800" hidden="1"/>
    <cellStyle name="경고문 4" xfId="33842" hidden="1"/>
    <cellStyle name="경고문 4" xfId="33884" hidden="1"/>
    <cellStyle name="경고문 4" xfId="33926" hidden="1"/>
    <cellStyle name="경고문 4" xfId="33968" hidden="1"/>
    <cellStyle name="경고문 4" xfId="34010" hidden="1"/>
    <cellStyle name="경고문 4" xfId="34052" hidden="1"/>
    <cellStyle name="경고문 4" xfId="34094" hidden="1"/>
    <cellStyle name="경고문 4" xfId="34136" hidden="1"/>
    <cellStyle name="경고문 4" xfId="33247" hidden="1"/>
    <cellStyle name="경고문 4" xfId="34165" hidden="1"/>
    <cellStyle name="경고문 4" xfId="34205" hidden="1"/>
    <cellStyle name="경고문 4" xfId="34245" hidden="1"/>
    <cellStyle name="경고문 4" xfId="34285" hidden="1"/>
    <cellStyle name="경고문 4" xfId="34325" hidden="1"/>
    <cellStyle name="경고문 4" xfId="34365" hidden="1"/>
    <cellStyle name="경고문 4" xfId="34405" hidden="1"/>
    <cellStyle name="경고문 4" xfId="34445" hidden="1"/>
    <cellStyle name="경고문 4" xfId="34485" hidden="1"/>
    <cellStyle name="경고문 4" xfId="34525" hidden="1"/>
    <cellStyle name="경고문 4" xfId="34565" hidden="1"/>
    <cellStyle name="경고문 4" xfId="34605" hidden="1"/>
    <cellStyle name="경고문 4" xfId="34702" hidden="1"/>
    <cellStyle name="경고문 4" xfId="34742" hidden="1"/>
    <cellStyle name="경고문 4" xfId="34782" hidden="1"/>
    <cellStyle name="경고문 4" xfId="34822" hidden="1"/>
    <cellStyle name="경고문 4" xfId="34862" hidden="1"/>
    <cellStyle name="경고문 4" xfId="34902" hidden="1"/>
    <cellStyle name="경고문 4" xfId="34942" hidden="1"/>
    <cellStyle name="경고문 4" xfId="34982" hidden="1"/>
    <cellStyle name="경고문 4" xfId="35022" hidden="1"/>
    <cellStyle name="경고문 4" xfId="35062" hidden="1"/>
    <cellStyle name="경고문 4" xfId="35102" hidden="1"/>
    <cellStyle name="경고문 4" xfId="35142" hidden="1"/>
    <cellStyle name="경고문 4" xfId="35226" hidden="1"/>
    <cellStyle name="경고문 4" xfId="35266" hidden="1"/>
    <cellStyle name="경고문 4" xfId="35308" hidden="1"/>
    <cellStyle name="경고문 4" xfId="35350" hidden="1"/>
    <cellStyle name="경고문 4" xfId="35392" hidden="1"/>
    <cellStyle name="경고문 4" xfId="35434" hidden="1"/>
    <cellStyle name="경고문 4" xfId="35476" hidden="1"/>
    <cellStyle name="경고문 4" xfId="35518" hidden="1"/>
    <cellStyle name="경고문 4" xfId="35560" hidden="1"/>
    <cellStyle name="경고문 4" xfId="35602" hidden="1"/>
    <cellStyle name="경고문 4" xfId="35644" hidden="1"/>
    <cellStyle name="경고문 4" xfId="35686" hidden="1"/>
    <cellStyle name="경고문 4" xfId="35182" hidden="1"/>
    <cellStyle name="경고문 4" xfId="35866" hidden="1"/>
    <cellStyle name="경고문 4" xfId="35906" hidden="1"/>
    <cellStyle name="경고문 4" xfId="35946" hidden="1"/>
    <cellStyle name="경고문 4" xfId="35986" hidden="1"/>
    <cellStyle name="경고문 4" xfId="36026" hidden="1"/>
    <cellStyle name="경고문 4" xfId="36066" hidden="1"/>
    <cellStyle name="경고문 4" xfId="36106" hidden="1"/>
    <cellStyle name="경고문 4" xfId="36146" hidden="1"/>
    <cellStyle name="경고문 4" xfId="36186" hidden="1"/>
    <cellStyle name="경고문 4" xfId="36226" hidden="1"/>
    <cellStyle name="경고문 4" xfId="36266" hidden="1"/>
    <cellStyle name="경고문 4" xfId="36306" hidden="1"/>
    <cellStyle name="경고문 4" xfId="35782" hidden="1"/>
    <cellStyle name="경고문 4" xfId="35743" hidden="1"/>
    <cellStyle name="경고문 4" xfId="36347" hidden="1"/>
    <cellStyle name="경고문 4" xfId="36389" hidden="1"/>
    <cellStyle name="경고문 4" xfId="36431" hidden="1"/>
    <cellStyle name="경고문 4" xfId="36473" hidden="1"/>
    <cellStyle name="경고문 4" xfId="36515" hidden="1"/>
    <cellStyle name="경고문 4" xfId="36557" hidden="1"/>
    <cellStyle name="경고문 4" xfId="36599" hidden="1"/>
    <cellStyle name="경고문 4" xfId="36641" hidden="1"/>
    <cellStyle name="경고문 4" xfId="36683" hidden="1"/>
    <cellStyle name="경고문 4" xfId="36725" hidden="1"/>
    <cellStyle name="경고문 4" xfId="35836" hidden="1"/>
    <cellStyle name="경고문 4" xfId="36754" hidden="1"/>
    <cellStyle name="경고문 4" xfId="36794" hidden="1"/>
    <cellStyle name="경고문 4" xfId="36834" hidden="1"/>
    <cellStyle name="경고문 4" xfId="36874" hidden="1"/>
    <cellStyle name="경고문 4" xfId="36914" hidden="1"/>
    <cellStyle name="경고문 4" xfId="36954" hidden="1"/>
    <cellStyle name="경고문 4" xfId="36994" hidden="1"/>
    <cellStyle name="경고문 4" xfId="37034" hidden="1"/>
    <cellStyle name="경고문 4" xfId="37074" hidden="1"/>
    <cellStyle name="경고문 4" xfId="37114" hidden="1"/>
    <cellStyle name="경고문 4" xfId="37154" hidden="1"/>
    <cellStyle name="경고문 4" xfId="37194" hidden="1"/>
    <cellStyle name="경고문 4" xfId="34645" hidden="1"/>
    <cellStyle name="경고문 4" xfId="37245" hidden="1"/>
    <cellStyle name="경고문 4" xfId="37286" hidden="1"/>
    <cellStyle name="경고문 4" xfId="37326" hidden="1"/>
    <cellStyle name="경고문 4" xfId="37366" hidden="1"/>
    <cellStyle name="경고문 4" xfId="37406" hidden="1"/>
    <cellStyle name="경고문 4" xfId="37446" hidden="1"/>
    <cellStyle name="경고문 4" xfId="37486" hidden="1"/>
    <cellStyle name="경고문 4" xfId="37526" hidden="1"/>
    <cellStyle name="경고문 4" xfId="37566" hidden="1"/>
    <cellStyle name="경고문 4" xfId="37606" hidden="1"/>
    <cellStyle name="경고문 4" xfId="37646" hidden="1"/>
    <cellStyle name="경고문 4" xfId="37730" hidden="1"/>
    <cellStyle name="경고문 4" xfId="37770" hidden="1"/>
    <cellStyle name="경고문 4" xfId="37812" hidden="1"/>
    <cellStyle name="경고문 4" xfId="37854" hidden="1"/>
    <cellStyle name="경고문 4" xfId="37896" hidden="1"/>
    <cellStyle name="경고문 4" xfId="37938" hidden="1"/>
    <cellStyle name="경고문 4" xfId="37980" hidden="1"/>
    <cellStyle name="경고문 4" xfId="38022" hidden="1"/>
    <cellStyle name="경고문 4" xfId="38064" hidden="1"/>
    <cellStyle name="경고문 4" xfId="38106" hidden="1"/>
    <cellStyle name="경고문 4" xfId="38148" hidden="1"/>
    <cellStyle name="경고문 4" xfId="38190" hidden="1"/>
    <cellStyle name="경고문 4" xfId="37686" hidden="1"/>
    <cellStyle name="경고문 4" xfId="38370" hidden="1"/>
    <cellStyle name="경고문 4" xfId="38410" hidden="1"/>
    <cellStyle name="경고문 4" xfId="38450" hidden="1"/>
    <cellStyle name="경고문 4" xfId="38490" hidden="1"/>
    <cellStyle name="경고문 4" xfId="38530" hidden="1"/>
    <cellStyle name="경고문 4" xfId="38570" hidden="1"/>
    <cellStyle name="경고문 4" xfId="38610" hidden="1"/>
    <cellStyle name="경고문 4" xfId="38650" hidden="1"/>
    <cellStyle name="경고문 4" xfId="38690" hidden="1"/>
    <cellStyle name="경고문 4" xfId="38730" hidden="1"/>
    <cellStyle name="경고문 4" xfId="38770" hidden="1"/>
    <cellStyle name="경고문 4" xfId="38810" hidden="1"/>
    <cellStyle name="경고문 4" xfId="38286" hidden="1"/>
    <cellStyle name="경고문 4" xfId="38247" hidden="1"/>
    <cellStyle name="경고문 4" xfId="38851" hidden="1"/>
    <cellStyle name="경고문 4" xfId="38893" hidden="1"/>
    <cellStyle name="경고문 4" xfId="38935" hidden="1"/>
    <cellStyle name="경고문 4" xfId="38977" hidden="1"/>
    <cellStyle name="경고문 4" xfId="39019" hidden="1"/>
    <cellStyle name="경고문 4" xfId="39061" hidden="1"/>
    <cellStyle name="경고문 4" xfId="39103" hidden="1"/>
    <cellStyle name="경고문 4" xfId="39145" hidden="1"/>
    <cellStyle name="경고문 4" xfId="39187" hidden="1"/>
    <cellStyle name="경고문 4" xfId="39229" hidden="1"/>
    <cellStyle name="경고문 4" xfId="38340" hidden="1"/>
    <cellStyle name="경고문 4" xfId="39258" hidden="1"/>
    <cellStyle name="경고문 4" xfId="39298" hidden="1"/>
    <cellStyle name="경고문 4" xfId="39338" hidden="1"/>
    <cellStyle name="경고문 4" xfId="39378" hidden="1"/>
    <cellStyle name="경고문 4" xfId="39418" hidden="1"/>
    <cellStyle name="경고문 4" xfId="39458" hidden="1"/>
    <cellStyle name="경고문 4" xfId="39498" hidden="1"/>
    <cellStyle name="경고문 4" xfId="39538" hidden="1"/>
    <cellStyle name="경고문 4" xfId="39578" hidden="1"/>
    <cellStyle name="경고문 4" xfId="39618" hidden="1"/>
    <cellStyle name="경고문 4" xfId="39658" hidden="1"/>
    <cellStyle name="경고문 4" xfId="39698" hidden="1"/>
    <cellStyle name="경고문 4" xfId="34671" hidden="1"/>
    <cellStyle name="경고문 4" xfId="39748" hidden="1"/>
    <cellStyle name="경고문 4" xfId="39788" hidden="1"/>
    <cellStyle name="경고문 4" xfId="39828" hidden="1"/>
    <cellStyle name="경고문 4" xfId="39868" hidden="1"/>
    <cellStyle name="경고문 4" xfId="39908" hidden="1"/>
    <cellStyle name="경고문 4" xfId="39948" hidden="1"/>
    <cellStyle name="경고문 4" xfId="39988" hidden="1"/>
    <cellStyle name="경고문 4" xfId="40028" hidden="1"/>
    <cellStyle name="경고문 4" xfId="40068" hidden="1"/>
    <cellStyle name="경고문 4" xfId="40108" hidden="1"/>
    <cellStyle name="경고문 4" xfId="40148" hidden="1"/>
    <cellStyle name="경고문 4" xfId="40232" hidden="1"/>
    <cellStyle name="경고문 4" xfId="40272" hidden="1"/>
    <cellStyle name="경고문 4" xfId="40314" hidden="1"/>
    <cellStyle name="경고문 4" xfId="40356" hidden="1"/>
    <cellStyle name="경고문 4" xfId="40398" hidden="1"/>
    <cellStyle name="경고문 4" xfId="40440" hidden="1"/>
    <cellStyle name="경고문 4" xfId="40482" hidden="1"/>
    <cellStyle name="경고문 4" xfId="40524" hidden="1"/>
    <cellStyle name="경고문 4" xfId="40566" hidden="1"/>
    <cellStyle name="경고문 4" xfId="40608" hidden="1"/>
    <cellStyle name="경고문 4" xfId="40650" hidden="1"/>
    <cellStyle name="경고문 4" xfId="40692" hidden="1"/>
    <cellStyle name="경고문 4" xfId="40188" hidden="1"/>
    <cellStyle name="경고문 4" xfId="40872" hidden="1"/>
    <cellStyle name="경고문 4" xfId="40912" hidden="1"/>
    <cellStyle name="경고문 4" xfId="40952" hidden="1"/>
    <cellStyle name="경고문 4" xfId="40992" hidden="1"/>
    <cellStyle name="경고문 4" xfId="41032" hidden="1"/>
    <cellStyle name="경고문 4" xfId="41072" hidden="1"/>
    <cellStyle name="경고문 4" xfId="41112" hidden="1"/>
    <cellStyle name="경고문 4" xfId="41152" hidden="1"/>
    <cellStyle name="경고문 4" xfId="41192" hidden="1"/>
    <cellStyle name="경고문 4" xfId="41232" hidden="1"/>
    <cellStyle name="경고문 4" xfId="41272" hidden="1"/>
    <cellStyle name="경고문 4" xfId="41312" hidden="1"/>
    <cellStyle name="경고문 4" xfId="40788" hidden="1"/>
    <cellStyle name="경고문 4" xfId="40749" hidden="1"/>
    <cellStyle name="경고문 4" xfId="41353" hidden="1"/>
    <cellStyle name="경고문 4" xfId="41395" hidden="1"/>
    <cellStyle name="경고문 4" xfId="41437" hidden="1"/>
    <cellStyle name="경고문 4" xfId="41479" hidden="1"/>
    <cellStyle name="경고문 4" xfId="41521" hidden="1"/>
    <cellStyle name="경고문 4" xfId="41563" hidden="1"/>
    <cellStyle name="경고문 4" xfId="41605" hidden="1"/>
    <cellStyle name="경고문 4" xfId="41647" hidden="1"/>
    <cellStyle name="경고문 4" xfId="41689" hidden="1"/>
    <cellStyle name="경고문 4" xfId="41731" hidden="1"/>
    <cellStyle name="경고문 4" xfId="40842" hidden="1"/>
    <cellStyle name="경고문 4" xfId="41760" hidden="1"/>
    <cellStyle name="경고문 4" xfId="41800" hidden="1"/>
    <cellStyle name="경고문 4" xfId="41840" hidden="1"/>
    <cellStyle name="경고문 4" xfId="41880" hidden="1"/>
    <cellStyle name="경고문 4" xfId="41920" hidden="1"/>
    <cellStyle name="경고문 4" xfId="41960" hidden="1"/>
    <cellStyle name="경고문 4" xfId="42000" hidden="1"/>
    <cellStyle name="경고문 4" xfId="42040" hidden="1"/>
    <cellStyle name="경고문 4" xfId="42080" hidden="1"/>
    <cellStyle name="경고문 4" xfId="42120" hidden="1"/>
    <cellStyle name="경고문 4" xfId="42160" hidden="1"/>
    <cellStyle name="경고문 4" xfId="42200" hidden="1"/>
    <cellStyle name="경고문 4" xfId="42243" hidden="1"/>
    <cellStyle name="경고문 4" xfId="42283" hidden="1"/>
    <cellStyle name="경고문 4" xfId="42323" hidden="1"/>
    <cellStyle name="경고문 4" xfId="42363" hidden="1"/>
    <cellStyle name="경고문 4" xfId="42403" hidden="1"/>
    <cellStyle name="경고문 4" xfId="42443" hidden="1"/>
    <cellStyle name="경고문 4" xfId="42483" hidden="1"/>
    <cellStyle name="경고문 4" xfId="42523" hidden="1"/>
    <cellStyle name="경고문 4" xfId="42563" hidden="1"/>
    <cellStyle name="경고문 4" xfId="42603" hidden="1"/>
    <cellStyle name="경고문 4" xfId="42643" hidden="1"/>
    <cellStyle name="경고문 4" xfId="42683" hidden="1"/>
    <cellStyle name="경고문 4" xfId="42767" hidden="1"/>
    <cellStyle name="경고문 4" xfId="42807" hidden="1"/>
    <cellStyle name="경고문 4" xfId="42849" hidden="1"/>
    <cellStyle name="경고문 4" xfId="42891" hidden="1"/>
    <cellStyle name="경고문 4" xfId="42933" hidden="1"/>
    <cellStyle name="경고문 4" xfId="42975" hidden="1"/>
    <cellStyle name="경고문 4" xfId="43017" hidden="1"/>
    <cellStyle name="경고문 4" xfId="43059" hidden="1"/>
    <cellStyle name="경고문 4" xfId="43101" hidden="1"/>
    <cellStyle name="경고문 4" xfId="43143" hidden="1"/>
    <cellStyle name="경고문 4" xfId="43185" hidden="1"/>
    <cellStyle name="경고문 4" xfId="43227" hidden="1"/>
    <cellStyle name="경고문 4" xfId="42723" hidden="1"/>
    <cellStyle name="경고문 4" xfId="43407" hidden="1"/>
    <cellStyle name="경고문 4" xfId="43447" hidden="1"/>
    <cellStyle name="경고문 4" xfId="43487" hidden="1"/>
    <cellStyle name="경고문 4" xfId="43527" hidden="1"/>
    <cellStyle name="경고문 4" xfId="43567" hidden="1"/>
    <cellStyle name="경고문 4" xfId="43607" hidden="1"/>
    <cellStyle name="경고문 4" xfId="43647" hidden="1"/>
    <cellStyle name="경고문 4" xfId="43687" hidden="1"/>
    <cellStyle name="경고문 4" xfId="43727" hidden="1"/>
    <cellStyle name="경고문 4" xfId="43767" hidden="1"/>
    <cellStyle name="경고문 4" xfId="43807" hidden="1"/>
    <cellStyle name="경고문 4" xfId="43847" hidden="1"/>
    <cellStyle name="경고문 4" xfId="43323" hidden="1"/>
    <cellStyle name="경고문 4" xfId="43284" hidden="1"/>
    <cellStyle name="경고문 4" xfId="43888" hidden="1"/>
    <cellStyle name="경고문 4" xfId="43930" hidden="1"/>
    <cellStyle name="경고문 4" xfId="43972" hidden="1"/>
    <cellStyle name="경고문 4" xfId="44014" hidden="1"/>
    <cellStyle name="경고문 4" xfId="44056" hidden="1"/>
    <cellStyle name="경고문 4" xfId="44098" hidden="1"/>
    <cellStyle name="경고문 4" xfId="44140" hidden="1"/>
    <cellStyle name="경고문 4" xfId="44182" hidden="1"/>
    <cellStyle name="경고문 4" xfId="44224" hidden="1"/>
    <cellStyle name="경고문 4" xfId="44266" hidden="1"/>
    <cellStyle name="경고문 4" xfId="43377" hidden="1"/>
    <cellStyle name="경고문 4" xfId="44295" hidden="1"/>
    <cellStyle name="경고문 4" xfId="44335" hidden="1"/>
    <cellStyle name="경고문 4" xfId="44375" hidden="1"/>
    <cellStyle name="경고문 4" xfId="44415" hidden="1"/>
    <cellStyle name="경고문 4" xfId="44455" hidden="1"/>
    <cellStyle name="경고문 4" xfId="44495" hidden="1"/>
    <cellStyle name="경고문 4" xfId="44535" hidden="1"/>
    <cellStyle name="경고문 4" xfId="44575" hidden="1"/>
    <cellStyle name="경고문 4" xfId="44615" hidden="1"/>
    <cellStyle name="경고문 4" xfId="44655" hidden="1"/>
    <cellStyle name="경고문 4" xfId="44695" hidden="1"/>
    <cellStyle name="경고문 4" xfId="44735" hidden="1"/>
    <cellStyle name="경고문 4" xfId="44831" hidden="1"/>
    <cellStyle name="경고문 4" xfId="44871" hidden="1"/>
    <cellStyle name="경고문 4" xfId="44912" hidden="1"/>
    <cellStyle name="경고문 4" xfId="44954" hidden="1"/>
    <cellStyle name="경고문 4" xfId="44994" hidden="1"/>
    <cellStyle name="경고문 4" xfId="45034" hidden="1"/>
    <cellStyle name="경고문 4" xfId="45074" hidden="1"/>
    <cellStyle name="경고문 4" xfId="45114" hidden="1"/>
    <cellStyle name="경고문 4" xfId="45154" hidden="1"/>
    <cellStyle name="경고문 4" xfId="45194" hidden="1"/>
    <cellStyle name="경고문 4" xfId="45234" hidden="1"/>
    <cellStyle name="경고문 4" xfId="45274" hidden="1"/>
    <cellStyle name="경고문 4" xfId="45358" hidden="1"/>
    <cellStyle name="경고문 4" xfId="45398" hidden="1"/>
    <cellStyle name="경고문 4" xfId="45440" hidden="1"/>
    <cellStyle name="경고문 4" xfId="45482" hidden="1"/>
    <cellStyle name="경고문 4" xfId="45524" hidden="1"/>
    <cellStyle name="경고문 4" xfId="45566" hidden="1"/>
    <cellStyle name="경고문 4" xfId="45608" hidden="1"/>
    <cellStyle name="경고문 4" xfId="45650" hidden="1"/>
    <cellStyle name="경고문 4" xfId="45692" hidden="1"/>
    <cellStyle name="경고문 4" xfId="45734" hidden="1"/>
    <cellStyle name="경고문 4" xfId="45776" hidden="1"/>
    <cellStyle name="경고문 4" xfId="45818" hidden="1"/>
    <cellStyle name="경고문 4" xfId="45314" hidden="1"/>
    <cellStyle name="경고문 4" xfId="45998" hidden="1"/>
    <cellStyle name="경고문 4" xfId="46038" hidden="1"/>
    <cellStyle name="경고문 4" xfId="46078" hidden="1"/>
    <cellStyle name="경고문 4" xfId="46118" hidden="1"/>
    <cellStyle name="경고문 4" xfId="46158" hidden="1"/>
    <cellStyle name="경고문 4" xfId="46198" hidden="1"/>
    <cellStyle name="경고문 4" xfId="46238" hidden="1"/>
    <cellStyle name="경고문 4" xfId="46278" hidden="1"/>
    <cellStyle name="경고문 4" xfId="46318" hidden="1"/>
    <cellStyle name="경고문 4" xfId="46358" hidden="1"/>
    <cellStyle name="경고문 4" xfId="46398" hidden="1"/>
    <cellStyle name="경고문 4" xfId="46438" hidden="1"/>
    <cellStyle name="경고문 4" xfId="45914" hidden="1"/>
    <cellStyle name="경고문 4" xfId="45875" hidden="1"/>
    <cellStyle name="경고문 4" xfId="46479" hidden="1"/>
    <cellStyle name="경고문 4" xfId="46521" hidden="1"/>
    <cellStyle name="경고문 4" xfId="46563" hidden="1"/>
    <cellStyle name="경고문 4" xfId="46605" hidden="1"/>
    <cellStyle name="경고문 4" xfId="46647" hidden="1"/>
    <cellStyle name="경고문 4" xfId="46689" hidden="1"/>
    <cellStyle name="경고문 4" xfId="46731" hidden="1"/>
    <cellStyle name="경고문 4" xfId="46773" hidden="1"/>
    <cellStyle name="경고문 4" xfId="46815" hidden="1"/>
    <cellStyle name="경고문 4" xfId="46857" hidden="1"/>
    <cellStyle name="경고문 4" xfId="45968" hidden="1"/>
    <cellStyle name="경고문 4" xfId="46886" hidden="1"/>
    <cellStyle name="경고문 4" xfId="46926" hidden="1"/>
    <cellStyle name="경고문 4" xfId="46966" hidden="1"/>
    <cellStyle name="경고문 4" xfId="47006" hidden="1"/>
    <cellStyle name="경고문 4" xfId="47046" hidden="1"/>
    <cellStyle name="경고문 4" xfId="47086" hidden="1"/>
    <cellStyle name="경고문 4" xfId="47126" hidden="1"/>
    <cellStyle name="경고문 4" xfId="47166" hidden="1"/>
    <cellStyle name="경고문 4" xfId="47206" hidden="1"/>
    <cellStyle name="경고문 4" xfId="47246" hidden="1"/>
    <cellStyle name="경고문 4" xfId="47286" hidden="1"/>
    <cellStyle name="경고문 4" xfId="47326" hidden="1"/>
    <cellStyle name="경고문 4" xfId="44775" hidden="1"/>
    <cellStyle name="경고문 4" xfId="47377" hidden="1"/>
    <cellStyle name="경고문 4" xfId="47417" hidden="1"/>
    <cellStyle name="경고문 4" xfId="47457" hidden="1"/>
    <cellStyle name="경고문 4" xfId="47497" hidden="1"/>
    <cellStyle name="경고문 4" xfId="47537" hidden="1"/>
    <cellStyle name="경고문 4" xfId="47577" hidden="1"/>
    <cellStyle name="경고문 4" xfId="47617" hidden="1"/>
    <cellStyle name="경고문 4" xfId="47657" hidden="1"/>
    <cellStyle name="경고문 4" xfId="47697" hidden="1"/>
    <cellStyle name="경고문 4" xfId="47737" hidden="1"/>
    <cellStyle name="경고문 4" xfId="47777" hidden="1"/>
    <cellStyle name="경고문 4" xfId="47861" hidden="1"/>
    <cellStyle name="경고문 4" xfId="47901" hidden="1"/>
    <cellStyle name="경고문 4" xfId="47943" hidden="1"/>
    <cellStyle name="경고문 4" xfId="47985" hidden="1"/>
    <cellStyle name="경고문 4" xfId="48027" hidden="1"/>
    <cellStyle name="경고문 4" xfId="48069" hidden="1"/>
    <cellStyle name="경고문 4" xfId="48111" hidden="1"/>
    <cellStyle name="경고문 4" xfId="48153" hidden="1"/>
    <cellStyle name="경고문 4" xfId="48195" hidden="1"/>
    <cellStyle name="경고문 4" xfId="48237" hidden="1"/>
    <cellStyle name="경고문 4" xfId="48279" hidden="1"/>
    <cellStyle name="경고문 4" xfId="48321" hidden="1"/>
    <cellStyle name="경고문 4" xfId="47817" hidden="1"/>
    <cellStyle name="경고문 4" xfId="48501" hidden="1"/>
    <cellStyle name="경고문 4" xfId="48541" hidden="1"/>
    <cellStyle name="경고문 4" xfId="48581" hidden="1"/>
    <cellStyle name="경고문 4" xfId="48621" hidden="1"/>
    <cellStyle name="경고문 4" xfId="48661" hidden="1"/>
    <cellStyle name="경고문 4" xfId="48701" hidden="1"/>
    <cellStyle name="경고문 4" xfId="48741" hidden="1"/>
    <cellStyle name="경고문 4" xfId="48781" hidden="1"/>
    <cellStyle name="경고문 4" xfId="48821" hidden="1"/>
    <cellStyle name="경고문 4" xfId="48861" hidden="1"/>
    <cellStyle name="경고문 4" xfId="48901" hidden="1"/>
    <cellStyle name="경고문 4" xfId="48941" hidden="1"/>
    <cellStyle name="경고문 4" xfId="48417" hidden="1"/>
    <cellStyle name="경고문 4" xfId="48378" hidden="1"/>
    <cellStyle name="경고문 4" xfId="48982" hidden="1"/>
    <cellStyle name="경고문 4" xfId="49024" hidden="1"/>
    <cellStyle name="경고문 4" xfId="49066" hidden="1"/>
    <cellStyle name="경고문 4" xfId="49108" hidden="1"/>
    <cellStyle name="경고문 4" xfId="49150" hidden="1"/>
    <cellStyle name="경고문 4" xfId="49192" hidden="1"/>
    <cellStyle name="경고문 4" xfId="49234" hidden="1"/>
    <cellStyle name="경고문 4" xfId="49276" hidden="1"/>
    <cellStyle name="경고문 4" xfId="49318" hidden="1"/>
    <cellStyle name="경고문 4" xfId="49360" hidden="1"/>
    <cellStyle name="경고문 4" xfId="48471" hidden="1"/>
    <cellStyle name="경고문 4" xfId="49389" hidden="1"/>
    <cellStyle name="경고문 4" xfId="49429" hidden="1"/>
    <cellStyle name="경고문 4" xfId="49469" hidden="1"/>
    <cellStyle name="경고문 4" xfId="49509" hidden="1"/>
    <cellStyle name="경고문 4" xfId="49549" hidden="1"/>
    <cellStyle name="경고문 4" xfId="49589" hidden="1"/>
    <cellStyle name="경고문 4" xfId="49629" hidden="1"/>
    <cellStyle name="경고문 4" xfId="49669" hidden="1"/>
    <cellStyle name="경고문 4" xfId="49709" hidden="1"/>
    <cellStyle name="경고문 4" xfId="49749" hidden="1"/>
    <cellStyle name="경고문 4" xfId="49789" hidden="1"/>
    <cellStyle name="경고문 4" xfId="49829" hidden="1"/>
    <cellStyle name="경고문 4" xfId="44800" hidden="1"/>
    <cellStyle name="경고문 4" xfId="49879" hidden="1"/>
    <cellStyle name="경고문 4" xfId="49919" hidden="1"/>
    <cellStyle name="경고문 4" xfId="49959" hidden="1"/>
    <cellStyle name="경고문 4" xfId="49999" hidden="1"/>
    <cellStyle name="경고문 4" xfId="50039" hidden="1"/>
    <cellStyle name="경고문 4" xfId="50079" hidden="1"/>
    <cellStyle name="경고문 4" xfId="50119" hidden="1"/>
    <cellStyle name="경고문 4" xfId="50159" hidden="1"/>
    <cellStyle name="경고문 4" xfId="50199" hidden="1"/>
    <cellStyle name="경고문 4" xfId="50239" hidden="1"/>
    <cellStyle name="경고문 4" xfId="50279" hidden="1"/>
    <cellStyle name="경고문 4" xfId="50363" hidden="1"/>
    <cellStyle name="경고문 4" xfId="50403" hidden="1"/>
    <cellStyle name="경고문 4" xfId="50445" hidden="1"/>
    <cellStyle name="경고문 4" xfId="50487" hidden="1"/>
    <cellStyle name="경고문 4" xfId="50529" hidden="1"/>
    <cellStyle name="경고문 4" xfId="50571" hidden="1"/>
    <cellStyle name="경고문 4" xfId="50613" hidden="1"/>
    <cellStyle name="경고문 4" xfId="50655" hidden="1"/>
    <cellStyle name="경고문 4" xfId="50697" hidden="1"/>
    <cellStyle name="경고문 4" xfId="50739" hidden="1"/>
    <cellStyle name="경고문 4" xfId="50781" hidden="1"/>
    <cellStyle name="경고문 4" xfId="50823" hidden="1"/>
    <cellStyle name="경고문 4" xfId="50319" hidden="1"/>
    <cellStyle name="경고문 4" xfId="51003" hidden="1"/>
    <cellStyle name="경고문 4" xfId="51043" hidden="1"/>
    <cellStyle name="경고문 4" xfId="51083" hidden="1"/>
    <cellStyle name="경고문 4" xfId="51123" hidden="1"/>
    <cellStyle name="경고문 4" xfId="51163" hidden="1"/>
    <cellStyle name="경고문 4" xfId="51203" hidden="1"/>
    <cellStyle name="경고문 4" xfId="51243" hidden="1"/>
    <cellStyle name="경고문 4" xfId="51283" hidden="1"/>
    <cellStyle name="경고문 4" xfId="51323" hidden="1"/>
    <cellStyle name="경고문 4" xfId="51363" hidden="1"/>
    <cellStyle name="경고문 4" xfId="51403" hidden="1"/>
    <cellStyle name="경고문 4" xfId="51443" hidden="1"/>
    <cellStyle name="경고문 4" xfId="50919" hidden="1"/>
    <cellStyle name="경고문 4" xfId="50880" hidden="1"/>
    <cellStyle name="경고문 4" xfId="51484" hidden="1"/>
    <cellStyle name="경고문 4" xfId="51526" hidden="1"/>
    <cellStyle name="경고문 4" xfId="51568" hidden="1"/>
    <cellStyle name="경고문 4" xfId="51610" hidden="1"/>
    <cellStyle name="경고문 4" xfId="51652" hidden="1"/>
    <cellStyle name="경고문 4" xfId="51694" hidden="1"/>
    <cellStyle name="경고문 4" xfId="51736" hidden="1"/>
    <cellStyle name="경고문 4" xfId="51778" hidden="1"/>
    <cellStyle name="경고문 4" xfId="51820" hidden="1"/>
    <cellStyle name="경고문 4" xfId="51862" hidden="1"/>
    <cellStyle name="경고문 4" xfId="50973" hidden="1"/>
    <cellStyle name="경고문 4" xfId="51891" hidden="1"/>
    <cellStyle name="경고문 4" xfId="51931" hidden="1"/>
    <cellStyle name="경고문 4" xfId="51971" hidden="1"/>
    <cellStyle name="경고문 4" xfId="52011" hidden="1"/>
    <cellStyle name="경고문 4" xfId="52051" hidden="1"/>
    <cellStyle name="경고문 4" xfId="52091" hidden="1"/>
    <cellStyle name="경고문 4" xfId="52131" hidden="1"/>
    <cellStyle name="경고문 4" xfId="52171" hidden="1"/>
    <cellStyle name="경고문 4" xfId="52211" hidden="1"/>
    <cellStyle name="경고문 4" xfId="52251" hidden="1"/>
    <cellStyle name="경고문 4" xfId="52291" hidden="1"/>
    <cellStyle name="경고문 4" xfId="52331" hidden="1"/>
    <cellStyle name="경고문 4 2" xfId="5367"/>
    <cellStyle name="경고문 4 3" xfId="5368"/>
    <cellStyle name="경고문 4 4" xfId="5369"/>
    <cellStyle name="경고문 4 5" xfId="5370"/>
    <cellStyle name="경고문 40" xfId="5371"/>
    <cellStyle name="경고문 41" xfId="5372"/>
    <cellStyle name="경고문 42" xfId="5373"/>
    <cellStyle name="경고문 43" xfId="5374"/>
    <cellStyle name="경고문 44" xfId="5375"/>
    <cellStyle name="경고문 45" xfId="5376"/>
    <cellStyle name="경고문 46" xfId="5377"/>
    <cellStyle name="경고문 47" xfId="5378"/>
    <cellStyle name="경고문 48" xfId="5379"/>
    <cellStyle name="경고문 49" xfId="5380"/>
    <cellStyle name="경고문 5" xfId="5381"/>
    <cellStyle name="경고문 50" xfId="5382"/>
    <cellStyle name="경고문 51" xfId="5383"/>
    <cellStyle name="경고문 52" xfId="5384"/>
    <cellStyle name="경고문 6" xfId="5385"/>
    <cellStyle name="경고문 7" xfId="5386"/>
    <cellStyle name="경고문 8" xfId="5387"/>
    <cellStyle name="경고문 9" xfId="5388"/>
    <cellStyle name="계산 10" xfId="5389"/>
    <cellStyle name="계산 11" xfId="5390"/>
    <cellStyle name="계산 12" xfId="5391"/>
    <cellStyle name="계산 13" xfId="5392"/>
    <cellStyle name="계산 14" xfId="5393"/>
    <cellStyle name="계산 15" xfId="5394"/>
    <cellStyle name="계산 16" xfId="5395"/>
    <cellStyle name="계산 17" xfId="5396"/>
    <cellStyle name="계산 18" xfId="5397"/>
    <cellStyle name="계산 19" xfId="5398"/>
    <cellStyle name="계산 2" xfId="360"/>
    <cellStyle name="계산 2 10" xfId="5399"/>
    <cellStyle name="계산 2 100" xfId="5400"/>
    <cellStyle name="계산 2 101" xfId="5401"/>
    <cellStyle name="계산 2 102" xfId="5402"/>
    <cellStyle name="계산 2 103" xfId="5403"/>
    <cellStyle name="계산 2 104" xfId="5404"/>
    <cellStyle name="계산 2 105" xfId="5405"/>
    <cellStyle name="계산 2 106" xfId="5406"/>
    <cellStyle name="계산 2 107" xfId="5407"/>
    <cellStyle name="계산 2 108" xfId="5408"/>
    <cellStyle name="계산 2 109" xfId="5409"/>
    <cellStyle name="계산 2 11" xfId="5410"/>
    <cellStyle name="계산 2 110" xfId="5411"/>
    <cellStyle name="계산 2 111" xfId="5412"/>
    <cellStyle name="계산 2 112" xfId="5413"/>
    <cellStyle name="계산 2 12" xfId="5414"/>
    <cellStyle name="계산 2 13" xfId="5415"/>
    <cellStyle name="계산 2 14" xfId="5416"/>
    <cellStyle name="계산 2 15" xfId="5417"/>
    <cellStyle name="계산 2 16" xfId="5418"/>
    <cellStyle name="계산 2 17" xfId="5419"/>
    <cellStyle name="계산 2 18" xfId="5420"/>
    <cellStyle name="계산 2 19" xfId="5421"/>
    <cellStyle name="계산 2 2" xfId="5422"/>
    <cellStyle name="계산 2 2 2" xfId="5423"/>
    <cellStyle name="계산 2 2 3" xfId="5424"/>
    <cellStyle name="계산 2 2 4" xfId="5425"/>
    <cellStyle name="계산 2 2 5" xfId="5426"/>
    <cellStyle name="계산 2 20" xfId="5427"/>
    <cellStyle name="계산 2 21" xfId="5428"/>
    <cellStyle name="계산 2 22" xfId="5429"/>
    <cellStyle name="계산 2 23" xfId="5430"/>
    <cellStyle name="계산 2 24" xfId="5431"/>
    <cellStyle name="계산 2 25" xfId="5432"/>
    <cellStyle name="계산 2 26" xfId="5433"/>
    <cellStyle name="계산 2 27" xfId="5434"/>
    <cellStyle name="계산 2 28" xfId="5435"/>
    <cellStyle name="계산 2 29" xfId="5436"/>
    <cellStyle name="계산 2 3" xfId="5437"/>
    <cellStyle name="계산 2 30" xfId="5438"/>
    <cellStyle name="계산 2 31" xfId="5439"/>
    <cellStyle name="계산 2 32" xfId="5440"/>
    <cellStyle name="계산 2 33" xfId="5441"/>
    <cellStyle name="계산 2 34" xfId="5442"/>
    <cellStyle name="계산 2 35" xfId="5443"/>
    <cellStyle name="계산 2 36" xfId="5444"/>
    <cellStyle name="계산 2 37" xfId="5445"/>
    <cellStyle name="계산 2 38" xfId="5446"/>
    <cellStyle name="계산 2 39" xfId="5447"/>
    <cellStyle name="계산 2 4" xfId="5448"/>
    <cellStyle name="계산 2 40" xfId="5449"/>
    <cellStyle name="계산 2 41" xfId="5450"/>
    <cellStyle name="계산 2 42" xfId="5451"/>
    <cellStyle name="계산 2 43" xfId="5452"/>
    <cellStyle name="계산 2 44" xfId="5453"/>
    <cellStyle name="계산 2 45" xfId="5454"/>
    <cellStyle name="계산 2 46" xfId="5455"/>
    <cellStyle name="계산 2 47" xfId="5456"/>
    <cellStyle name="계산 2 48" xfId="5457"/>
    <cellStyle name="계산 2 49" xfId="5458"/>
    <cellStyle name="계산 2 5" xfId="5459"/>
    <cellStyle name="계산 2 50" xfId="5460"/>
    <cellStyle name="계산 2 51" xfId="5461"/>
    <cellStyle name="계산 2 52" xfId="5462"/>
    <cellStyle name="계산 2 53" xfId="5463"/>
    <cellStyle name="계산 2 54" xfId="5464"/>
    <cellStyle name="계산 2 55" xfId="5465"/>
    <cellStyle name="계산 2 56" xfId="5466"/>
    <cellStyle name="계산 2 57" xfId="5467"/>
    <cellStyle name="계산 2 58" xfId="5468"/>
    <cellStyle name="계산 2 59" xfId="5469"/>
    <cellStyle name="계산 2 6" xfId="5470"/>
    <cellStyle name="계산 2 60" xfId="5471"/>
    <cellStyle name="계산 2 61" xfId="5472"/>
    <cellStyle name="계산 2 62" xfId="5473"/>
    <cellStyle name="계산 2 63" xfId="5474"/>
    <cellStyle name="계산 2 64" xfId="5475"/>
    <cellStyle name="계산 2 65" xfId="5476"/>
    <cellStyle name="계산 2 66" xfId="5477"/>
    <cellStyle name="계산 2 67" xfId="5478"/>
    <cellStyle name="계산 2 68" xfId="5479"/>
    <cellStyle name="계산 2 69" xfId="5480"/>
    <cellStyle name="계산 2 7" xfId="5481"/>
    <cellStyle name="계산 2 70" xfId="5482"/>
    <cellStyle name="계산 2 71" xfId="5483"/>
    <cellStyle name="계산 2 72" xfId="5484"/>
    <cellStyle name="계산 2 73" xfId="5485"/>
    <cellStyle name="계산 2 74" xfId="5486"/>
    <cellStyle name="계산 2 75" xfId="5487"/>
    <cellStyle name="계산 2 76" xfId="5488"/>
    <cellStyle name="계산 2 77" xfId="5489"/>
    <cellStyle name="계산 2 78" xfId="5490"/>
    <cellStyle name="계산 2 79" xfId="5491"/>
    <cellStyle name="계산 2 8" xfId="5492"/>
    <cellStyle name="계산 2 80" xfId="5493"/>
    <cellStyle name="계산 2 81" xfId="5494"/>
    <cellStyle name="계산 2 82" xfId="5495"/>
    <cellStyle name="계산 2 83" xfId="5496"/>
    <cellStyle name="계산 2 84" xfId="5497"/>
    <cellStyle name="계산 2 85" xfId="5498"/>
    <cellStyle name="계산 2 86" xfId="5499"/>
    <cellStyle name="계산 2 87" xfId="5500"/>
    <cellStyle name="계산 2 88" xfId="5501"/>
    <cellStyle name="계산 2 89" xfId="5502"/>
    <cellStyle name="계산 2 9" xfId="5503"/>
    <cellStyle name="계산 2 90" xfId="5504"/>
    <cellStyle name="계산 2 91" xfId="5505"/>
    <cellStyle name="계산 2 92" xfId="5506"/>
    <cellStyle name="계산 2 93" xfId="5507"/>
    <cellStyle name="계산 2 94" xfId="5508"/>
    <cellStyle name="계산 2 95" xfId="5509"/>
    <cellStyle name="계산 2 96" xfId="5510"/>
    <cellStyle name="계산 2 97" xfId="5511"/>
    <cellStyle name="계산 2 98" xfId="5512"/>
    <cellStyle name="계산 2 99" xfId="5513"/>
    <cellStyle name="계산 20" xfId="5514"/>
    <cellStyle name="계산 21" xfId="5515"/>
    <cellStyle name="계산 22" xfId="5516"/>
    <cellStyle name="계산 23" xfId="5517"/>
    <cellStyle name="계산 24" xfId="5518"/>
    <cellStyle name="계산 25" xfId="5519"/>
    <cellStyle name="계산 26" xfId="5520"/>
    <cellStyle name="계산 27" xfId="5521"/>
    <cellStyle name="계산 28" xfId="5522"/>
    <cellStyle name="계산 29" xfId="5523"/>
    <cellStyle name="계산 3" xfId="361"/>
    <cellStyle name="계산 30" xfId="5524"/>
    <cellStyle name="계산 31" xfId="5525"/>
    <cellStyle name="계산 32" xfId="5526"/>
    <cellStyle name="계산 33" xfId="5527"/>
    <cellStyle name="계산 34" xfId="5528"/>
    <cellStyle name="계산 35" xfId="5529"/>
    <cellStyle name="계산 36" xfId="5530"/>
    <cellStyle name="계산 37" xfId="5531"/>
    <cellStyle name="계산 38" xfId="5532"/>
    <cellStyle name="계산 39" xfId="5533"/>
    <cellStyle name="계산 4" xfId="11718" hidden="1"/>
    <cellStyle name="계산 4" xfId="11764" hidden="1"/>
    <cellStyle name="계산 4" xfId="11810" hidden="1"/>
    <cellStyle name="계산 4" xfId="11856" hidden="1"/>
    <cellStyle name="계산 4" xfId="11902" hidden="1"/>
    <cellStyle name="계산 4" xfId="11948" hidden="1"/>
    <cellStyle name="계산 4" xfId="11994" hidden="1"/>
    <cellStyle name="계산 4" xfId="12040" hidden="1"/>
    <cellStyle name="계산 4" xfId="12086" hidden="1"/>
    <cellStyle name="계산 4" xfId="12132" hidden="1"/>
    <cellStyle name="계산 4" xfId="12178" hidden="1"/>
    <cellStyle name="계산 4" xfId="12224" hidden="1"/>
    <cellStyle name="계산 4" xfId="12314" hidden="1"/>
    <cellStyle name="계산 4" xfId="12354" hidden="1"/>
    <cellStyle name="계산 4" xfId="12396" hidden="1"/>
    <cellStyle name="계산 4" xfId="12438" hidden="1"/>
    <cellStyle name="계산 4" xfId="12480" hidden="1"/>
    <cellStyle name="계산 4" xfId="12522" hidden="1"/>
    <cellStyle name="계산 4" xfId="12564" hidden="1"/>
    <cellStyle name="계산 4" xfId="12606" hidden="1"/>
    <cellStyle name="계산 4" xfId="12648" hidden="1"/>
    <cellStyle name="계산 4" xfId="12690" hidden="1"/>
    <cellStyle name="계산 4" xfId="12732" hidden="1"/>
    <cellStyle name="계산 4" xfId="12774" hidden="1"/>
    <cellStyle name="계산 4" xfId="12268" hidden="1"/>
    <cellStyle name="계산 4" xfId="12957" hidden="1"/>
    <cellStyle name="계산 4" xfId="12997" hidden="1"/>
    <cellStyle name="계산 4" xfId="13037" hidden="1"/>
    <cellStyle name="계산 4" xfId="13077" hidden="1"/>
    <cellStyle name="계산 4" xfId="13117" hidden="1"/>
    <cellStyle name="계산 4" xfId="13157" hidden="1"/>
    <cellStyle name="계산 4" xfId="13197" hidden="1"/>
    <cellStyle name="계산 4" xfId="13237" hidden="1"/>
    <cellStyle name="계산 4" xfId="13277" hidden="1"/>
    <cellStyle name="계산 4" xfId="13317" hidden="1"/>
    <cellStyle name="계산 4" xfId="13357" hidden="1"/>
    <cellStyle name="계산 4" xfId="13397" hidden="1"/>
    <cellStyle name="계산 4" xfId="12877" hidden="1"/>
    <cellStyle name="계산 4" xfId="12838" hidden="1"/>
    <cellStyle name="계산 4" xfId="13438" hidden="1"/>
    <cellStyle name="계산 4" xfId="13480" hidden="1"/>
    <cellStyle name="계산 4" xfId="13522" hidden="1"/>
    <cellStyle name="계산 4" xfId="13564" hidden="1"/>
    <cellStyle name="계산 4" xfId="13606" hidden="1"/>
    <cellStyle name="계산 4" xfId="13648" hidden="1"/>
    <cellStyle name="계산 4" xfId="13690" hidden="1"/>
    <cellStyle name="계산 4" xfId="13732" hidden="1"/>
    <cellStyle name="계산 4" xfId="13774" hidden="1"/>
    <cellStyle name="계산 4" xfId="13816" hidden="1"/>
    <cellStyle name="계산 4" xfId="12932" hidden="1"/>
    <cellStyle name="계산 4" xfId="12899" hidden="1"/>
    <cellStyle name="계산 4" xfId="13885" hidden="1"/>
    <cellStyle name="계산 4" xfId="13925" hidden="1"/>
    <cellStyle name="계산 4" xfId="13965" hidden="1"/>
    <cellStyle name="계산 4" xfId="14005" hidden="1"/>
    <cellStyle name="계산 4" xfId="14045" hidden="1"/>
    <cellStyle name="계산 4" xfId="14085" hidden="1"/>
    <cellStyle name="계산 4" xfId="14125" hidden="1"/>
    <cellStyle name="계산 4" xfId="14165" hidden="1"/>
    <cellStyle name="계산 4" xfId="14205" hidden="1"/>
    <cellStyle name="계산 4" xfId="14245" hidden="1"/>
    <cellStyle name="계산 4" xfId="14285" hidden="1"/>
    <cellStyle name="계산 4" xfId="14391" hidden="1"/>
    <cellStyle name="계산 4" xfId="14431" hidden="1"/>
    <cellStyle name="계산 4" xfId="14471" hidden="1"/>
    <cellStyle name="계산 4" xfId="14511" hidden="1"/>
    <cellStyle name="계산 4" xfId="14551" hidden="1"/>
    <cellStyle name="계산 4" xfId="14591" hidden="1"/>
    <cellStyle name="계산 4" xfId="14631" hidden="1"/>
    <cellStyle name="계산 4" xfId="14671" hidden="1"/>
    <cellStyle name="계산 4" xfId="14711" hidden="1"/>
    <cellStyle name="계산 4" xfId="14751" hidden="1"/>
    <cellStyle name="계산 4" xfId="14791" hidden="1"/>
    <cellStyle name="계산 4" xfId="14831" hidden="1"/>
    <cellStyle name="계산 4" xfId="14915" hidden="1"/>
    <cellStyle name="계산 4" xfId="14955" hidden="1"/>
    <cellStyle name="계산 4" xfId="14997" hidden="1"/>
    <cellStyle name="계산 4" xfId="15039" hidden="1"/>
    <cellStyle name="계산 4" xfId="15081" hidden="1"/>
    <cellStyle name="계산 4" xfId="15123" hidden="1"/>
    <cellStyle name="계산 4" xfId="15165" hidden="1"/>
    <cellStyle name="계산 4" xfId="15207" hidden="1"/>
    <cellStyle name="계산 4" xfId="15249" hidden="1"/>
    <cellStyle name="계산 4" xfId="15291" hidden="1"/>
    <cellStyle name="계산 4" xfId="15333" hidden="1"/>
    <cellStyle name="계산 4" xfId="15375" hidden="1"/>
    <cellStyle name="계산 4" xfId="14871" hidden="1"/>
    <cellStyle name="계산 4" xfId="15555" hidden="1"/>
    <cellStyle name="계산 4" xfId="15595" hidden="1"/>
    <cellStyle name="계산 4" xfId="15635" hidden="1"/>
    <cellStyle name="계산 4" xfId="15675" hidden="1"/>
    <cellStyle name="계산 4" xfId="15715" hidden="1"/>
    <cellStyle name="계산 4" xfId="15755" hidden="1"/>
    <cellStyle name="계산 4" xfId="15795" hidden="1"/>
    <cellStyle name="계산 4" xfId="15835" hidden="1"/>
    <cellStyle name="계산 4" xfId="15875" hidden="1"/>
    <cellStyle name="계산 4" xfId="15915" hidden="1"/>
    <cellStyle name="계산 4" xfId="15955" hidden="1"/>
    <cellStyle name="계산 4" xfId="15995" hidden="1"/>
    <cellStyle name="계산 4" xfId="15477" hidden="1"/>
    <cellStyle name="계산 4" xfId="15438" hidden="1"/>
    <cellStyle name="계산 4" xfId="16036" hidden="1"/>
    <cellStyle name="계산 4" xfId="16078" hidden="1"/>
    <cellStyle name="계산 4" xfId="16120" hidden="1"/>
    <cellStyle name="계산 4" xfId="16162" hidden="1"/>
    <cellStyle name="계산 4" xfId="16204" hidden="1"/>
    <cellStyle name="계산 4" xfId="16246" hidden="1"/>
    <cellStyle name="계산 4" xfId="16288" hidden="1"/>
    <cellStyle name="계산 4" xfId="16330" hidden="1"/>
    <cellStyle name="계산 4" xfId="16372" hidden="1"/>
    <cellStyle name="계산 4" xfId="16414" hidden="1"/>
    <cellStyle name="계산 4" xfId="15531" hidden="1"/>
    <cellStyle name="계산 4" xfId="15498" hidden="1"/>
    <cellStyle name="계산 4" xfId="16483" hidden="1"/>
    <cellStyle name="계산 4" xfId="16523" hidden="1"/>
    <cellStyle name="계산 4" xfId="16563" hidden="1"/>
    <cellStyle name="계산 4" xfId="16603" hidden="1"/>
    <cellStyle name="계산 4" xfId="16643" hidden="1"/>
    <cellStyle name="계산 4" xfId="16683" hidden="1"/>
    <cellStyle name="계산 4" xfId="16723" hidden="1"/>
    <cellStyle name="계산 4" xfId="16763" hidden="1"/>
    <cellStyle name="계산 4" xfId="16803" hidden="1"/>
    <cellStyle name="계산 4" xfId="16843" hidden="1"/>
    <cellStyle name="계산 4" xfId="16883" hidden="1"/>
    <cellStyle name="계산 4" xfId="14334" hidden="1"/>
    <cellStyle name="계산 4" xfId="16934" hidden="1"/>
    <cellStyle name="계산 4" xfId="16975" hidden="1"/>
    <cellStyle name="계산 4" xfId="17015" hidden="1"/>
    <cellStyle name="계산 4" xfId="17055" hidden="1"/>
    <cellStyle name="계산 4" xfId="17095" hidden="1"/>
    <cellStyle name="계산 4" xfId="17135" hidden="1"/>
    <cellStyle name="계산 4" xfId="17175" hidden="1"/>
    <cellStyle name="계산 4" xfId="17215" hidden="1"/>
    <cellStyle name="계산 4" xfId="17255" hidden="1"/>
    <cellStyle name="계산 4" xfId="17295" hidden="1"/>
    <cellStyle name="계산 4" xfId="17335" hidden="1"/>
    <cellStyle name="계산 4" xfId="17419" hidden="1"/>
    <cellStyle name="계산 4" xfId="17459" hidden="1"/>
    <cellStyle name="계산 4" xfId="17501" hidden="1"/>
    <cellStyle name="계산 4" xfId="17543" hidden="1"/>
    <cellStyle name="계산 4" xfId="17585" hidden="1"/>
    <cellStyle name="계산 4" xfId="17627" hidden="1"/>
    <cellStyle name="계산 4" xfId="17669" hidden="1"/>
    <cellStyle name="계산 4" xfId="17711" hidden="1"/>
    <cellStyle name="계산 4" xfId="17753" hidden="1"/>
    <cellStyle name="계산 4" xfId="17795" hidden="1"/>
    <cellStyle name="계산 4" xfId="17837" hidden="1"/>
    <cellStyle name="계산 4" xfId="17879" hidden="1"/>
    <cellStyle name="계산 4" xfId="17375" hidden="1"/>
    <cellStyle name="계산 4" xfId="18059" hidden="1"/>
    <cellStyle name="계산 4" xfId="18099" hidden="1"/>
    <cellStyle name="계산 4" xfId="18139" hidden="1"/>
    <cellStyle name="계산 4" xfId="18179" hidden="1"/>
    <cellStyle name="계산 4" xfId="18219" hidden="1"/>
    <cellStyle name="계산 4" xfId="18259" hidden="1"/>
    <cellStyle name="계산 4" xfId="18299" hidden="1"/>
    <cellStyle name="계산 4" xfId="18339" hidden="1"/>
    <cellStyle name="계산 4" xfId="18379" hidden="1"/>
    <cellStyle name="계산 4" xfId="18419" hidden="1"/>
    <cellStyle name="계산 4" xfId="18459" hidden="1"/>
    <cellStyle name="계산 4" xfId="18499" hidden="1"/>
    <cellStyle name="계산 4" xfId="17981" hidden="1"/>
    <cellStyle name="계산 4" xfId="17942" hidden="1"/>
    <cellStyle name="계산 4" xfId="18540" hidden="1"/>
    <cellStyle name="계산 4" xfId="18582" hidden="1"/>
    <cellStyle name="계산 4" xfId="18624" hidden="1"/>
    <cellStyle name="계산 4" xfId="18666" hidden="1"/>
    <cellStyle name="계산 4" xfId="18708" hidden="1"/>
    <cellStyle name="계산 4" xfId="18750" hidden="1"/>
    <cellStyle name="계산 4" xfId="18792" hidden="1"/>
    <cellStyle name="계산 4" xfId="18834" hidden="1"/>
    <cellStyle name="계산 4" xfId="18876" hidden="1"/>
    <cellStyle name="계산 4" xfId="18918" hidden="1"/>
    <cellStyle name="계산 4" xfId="18035" hidden="1"/>
    <cellStyle name="계산 4" xfId="18002" hidden="1"/>
    <cellStyle name="계산 4" xfId="18987" hidden="1"/>
    <cellStyle name="계산 4" xfId="19027" hidden="1"/>
    <cellStyle name="계산 4" xfId="19067" hidden="1"/>
    <cellStyle name="계산 4" xfId="19107" hidden="1"/>
    <cellStyle name="계산 4" xfId="19147" hidden="1"/>
    <cellStyle name="계산 4" xfId="19187" hidden="1"/>
    <cellStyle name="계산 4" xfId="19227" hidden="1"/>
    <cellStyle name="계산 4" xfId="19267" hidden="1"/>
    <cellStyle name="계산 4" xfId="19307" hidden="1"/>
    <cellStyle name="계산 4" xfId="19347" hidden="1"/>
    <cellStyle name="계산 4" xfId="19387" hidden="1"/>
    <cellStyle name="계산 4" xfId="14358" hidden="1"/>
    <cellStyle name="계산 4" xfId="19437" hidden="1"/>
    <cellStyle name="계산 4" xfId="19477" hidden="1"/>
    <cellStyle name="계산 4" xfId="19517" hidden="1"/>
    <cellStyle name="계산 4" xfId="19557" hidden="1"/>
    <cellStyle name="계산 4" xfId="19597" hidden="1"/>
    <cellStyle name="계산 4" xfId="19637" hidden="1"/>
    <cellStyle name="계산 4" xfId="19677" hidden="1"/>
    <cellStyle name="계산 4" xfId="19717" hidden="1"/>
    <cellStyle name="계산 4" xfId="19757" hidden="1"/>
    <cellStyle name="계산 4" xfId="19797" hidden="1"/>
    <cellStyle name="계산 4" xfId="19837" hidden="1"/>
    <cellStyle name="계산 4" xfId="19921" hidden="1"/>
    <cellStyle name="계산 4" xfId="19961" hidden="1"/>
    <cellStyle name="계산 4" xfId="20003" hidden="1"/>
    <cellStyle name="계산 4" xfId="20045" hidden="1"/>
    <cellStyle name="계산 4" xfId="20087" hidden="1"/>
    <cellStyle name="계산 4" xfId="20129" hidden="1"/>
    <cellStyle name="계산 4" xfId="20171" hidden="1"/>
    <cellStyle name="계산 4" xfId="20213" hidden="1"/>
    <cellStyle name="계산 4" xfId="20255" hidden="1"/>
    <cellStyle name="계산 4" xfId="20297" hidden="1"/>
    <cellStyle name="계산 4" xfId="20339" hidden="1"/>
    <cellStyle name="계산 4" xfId="20381" hidden="1"/>
    <cellStyle name="계산 4" xfId="19877" hidden="1"/>
    <cellStyle name="계산 4" xfId="20561" hidden="1"/>
    <cellStyle name="계산 4" xfId="20601" hidden="1"/>
    <cellStyle name="계산 4" xfId="20641" hidden="1"/>
    <cellStyle name="계산 4" xfId="20681" hidden="1"/>
    <cellStyle name="계산 4" xfId="20721" hidden="1"/>
    <cellStyle name="계산 4" xfId="20761" hidden="1"/>
    <cellStyle name="계산 4" xfId="20801" hidden="1"/>
    <cellStyle name="계산 4" xfId="20841" hidden="1"/>
    <cellStyle name="계산 4" xfId="20881" hidden="1"/>
    <cellStyle name="계산 4" xfId="20921" hidden="1"/>
    <cellStyle name="계산 4" xfId="20961" hidden="1"/>
    <cellStyle name="계산 4" xfId="21001" hidden="1"/>
    <cellStyle name="계산 4" xfId="20483" hidden="1"/>
    <cellStyle name="계산 4" xfId="20444" hidden="1"/>
    <cellStyle name="계산 4" xfId="21042" hidden="1"/>
    <cellStyle name="계산 4" xfId="21084" hidden="1"/>
    <cellStyle name="계산 4" xfId="21126" hidden="1"/>
    <cellStyle name="계산 4" xfId="21168" hidden="1"/>
    <cellStyle name="계산 4" xfId="21210" hidden="1"/>
    <cellStyle name="계산 4" xfId="21252" hidden="1"/>
    <cellStyle name="계산 4" xfId="21294" hidden="1"/>
    <cellStyle name="계산 4" xfId="21336" hidden="1"/>
    <cellStyle name="계산 4" xfId="21378" hidden="1"/>
    <cellStyle name="계산 4" xfId="21420" hidden="1"/>
    <cellStyle name="계산 4" xfId="20537" hidden="1"/>
    <cellStyle name="계산 4" xfId="20504" hidden="1"/>
    <cellStyle name="계산 4" xfId="21489" hidden="1"/>
    <cellStyle name="계산 4" xfId="21529" hidden="1"/>
    <cellStyle name="계산 4" xfId="21569" hidden="1"/>
    <cellStyle name="계산 4" xfId="21609" hidden="1"/>
    <cellStyle name="계산 4" xfId="21649" hidden="1"/>
    <cellStyle name="계산 4" xfId="21689" hidden="1"/>
    <cellStyle name="계산 4" xfId="21729" hidden="1"/>
    <cellStyle name="계산 4" xfId="21769" hidden="1"/>
    <cellStyle name="계산 4" xfId="21809" hidden="1"/>
    <cellStyle name="계산 4" xfId="21849" hidden="1"/>
    <cellStyle name="계산 4" xfId="21889" hidden="1"/>
    <cellStyle name="계산 4" xfId="21957" hidden="1"/>
    <cellStyle name="계산 4" xfId="21997" hidden="1"/>
    <cellStyle name="계산 4" xfId="22037" hidden="1"/>
    <cellStyle name="계산 4" xfId="22077" hidden="1"/>
    <cellStyle name="계산 4" xfId="22117" hidden="1"/>
    <cellStyle name="계산 4" xfId="22157" hidden="1"/>
    <cellStyle name="계산 4" xfId="22197" hidden="1"/>
    <cellStyle name="계산 4" xfId="22237" hidden="1"/>
    <cellStyle name="계산 4" xfId="22277" hidden="1"/>
    <cellStyle name="계산 4" xfId="22317" hidden="1"/>
    <cellStyle name="계산 4" xfId="22357" hidden="1"/>
    <cellStyle name="계산 4" xfId="22397" hidden="1"/>
    <cellStyle name="계산 4" xfId="22481" hidden="1"/>
    <cellStyle name="계산 4" xfId="22521" hidden="1"/>
    <cellStyle name="계산 4" xfId="22563" hidden="1"/>
    <cellStyle name="계산 4" xfId="22605" hidden="1"/>
    <cellStyle name="계산 4" xfId="22647" hidden="1"/>
    <cellStyle name="계산 4" xfId="22689" hidden="1"/>
    <cellStyle name="계산 4" xfId="22731" hidden="1"/>
    <cellStyle name="계산 4" xfId="22773" hidden="1"/>
    <cellStyle name="계산 4" xfId="22815" hidden="1"/>
    <cellStyle name="계산 4" xfId="22857" hidden="1"/>
    <cellStyle name="계산 4" xfId="22899" hidden="1"/>
    <cellStyle name="계산 4" xfId="22941" hidden="1"/>
    <cellStyle name="계산 4" xfId="22437" hidden="1"/>
    <cellStyle name="계산 4" xfId="23121" hidden="1"/>
    <cellStyle name="계산 4" xfId="23161" hidden="1"/>
    <cellStyle name="계산 4" xfId="23201" hidden="1"/>
    <cellStyle name="계산 4" xfId="23241" hidden="1"/>
    <cellStyle name="계산 4" xfId="23281" hidden="1"/>
    <cellStyle name="계산 4" xfId="23321" hidden="1"/>
    <cellStyle name="계산 4" xfId="23361" hidden="1"/>
    <cellStyle name="계산 4" xfId="23401" hidden="1"/>
    <cellStyle name="계산 4" xfId="23441" hidden="1"/>
    <cellStyle name="계산 4" xfId="23481" hidden="1"/>
    <cellStyle name="계산 4" xfId="23521" hidden="1"/>
    <cellStyle name="계산 4" xfId="23561" hidden="1"/>
    <cellStyle name="계산 4" xfId="23043" hidden="1"/>
    <cellStyle name="계산 4" xfId="23004" hidden="1"/>
    <cellStyle name="계산 4" xfId="23602" hidden="1"/>
    <cellStyle name="계산 4" xfId="23644" hidden="1"/>
    <cellStyle name="계산 4" xfId="23686" hidden="1"/>
    <cellStyle name="계산 4" xfId="23728" hidden="1"/>
    <cellStyle name="계산 4" xfId="23770" hidden="1"/>
    <cellStyle name="계산 4" xfId="23812" hidden="1"/>
    <cellStyle name="계산 4" xfId="23854" hidden="1"/>
    <cellStyle name="계산 4" xfId="23896" hidden="1"/>
    <cellStyle name="계산 4" xfId="23938" hidden="1"/>
    <cellStyle name="계산 4" xfId="23980" hidden="1"/>
    <cellStyle name="계산 4" xfId="23097" hidden="1"/>
    <cellStyle name="계산 4" xfId="23064" hidden="1"/>
    <cellStyle name="계산 4" xfId="24049" hidden="1"/>
    <cellStyle name="계산 4" xfId="24089" hidden="1"/>
    <cellStyle name="계산 4" xfId="24129" hidden="1"/>
    <cellStyle name="계산 4" xfId="24169" hidden="1"/>
    <cellStyle name="계산 4" xfId="24209" hidden="1"/>
    <cellStyle name="계산 4" xfId="24249" hidden="1"/>
    <cellStyle name="계산 4" xfId="24289" hidden="1"/>
    <cellStyle name="계산 4" xfId="24329" hidden="1"/>
    <cellStyle name="계산 4" xfId="24369" hidden="1"/>
    <cellStyle name="계산 4" xfId="24409" hidden="1"/>
    <cellStyle name="계산 4" xfId="24449" hidden="1"/>
    <cellStyle name="계산 4" xfId="24547" hidden="1"/>
    <cellStyle name="계산 4" xfId="24587" hidden="1"/>
    <cellStyle name="계산 4" xfId="24628" hidden="1"/>
    <cellStyle name="계산 4" xfId="24670" hidden="1"/>
    <cellStyle name="계산 4" xfId="24710" hidden="1"/>
    <cellStyle name="계산 4" xfId="24750" hidden="1"/>
    <cellStyle name="계산 4" xfId="24790" hidden="1"/>
    <cellStyle name="계산 4" xfId="24830" hidden="1"/>
    <cellStyle name="계산 4" xfId="24870" hidden="1"/>
    <cellStyle name="계산 4" xfId="24910" hidden="1"/>
    <cellStyle name="계산 4" xfId="24950" hidden="1"/>
    <cellStyle name="계산 4" xfId="24990" hidden="1"/>
    <cellStyle name="계산 4" xfId="25074" hidden="1"/>
    <cellStyle name="계산 4" xfId="25114" hidden="1"/>
    <cellStyle name="계산 4" xfId="25156" hidden="1"/>
    <cellStyle name="계산 4" xfId="25198" hidden="1"/>
    <cellStyle name="계산 4" xfId="25240" hidden="1"/>
    <cellStyle name="계산 4" xfId="25282" hidden="1"/>
    <cellStyle name="계산 4" xfId="25324" hidden="1"/>
    <cellStyle name="계산 4" xfId="25366" hidden="1"/>
    <cellStyle name="계산 4" xfId="25408" hidden="1"/>
    <cellStyle name="계산 4" xfId="25450" hidden="1"/>
    <cellStyle name="계산 4" xfId="25492" hidden="1"/>
    <cellStyle name="계산 4" xfId="25534" hidden="1"/>
    <cellStyle name="계산 4" xfId="25030" hidden="1"/>
    <cellStyle name="계산 4" xfId="25714" hidden="1"/>
    <cellStyle name="계산 4" xfId="25754" hidden="1"/>
    <cellStyle name="계산 4" xfId="25794" hidden="1"/>
    <cellStyle name="계산 4" xfId="25834" hidden="1"/>
    <cellStyle name="계산 4" xfId="25874" hidden="1"/>
    <cellStyle name="계산 4" xfId="25914" hidden="1"/>
    <cellStyle name="계산 4" xfId="25954" hidden="1"/>
    <cellStyle name="계산 4" xfId="25994" hidden="1"/>
    <cellStyle name="계산 4" xfId="26034" hidden="1"/>
    <cellStyle name="계산 4" xfId="26074" hidden="1"/>
    <cellStyle name="계산 4" xfId="26114" hidden="1"/>
    <cellStyle name="계산 4" xfId="26154" hidden="1"/>
    <cellStyle name="계산 4" xfId="25636" hidden="1"/>
    <cellStyle name="계산 4" xfId="25597" hidden="1"/>
    <cellStyle name="계산 4" xfId="26195" hidden="1"/>
    <cellStyle name="계산 4" xfId="26237" hidden="1"/>
    <cellStyle name="계산 4" xfId="26279" hidden="1"/>
    <cellStyle name="계산 4" xfId="26321" hidden="1"/>
    <cellStyle name="계산 4" xfId="26363" hidden="1"/>
    <cellStyle name="계산 4" xfId="26405" hidden="1"/>
    <cellStyle name="계산 4" xfId="26447" hidden="1"/>
    <cellStyle name="계산 4" xfId="26489" hidden="1"/>
    <cellStyle name="계산 4" xfId="26531" hidden="1"/>
    <cellStyle name="계산 4" xfId="26573" hidden="1"/>
    <cellStyle name="계산 4" xfId="25690" hidden="1"/>
    <cellStyle name="계산 4" xfId="25657" hidden="1"/>
    <cellStyle name="계산 4" xfId="26642" hidden="1"/>
    <cellStyle name="계산 4" xfId="26682" hidden="1"/>
    <cellStyle name="계산 4" xfId="26722" hidden="1"/>
    <cellStyle name="계산 4" xfId="26762" hidden="1"/>
    <cellStyle name="계산 4" xfId="26802" hidden="1"/>
    <cellStyle name="계산 4" xfId="26842" hidden="1"/>
    <cellStyle name="계산 4" xfId="26882" hidden="1"/>
    <cellStyle name="계산 4" xfId="26922" hidden="1"/>
    <cellStyle name="계산 4" xfId="26962" hidden="1"/>
    <cellStyle name="계산 4" xfId="27002" hidden="1"/>
    <cellStyle name="계산 4" xfId="27042" hidden="1"/>
    <cellStyle name="계산 4" xfId="24496" hidden="1"/>
    <cellStyle name="계산 4" xfId="27093" hidden="1"/>
    <cellStyle name="계산 4" xfId="27133" hidden="1"/>
    <cellStyle name="계산 4" xfId="27173" hidden="1"/>
    <cellStyle name="계산 4" xfId="27213" hidden="1"/>
    <cellStyle name="계산 4" xfId="27253" hidden="1"/>
    <cellStyle name="계산 4" xfId="27293" hidden="1"/>
    <cellStyle name="계산 4" xfId="27333" hidden="1"/>
    <cellStyle name="계산 4" xfId="27373" hidden="1"/>
    <cellStyle name="계산 4" xfId="27413" hidden="1"/>
    <cellStyle name="계산 4" xfId="27453" hidden="1"/>
    <cellStyle name="계산 4" xfId="27493" hidden="1"/>
    <cellStyle name="계산 4" xfId="27577" hidden="1"/>
    <cellStyle name="계산 4" xfId="27617" hidden="1"/>
    <cellStyle name="계산 4" xfId="27659" hidden="1"/>
    <cellStyle name="계산 4" xfId="27701" hidden="1"/>
    <cellStyle name="계산 4" xfId="27743" hidden="1"/>
    <cellStyle name="계산 4" xfId="27785" hidden="1"/>
    <cellStyle name="계산 4" xfId="27827" hidden="1"/>
    <cellStyle name="계산 4" xfId="27869" hidden="1"/>
    <cellStyle name="계산 4" xfId="27911" hidden="1"/>
    <cellStyle name="계산 4" xfId="27953" hidden="1"/>
    <cellStyle name="계산 4" xfId="27995" hidden="1"/>
    <cellStyle name="계산 4" xfId="28037" hidden="1"/>
    <cellStyle name="계산 4" xfId="27533" hidden="1"/>
    <cellStyle name="계산 4" xfId="28217" hidden="1"/>
    <cellStyle name="계산 4" xfId="28257" hidden="1"/>
    <cellStyle name="계산 4" xfId="28297" hidden="1"/>
    <cellStyle name="계산 4" xfId="28337" hidden="1"/>
    <cellStyle name="계산 4" xfId="28377" hidden="1"/>
    <cellStyle name="계산 4" xfId="28417" hidden="1"/>
    <cellStyle name="계산 4" xfId="28457" hidden="1"/>
    <cellStyle name="계산 4" xfId="28497" hidden="1"/>
    <cellStyle name="계산 4" xfId="28537" hidden="1"/>
    <cellStyle name="계산 4" xfId="28577" hidden="1"/>
    <cellStyle name="계산 4" xfId="28617" hidden="1"/>
    <cellStyle name="계산 4" xfId="28657" hidden="1"/>
    <cellStyle name="계산 4" xfId="28139" hidden="1"/>
    <cellStyle name="계산 4" xfId="28100" hidden="1"/>
    <cellStyle name="계산 4" xfId="28698" hidden="1"/>
    <cellStyle name="계산 4" xfId="28740" hidden="1"/>
    <cellStyle name="계산 4" xfId="28782" hidden="1"/>
    <cellStyle name="계산 4" xfId="28824" hidden="1"/>
    <cellStyle name="계산 4" xfId="28866" hidden="1"/>
    <cellStyle name="계산 4" xfId="28908" hidden="1"/>
    <cellStyle name="계산 4" xfId="28950" hidden="1"/>
    <cellStyle name="계산 4" xfId="28992" hidden="1"/>
    <cellStyle name="계산 4" xfId="29034" hidden="1"/>
    <cellStyle name="계산 4" xfId="29076" hidden="1"/>
    <cellStyle name="계산 4" xfId="28193" hidden="1"/>
    <cellStyle name="계산 4" xfId="28160" hidden="1"/>
    <cellStyle name="계산 4" xfId="29145" hidden="1"/>
    <cellStyle name="계산 4" xfId="29185" hidden="1"/>
    <cellStyle name="계산 4" xfId="29225" hidden="1"/>
    <cellStyle name="계산 4" xfId="29265" hidden="1"/>
    <cellStyle name="계산 4" xfId="29305" hidden="1"/>
    <cellStyle name="계산 4" xfId="29345" hidden="1"/>
    <cellStyle name="계산 4" xfId="29385" hidden="1"/>
    <cellStyle name="계산 4" xfId="29425" hidden="1"/>
    <cellStyle name="계산 4" xfId="29465" hidden="1"/>
    <cellStyle name="계산 4" xfId="29505" hidden="1"/>
    <cellStyle name="계산 4" xfId="29545" hidden="1"/>
    <cellStyle name="계산 4" xfId="24516" hidden="1"/>
    <cellStyle name="계산 4" xfId="29595" hidden="1"/>
    <cellStyle name="계산 4" xfId="29635" hidden="1"/>
    <cellStyle name="계산 4" xfId="29675" hidden="1"/>
    <cellStyle name="계산 4" xfId="29715" hidden="1"/>
    <cellStyle name="계산 4" xfId="29755" hidden="1"/>
    <cellStyle name="계산 4" xfId="29795" hidden="1"/>
    <cellStyle name="계산 4" xfId="29835" hidden="1"/>
    <cellStyle name="계산 4" xfId="29875" hidden="1"/>
    <cellStyle name="계산 4" xfId="29915" hidden="1"/>
    <cellStyle name="계산 4" xfId="29955" hidden="1"/>
    <cellStyle name="계산 4" xfId="29995" hidden="1"/>
    <cellStyle name="계산 4" xfId="30079" hidden="1"/>
    <cellStyle name="계산 4" xfId="30119" hidden="1"/>
    <cellStyle name="계산 4" xfId="30161" hidden="1"/>
    <cellStyle name="계산 4" xfId="30203" hidden="1"/>
    <cellStyle name="계산 4" xfId="30245" hidden="1"/>
    <cellStyle name="계산 4" xfId="30287" hidden="1"/>
    <cellStyle name="계산 4" xfId="30329" hidden="1"/>
    <cellStyle name="계산 4" xfId="30371" hidden="1"/>
    <cellStyle name="계산 4" xfId="30413" hidden="1"/>
    <cellStyle name="계산 4" xfId="30455" hidden="1"/>
    <cellStyle name="계산 4" xfId="30497" hidden="1"/>
    <cellStyle name="계산 4" xfId="30539" hidden="1"/>
    <cellStyle name="계산 4" xfId="30035" hidden="1"/>
    <cellStyle name="계산 4" xfId="30719" hidden="1"/>
    <cellStyle name="계산 4" xfId="30759" hidden="1"/>
    <cellStyle name="계산 4" xfId="30799" hidden="1"/>
    <cellStyle name="계산 4" xfId="30839" hidden="1"/>
    <cellStyle name="계산 4" xfId="30879" hidden="1"/>
    <cellStyle name="계산 4" xfId="30919" hidden="1"/>
    <cellStyle name="계산 4" xfId="30959" hidden="1"/>
    <cellStyle name="계산 4" xfId="30999" hidden="1"/>
    <cellStyle name="계산 4" xfId="31039" hidden="1"/>
    <cellStyle name="계산 4" xfId="31079" hidden="1"/>
    <cellStyle name="계산 4" xfId="31119" hidden="1"/>
    <cellStyle name="계산 4" xfId="31159" hidden="1"/>
    <cellStyle name="계산 4" xfId="30641" hidden="1"/>
    <cellStyle name="계산 4" xfId="30602" hidden="1"/>
    <cellStyle name="계산 4" xfId="31200" hidden="1"/>
    <cellStyle name="계산 4" xfId="31242" hidden="1"/>
    <cellStyle name="계산 4" xfId="31284" hidden="1"/>
    <cellStyle name="계산 4" xfId="31326" hidden="1"/>
    <cellStyle name="계산 4" xfId="31368" hidden="1"/>
    <cellStyle name="계산 4" xfId="31410" hidden="1"/>
    <cellStyle name="계산 4" xfId="31452" hidden="1"/>
    <cellStyle name="계산 4" xfId="31494" hidden="1"/>
    <cellStyle name="계산 4" xfId="31536" hidden="1"/>
    <cellStyle name="계산 4" xfId="31578" hidden="1"/>
    <cellStyle name="계산 4" xfId="30695" hidden="1"/>
    <cellStyle name="계산 4" xfId="30662" hidden="1"/>
    <cellStyle name="계산 4" xfId="31647" hidden="1"/>
    <cellStyle name="계산 4" xfId="31687" hidden="1"/>
    <cellStyle name="계산 4" xfId="31727" hidden="1"/>
    <cellStyle name="계산 4" xfId="31767" hidden="1"/>
    <cellStyle name="계산 4" xfId="31807" hidden="1"/>
    <cellStyle name="계산 4" xfId="31847" hidden="1"/>
    <cellStyle name="계산 4" xfId="31887" hidden="1"/>
    <cellStyle name="계산 4" xfId="31927" hidden="1"/>
    <cellStyle name="계산 4" xfId="31967" hidden="1"/>
    <cellStyle name="계산 4" xfId="32007" hidden="1"/>
    <cellStyle name="계산 4" xfId="32047" hidden="1"/>
    <cellStyle name="계산 4" xfId="32109" hidden="1"/>
    <cellStyle name="계산 4" xfId="32149" hidden="1"/>
    <cellStyle name="계산 4" xfId="32189" hidden="1"/>
    <cellStyle name="계산 4" xfId="32229" hidden="1"/>
    <cellStyle name="계산 4" xfId="32269" hidden="1"/>
    <cellStyle name="계산 4" xfId="32309" hidden="1"/>
    <cellStyle name="계산 4" xfId="32349" hidden="1"/>
    <cellStyle name="계산 4" xfId="32389" hidden="1"/>
    <cellStyle name="계산 4" xfId="32429" hidden="1"/>
    <cellStyle name="계산 4" xfId="32469" hidden="1"/>
    <cellStyle name="계산 4" xfId="32509" hidden="1"/>
    <cellStyle name="계산 4" xfId="32549" hidden="1"/>
    <cellStyle name="계산 4" xfId="32634" hidden="1"/>
    <cellStyle name="계산 4" xfId="32674" hidden="1"/>
    <cellStyle name="계산 4" xfId="32716" hidden="1"/>
    <cellStyle name="계산 4" xfId="32758" hidden="1"/>
    <cellStyle name="계산 4" xfId="32800" hidden="1"/>
    <cellStyle name="계산 4" xfId="32842" hidden="1"/>
    <cellStyle name="계산 4" xfId="32884" hidden="1"/>
    <cellStyle name="계산 4" xfId="32926" hidden="1"/>
    <cellStyle name="계산 4" xfId="32968" hidden="1"/>
    <cellStyle name="계산 4" xfId="33010" hidden="1"/>
    <cellStyle name="계산 4" xfId="33052" hidden="1"/>
    <cellStyle name="계산 4" xfId="33094" hidden="1"/>
    <cellStyle name="계산 4" xfId="32590" hidden="1"/>
    <cellStyle name="계산 4" xfId="33274" hidden="1"/>
    <cellStyle name="계산 4" xfId="33314" hidden="1"/>
    <cellStyle name="계산 4" xfId="33354" hidden="1"/>
    <cellStyle name="계산 4" xfId="33394" hidden="1"/>
    <cellStyle name="계산 4" xfId="33434" hidden="1"/>
    <cellStyle name="계산 4" xfId="33474" hidden="1"/>
    <cellStyle name="계산 4" xfId="33514" hidden="1"/>
    <cellStyle name="계산 4" xfId="33554" hidden="1"/>
    <cellStyle name="계산 4" xfId="33594" hidden="1"/>
    <cellStyle name="계산 4" xfId="33634" hidden="1"/>
    <cellStyle name="계산 4" xfId="33674" hidden="1"/>
    <cellStyle name="계산 4" xfId="33714" hidden="1"/>
    <cellStyle name="계산 4" xfId="33196" hidden="1"/>
    <cellStyle name="계산 4" xfId="33157" hidden="1"/>
    <cellStyle name="계산 4" xfId="33755" hidden="1"/>
    <cellStyle name="계산 4" xfId="33797" hidden="1"/>
    <cellStyle name="계산 4" xfId="33839" hidden="1"/>
    <cellStyle name="계산 4" xfId="33881" hidden="1"/>
    <cellStyle name="계산 4" xfId="33923" hidden="1"/>
    <cellStyle name="계산 4" xfId="33965" hidden="1"/>
    <cellStyle name="계산 4" xfId="34007" hidden="1"/>
    <cellStyle name="계산 4" xfId="34049" hidden="1"/>
    <cellStyle name="계산 4" xfId="34091" hidden="1"/>
    <cellStyle name="계산 4" xfId="34133" hidden="1"/>
    <cellStyle name="계산 4" xfId="33250" hidden="1"/>
    <cellStyle name="계산 4" xfId="33217" hidden="1"/>
    <cellStyle name="계산 4" xfId="34202" hidden="1"/>
    <cellStyle name="계산 4" xfId="34242" hidden="1"/>
    <cellStyle name="계산 4" xfId="34282" hidden="1"/>
    <cellStyle name="계산 4" xfId="34322" hidden="1"/>
    <cellStyle name="계산 4" xfId="34362" hidden="1"/>
    <cellStyle name="계산 4" xfId="34402" hidden="1"/>
    <cellStyle name="계산 4" xfId="34442" hidden="1"/>
    <cellStyle name="계산 4" xfId="34482" hidden="1"/>
    <cellStyle name="계산 4" xfId="34522" hidden="1"/>
    <cellStyle name="계산 4" xfId="34562" hidden="1"/>
    <cellStyle name="계산 4" xfId="34602" hidden="1"/>
    <cellStyle name="계산 4" xfId="34699" hidden="1"/>
    <cellStyle name="계산 4" xfId="34739" hidden="1"/>
    <cellStyle name="계산 4" xfId="34779" hidden="1"/>
    <cellStyle name="계산 4" xfId="34819" hidden="1"/>
    <cellStyle name="계산 4" xfId="34859" hidden="1"/>
    <cellStyle name="계산 4" xfId="34899" hidden="1"/>
    <cellStyle name="계산 4" xfId="34939" hidden="1"/>
    <cellStyle name="계산 4" xfId="34979" hidden="1"/>
    <cellStyle name="계산 4" xfId="35019" hidden="1"/>
    <cellStyle name="계산 4" xfId="35059" hidden="1"/>
    <cellStyle name="계산 4" xfId="35099" hidden="1"/>
    <cellStyle name="계산 4" xfId="35139" hidden="1"/>
    <cellStyle name="계산 4" xfId="35223" hidden="1"/>
    <cellStyle name="계산 4" xfId="35263" hidden="1"/>
    <cellStyle name="계산 4" xfId="35305" hidden="1"/>
    <cellStyle name="계산 4" xfId="35347" hidden="1"/>
    <cellStyle name="계산 4" xfId="35389" hidden="1"/>
    <cellStyle name="계산 4" xfId="35431" hidden="1"/>
    <cellStyle name="계산 4" xfId="35473" hidden="1"/>
    <cellStyle name="계산 4" xfId="35515" hidden="1"/>
    <cellStyle name="계산 4" xfId="35557" hidden="1"/>
    <cellStyle name="계산 4" xfId="35599" hidden="1"/>
    <cellStyle name="계산 4" xfId="35641" hidden="1"/>
    <cellStyle name="계산 4" xfId="35683" hidden="1"/>
    <cellStyle name="계산 4" xfId="35179" hidden="1"/>
    <cellStyle name="계산 4" xfId="35863" hidden="1"/>
    <cellStyle name="계산 4" xfId="35903" hidden="1"/>
    <cellStyle name="계산 4" xfId="35943" hidden="1"/>
    <cellStyle name="계산 4" xfId="35983" hidden="1"/>
    <cellStyle name="계산 4" xfId="36023" hidden="1"/>
    <cellStyle name="계산 4" xfId="36063" hidden="1"/>
    <cellStyle name="계산 4" xfId="36103" hidden="1"/>
    <cellStyle name="계산 4" xfId="36143" hidden="1"/>
    <cellStyle name="계산 4" xfId="36183" hidden="1"/>
    <cellStyle name="계산 4" xfId="36223" hidden="1"/>
    <cellStyle name="계산 4" xfId="36263" hidden="1"/>
    <cellStyle name="계산 4" xfId="36303" hidden="1"/>
    <cellStyle name="계산 4" xfId="35785" hidden="1"/>
    <cellStyle name="계산 4" xfId="35746" hidden="1"/>
    <cellStyle name="계산 4" xfId="36344" hidden="1"/>
    <cellStyle name="계산 4" xfId="36386" hidden="1"/>
    <cellStyle name="계산 4" xfId="36428" hidden="1"/>
    <cellStyle name="계산 4" xfId="36470" hidden="1"/>
    <cellStyle name="계산 4" xfId="36512" hidden="1"/>
    <cellStyle name="계산 4" xfId="36554" hidden="1"/>
    <cellStyle name="계산 4" xfId="36596" hidden="1"/>
    <cellStyle name="계산 4" xfId="36638" hidden="1"/>
    <cellStyle name="계산 4" xfId="36680" hidden="1"/>
    <cellStyle name="계산 4" xfId="36722" hidden="1"/>
    <cellStyle name="계산 4" xfId="35839" hidden="1"/>
    <cellStyle name="계산 4" xfId="35806" hidden="1"/>
    <cellStyle name="계산 4" xfId="36791" hidden="1"/>
    <cellStyle name="계산 4" xfId="36831" hidden="1"/>
    <cellStyle name="계산 4" xfId="36871" hidden="1"/>
    <cellStyle name="계산 4" xfId="36911" hidden="1"/>
    <cellStyle name="계산 4" xfId="36951" hidden="1"/>
    <cellStyle name="계산 4" xfId="36991" hidden="1"/>
    <cellStyle name="계산 4" xfId="37031" hidden="1"/>
    <cellStyle name="계산 4" xfId="37071" hidden="1"/>
    <cellStyle name="계산 4" xfId="37111" hidden="1"/>
    <cellStyle name="계산 4" xfId="37151" hidden="1"/>
    <cellStyle name="계산 4" xfId="37191" hidden="1"/>
    <cellStyle name="계산 4" xfId="34648" hidden="1"/>
    <cellStyle name="계산 4" xfId="37242" hidden="1"/>
    <cellStyle name="계산 4" xfId="37283" hidden="1"/>
    <cellStyle name="계산 4" xfId="37323" hidden="1"/>
    <cellStyle name="계산 4" xfId="37363" hidden="1"/>
    <cellStyle name="계산 4" xfId="37403" hidden="1"/>
    <cellStyle name="계산 4" xfId="37443" hidden="1"/>
    <cellStyle name="계산 4" xfId="37483" hidden="1"/>
    <cellStyle name="계산 4" xfId="37523" hidden="1"/>
    <cellStyle name="계산 4" xfId="37563" hidden="1"/>
    <cellStyle name="계산 4" xfId="37603" hidden="1"/>
    <cellStyle name="계산 4" xfId="37643" hidden="1"/>
    <cellStyle name="계산 4" xfId="37727" hidden="1"/>
    <cellStyle name="계산 4" xfId="37767" hidden="1"/>
    <cellStyle name="계산 4" xfId="37809" hidden="1"/>
    <cellStyle name="계산 4" xfId="37851" hidden="1"/>
    <cellStyle name="계산 4" xfId="37893" hidden="1"/>
    <cellStyle name="계산 4" xfId="37935" hidden="1"/>
    <cellStyle name="계산 4" xfId="37977" hidden="1"/>
    <cellStyle name="계산 4" xfId="38019" hidden="1"/>
    <cellStyle name="계산 4" xfId="38061" hidden="1"/>
    <cellStyle name="계산 4" xfId="38103" hidden="1"/>
    <cellStyle name="계산 4" xfId="38145" hidden="1"/>
    <cellStyle name="계산 4" xfId="38187" hidden="1"/>
    <cellStyle name="계산 4" xfId="37683" hidden="1"/>
    <cellStyle name="계산 4" xfId="38367" hidden="1"/>
    <cellStyle name="계산 4" xfId="38407" hidden="1"/>
    <cellStyle name="계산 4" xfId="38447" hidden="1"/>
    <cellStyle name="계산 4" xfId="38487" hidden="1"/>
    <cellStyle name="계산 4" xfId="38527" hidden="1"/>
    <cellStyle name="계산 4" xfId="38567" hidden="1"/>
    <cellStyle name="계산 4" xfId="38607" hidden="1"/>
    <cellStyle name="계산 4" xfId="38647" hidden="1"/>
    <cellStyle name="계산 4" xfId="38687" hidden="1"/>
    <cellStyle name="계산 4" xfId="38727" hidden="1"/>
    <cellStyle name="계산 4" xfId="38767" hidden="1"/>
    <cellStyle name="계산 4" xfId="38807" hidden="1"/>
    <cellStyle name="계산 4" xfId="38289" hidden="1"/>
    <cellStyle name="계산 4" xfId="38250" hidden="1"/>
    <cellStyle name="계산 4" xfId="38848" hidden="1"/>
    <cellStyle name="계산 4" xfId="38890" hidden="1"/>
    <cellStyle name="계산 4" xfId="38932" hidden="1"/>
    <cellStyle name="계산 4" xfId="38974" hidden="1"/>
    <cellStyle name="계산 4" xfId="39016" hidden="1"/>
    <cellStyle name="계산 4" xfId="39058" hidden="1"/>
    <cellStyle name="계산 4" xfId="39100" hidden="1"/>
    <cellStyle name="계산 4" xfId="39142" hidden="1"/>
    <cellStyle name="계산 4" xfId="39184" hidden="1"/>
    <cellStyle name="계산 4" xfId="39226" hidden="1"/>
    <cellStyle name="계산 4" xfId="38343" hidden="1"/>
    <cellStyle name="계산 4" xfId="38310" hidden="1"/>
    <cellStyle name="계산 4" xfId="39295" hidden="1"/>
    <cellStyle name="계산 4" xfId="39335" hidden="1"/>
    <cellStyle name="계산 4" xfId="39375" hidden="1"/>
    <cellStyle name="계산 4" xfId="39415" hidden="1"/>
    <cellStyle name="계산 4" xfId="39455" hidden="1"/>
    <cellStyle name="계산 4" xfId="39495" hidden="1"/>
    <cellStyle name="계산 4" xfId="39535" hidden="1"/>
    <cellStyle name="계산 4" xfId="39575" hidden="1"/>
    <cellStyle name="계산 4" xfId="39615" hidden="1"/>
    <cellStyle name="계산 4" xfId="39655" hidden="1"/>
    <cellStyle name="계산 4" xfId="39695" hidden="1"/>
    <cellStyle name="계산 4" xfId="34668" hidden="1"/>
    <cellStyle name="계산 4" xfId="39745" hidden="1"/>
    <cellStyle name="계산 4" xfId="39785" hidden="1"/>
    <cellStyle name="계산 4" xfId="39825" hidden="1"/>
    <cellStyle name="계산 4" xfId="39865" hidden="1"/>
    <cellStyle name="계산 4" xfId="39905" hidden="1"/>
    <cellStyle name="계산 4" xfId="39945" hidden="1"/>
    <cellStyle name="계산 4" xfId="39985" hidden="1"/>
    <cellStyle name="계산 4" xfId="40025" hidden="1"/>
    <cellStyle name="계산 4" xfId="40065" hidden="1"/>
    <cellStyle name="계산 4" xfId="40105" hidden="1"/>
    <cellStyle name="계산 4" xfId="40145" hidden="1"/>
    <cellStyle name="계산 4" xfId="40229" hidden="1"/>
    <cellStyle name="계산 4" xfId="40269" hidden="1"/>
    <cellStyle name="계산 4" xfId="40311" hidden="1"/>
    <cellStyle name="계산 4" xfId="40353" hidden="1"/>
    <cellStyle name="계산 4" xfId="40395" hidden="1"/>
    <cellStyle name="계산 4" xfId="40437" hidden="1"/>
    <cellStyle name="계산 4" xfId="40479" hidden="1"/>
    <cellStyle name="계산 4" xfId="40521" hidden="1"/>
    <cellStyle name="계산 4" xfId="40563" hidden="1"/>
    <cellStyle name="계산 4" xfId="40605" hidden="1"/>
    <cellStyle name="계산 4" xfId="40647" hidden="1"/>
    <cellStyle name="계산 4" xfId="40689" hidden="1"/>
    <cellStyle name="계산 4" xfId="40185" hidden="1"/>
    <cellStyle name="계산 4" xfId="40869" hidden="1"/>
    <cellStyle name="계산 4" xfId="40909" hidden="1"/>
    <cellStyle name="계산 4" xfId="40949" hidden="1"/>
    <cellStyle name="계산 4" xfId="40989" hidden="1"/>
    <cellStyle name="계산 4" xfId="41029" hidden="1"/>
    <cellStyle name="계산 4" xfId="41069" hidden="1"/>
    <cellStyle name="계산 4" xfId="41109" hidden="1"/>
    <cellStyle name="계산 4" xfId="41149" hidden="1"/>
    <cellStyle name="계산 4" xfId="41189" hidden="1"/>
    <cellStyle name="계산 4" xfId="41229" hidden="1"/>
    <cellStyle name="계산 4" xfId="41269" hidden="1"/>
    <cellStyle name="계산 4" xfId="41309" hidden="1"/>
    <cellStyle name="계산 4" xfId="40791" hidden="1"/>
    <cellStyle name="계산 4" xfId="40752" hidden="1"/>
    <cellStyle name="계산 4" xfId="41350" hidden="1"/>
    <cellStyle name="계산 4" xfId="41392" hidden="1"/>
    <cellStyle name="계산 4" xfId="41434" hidden="1"/>
    <cellStyle name="계산 4" xfId="41476" hidden="1"/>
    <cellStyle name="계산 4" xfId="41518" hidden="1"/>
    <cellStyle name="계산 4" xfId="41560" hidden="1"/>
    <cellStyle name="계산 4" xfId="41602" hidden="1"/>
    <cellStyle name="계산 4" xfId="41644" hidden="1"/>
    <cellStyle name="계산 4" xfId="41686" hidden="1"/>
    <cellStyle name="계산 4" xfId="41728" hidden="1"/>
    <cellStyle name="계산 4" xfId="40845" hidden="1"/>
    <cellStyle name="계산 4" xfId="40812" hidden="1"/>
    <cellStyle name="계산 4" xfId="41797" hidden="1"/>
    <cellStyle name="계산 4" xfId="41837" hidden="1"/>
    <cellStyle name="계산 4" xfId="41877" hidden="1"/>
    <cellStyle name="계산 4" xfId="41917" hidden="1"/>
    <cellStyle name="계산 4" xfId="41957" hidden="1"/>
    <cellStyle name="계산 4" xfId="41997" hidden="1"/>
    <cellStyle name="계산 4" xfId="42037" hidden="1"/>
    <cellStyle name="계산 4" xfId="42077" hidden="1"/>
    <cellStyle name="계산 4" xfId="42117" hidden="1"/>
    <cellStyle name="계산 4" xfId="42157" hidden="1"/>
    <cellStyle name="계산 4" xfId="42197" hidden="1"/>
    <cellStyle name="계산 4" xfId="42240" hidden="1"/>
    <cellStyle name="계산 4" xfId="42280" hidden="1"/>
    <cellStyle name="계산 4" xfId="42320" hidden="1"/>
    <cellStyle name="계산 4" xfId="42360" hidden="1"/>
    <cellStyle name="계산 4" xfId="42400" hidden="1"/>
    <cellStyle name="계산 4" xfId="42440" hidden="1"/>
    <cellStyle name="계산 4" xfId="42480" hidden="1"/>
    <cellStyle name="계산 4" xfId="42520" hidden="1"/>
    <cellStyle name="계산 4" xfId="42560" hidden="1"/>
    <cellStyle name="계산 4" xfId="42600" hidden="1"/>
    <cellStyle name="계산 4" xfId="42640" hidden="1"/>
    <cellStyle name="계산 4" xfId="42680" hidden="1"/>
    <cellStyle name="계산 4" xfId="42764" hidden="1"/>
    <cellStyle name="계산 4" xfId="42804" hidden="1"/>
    <cellStyle name="계산 4" xfId="42846" hidden="1"/>
    <cellStyle name="계산 4" xfId="42888" hidden="1"/>
    <cellStyle name="계산 4" xfId="42930" hidden="1"/>
    <cellStyle name="계산 4" xfId="42972" hidden="1"/>
    <cellStyle name="계산 4" xfId="43014" hidden="1"/>
    <cellStyle name="계산 4" xfId="43056" hidden="1"/>
    <cellStyle name="계산 4" xfId="43098" hidden="1"/>
    <cellStyle name="계산 4" xfId="43140" hidden="1"/>
    <cellStyle name="계산 4" xfId="43182" hidden="1"/>
    <cellStyle name="계산 4" xfId="43224" hidden="1"/>
    <cellStyle name="계산 4" xfId="42720" hidden="1"/>
    <cellStyle name="계산 4" xfId="43404" hidden="1"/>
    <cellStyle name="계산 4" xfId="43444" hidden="1"/>
    <cellStyle name="계산 4" xfId="43484" hidden="1"/>
    <cellStyle name="계산 4" xfId="43524" hidden="1"/>
    <cellStyle name="계산 4" xfId="43564" hidden="1"/>
    <cellStyle name="계산 4" xfId="43604" hidden="1"/>
    <cellStyle name="계산 4" xfId="43644" hidden="1"/>
    <cellStyle name="계산 4" xfId="43684" hidden="1"/>
    <cellStyle name="계산 4" xfId="43724" hidden="1"/>
    <cellStyle name="계산 4" xfId="43764" hidden="1"/>
    <cellStyle name="계산 4" xfId="43804" hidden="1"/>
    <cellStyle name="계산 4" xfId="43844" hidden="1"/>
    <cellStyle name="계산 4" xfId="43326" hidden="1"/>
    <cellStyle name="계산 4" xfId="43287" hidden="1"/>
    <cellStyle name="계산 4" xfId="43885" hidden="1"/>
    <cellStyle name="계산 4" xfId="43927" hidden="1"/>
    <cellStyle name="계산 4" xfId="43969" hidden="1"/>
    <cellStyle name="계산 4" xfId="44011" hidden="1"/>
    <cellStyle name="계산 4" xfId="44053" hidden="1"/>
    <cellStyle name="계산 4" xfId="44095" hidden="1"/>
    <cellStyle name="계산 4" xfId="44137" hidden="1"/>
    <cellStyle name="계산 4" xfId="44179" hidden="1"/>
    <cellStyle name="계산 4" xfId="44221" hidden="1"/>
    <cellStyle name="계산 4" xfId="44263" hidden="1"/>
    <cellStyle name="계산 4" xfId="43380" hidden="1"/>
    <cellStyle name="계산 4" xfId="43347" hidden="1"/>
    <cellStyle name="계산 4" xfId="44332" hidden="1"/>
    <cellStyle name="계산 4" xfId="44372" hidden="1"/>
    <cellStyle name="계산 4" xfId="44412" hidden="1"/>
    <cellStyle name="계산 4" xfId="44452" hidden="1"/>
    <cellStyle name="계산 4" xfId="44492" hidden="1"/>
    <cellStyle name="계산 4" xfId="44532" hidden="1"/>
    <cellStyle name="계산 4" xfId="44572" hidden="1"/>
    <cellStyle name="계산 4" xfId="44612" hidden="1"/>
    <cellStyle name="계산 4" xfId="44652" hidden="1"/>
    <cellStyle name="계산 4" xfId="44692" hidden="1"/>
    <cellStyle name="계산 4" xfId="44732" hidden="1"/>
    <cellStyle name="계산 4" xfId="44828" hidden="1"/>
    <cellStyle name="계산 4" xfId="44868" hidden="1"/>
    <cellStyle name="계산 4" xfId="44909" hidden="1"/>
    <cellStyle name="계산 4" xfId="44951" hidden="1"/>
    <cellStyle name="계산 4" xfId="44991" hidden="1"/>
    <cellStyle name="계산 4" xfId="45031" hidden="1"/>
    <cellStyle name="계산 4" xfId="45071" hidden="1"/>
    <cellStyle name="계산 4" xfId="45111" hidden="1"/>
    <cellStyle name="계산 4" xfId="45151" hidden="1"/>
    <cellStyle name="계산 4" xfId="45191" hidden="1"/>
    <cellStyle name="계산 4" xfId="45231" hidden="1"/>
    <cellStyle name="계산 4" xfId="45271" hidden="1"/>
    <cellStyle name="계산 4" xfId="45355" hidden="1"/>
    <cellStyle name="계산 4" xfId="45395" hidden="1"/>
    <cellStyle name="계산 4" xfId="45437" hidden="1"/>
    <cellStyle name="계산 4" xfId="45479" hidden="1"/>
    <cellStyle name="계산 4" xfId="45521" hidden="1"/>
    <cellStyle name="계산 4" xfId="45563" hidden="1"/>
    <cellStyle name="계산 4" xfId="45605" hidden="1"/>
    <cellStyle name="계산 4" xfId="45647" hidden="1"/>
    <cellStyle name="계산 4" xfId="45689" hidden="1"/>
    <cellStyle name="계산 4" xfId="45731" hidden="1"/>
    <cellStyle name="계산 4" xfId="45773" hidden="1"/>
    <cellStyle name="계산 4" xfId="45815" hidden="1"/>
    <cellStyle name="계산 4" xfId="45311" hidden="1"/>
    <cellStyle name="계산 4" xfId="45995" hidden="1"/>
    <cellStyle name="계산 4" xfId="46035" hidden="1"/>
    <cellStyle name="계산 4" xfId="46075" hidden="1"/>
    <cellStyle name="계산 4" xfId="46115" hidden="1"/>
    <cellStyle name="계산 4" xfId="46155" hidden="1"/>
    <cellStyle name="계산 4" xfId="46195" hidden="1"/>
    <cellStyle name="계산 4" xfId="46235" hidden="1"/>
    <cellStyle name="계산 4" xfId="46275" hidden="1"/>
    <cellStyle name="계산 4" xfId="46315" hidden="1"/>
    <cellStyle name="계산 4" xfId="46355" hidden="1"/>
    <cellStyle name="계산 4" xfId="46395" hidden="1"/>
    <cellStyle name="계산 4" xfId="46435" hidden="1"/>
    <cellStyle name="계산 4" xfId="45917" hidden="1"/>
    <cellStyle name="계산 4" xfId="45878" hidden="1"/>
    <cellStyle name="계산 4" xfId="46476" hidden="1"/>
    <cellStyle name="계산 4" xfId="46518" hidden="1"/>
    <cellStyle name="계산 4" xfId="46560" hidden="1"/>
    <cellStyle name="계산 4" xfId="46602" hidden="1"/>
    <cellStyle name="계산 4" xfId="46644" hidden="1"/>
    <cellStyle name="계산 4" xfId="46686" hidden="1"/>
    <cellStyle name="계산 4" xfId="46728" hidden="1"/>
    <cellStyle name="계산 4" xfId="46770" hidden="1"/>
    <cellStyle name="계산 4" xfId="46812" hidden="1"/>
    <cellStyle name="계산 4" xfId="46854" hidden="1"/>
    <cellStyle name="계산 4" xfId="45971" hidden="1"/>
    <cellStyle name="계산 4" xfId="45938" hidden="1"/>
    <cellStyle name="계산 4" xfId="46923" hidden="1"/>
    <cellStyle name="계산 4" xfId="46963" hidden="1"/>
    <cellStyle name="계산 4" xfId="47003" hidden="1"/>
    <cellStyle name="계산 4" xfId="47043" hidden="1"/>
    <cellStyle name="계산 4" xfId="47083" hidden="1"/>
    <cellStyle name="계산 4" xfId="47123" hidden="1"/>
    <cellStyle name="계산 4" xfId="47163" hidden="1"/>
    <cellStyle name="계산 4" xfId="47203" hidden="1"/>
    <cellStyle name="계산 4" xfId="47243" hidden="1"/>
    <cellStyle name="계산 4" xfId="47283" hidden="1"/>
    <cellStyle name="계산 4" xfId="47323" hidden="1"/>
    <cellStyle name="계산 4" xfId="44778" hidden="1"/>
    <cellStyle name="계산 4" xfId="47374" hidden="1"/>
    <cellStyle name="계산 4" xfId="47414" hidden="1"/>
    <cellStyle name="계산 4" xfId="47454" hidden="1"/>
    <cellStyle name="계산 4" xfId="47494" hidden="1"/>
    <cellStyle name="계산 4" xfId="47534" hidden="1"/>
    <cellStyle name="계산 4" xfId="47574" hidden="1"/>
    <cellStyle name="계산 4" xfId="47614" hidden="1"/>
    <cellStyle name="계산 4" xfId="47654" hidden="1"/>
    <cellStyle name="계산 4" xfId="47694" hidden="1"/>
    <cellStyle name="계산 4" xfId="47734" hidden="1"/>
    <cellStyle name="계산 4" xfId="47774" hidden="1"/>
    <cellStyle name="계산 4" xfId="47858" hidden="1"/>
    <cellStyle name="계산 4" xfId="47898" hidden="1"/>
    <cellStyle name="계산 4" xfId="47940" hidden="1"/>
    <cellStyle name="계산 4" xfId="47982" hidden="1"/>
    <cellStyle name="계산 4" xfId="48024" hidden="1"/>
    <cellStyle name="계산 4" xfId="48066" hidden="1"/>
    <cellStyle name="계산 4" xfId="48108" hidden="1"/>
    <cellStyle name="계산 4" xfId="48150" hidden="1"/>
    <cellStyle name="계산 4" xfId="48192" hidden="1"/>
    <cellStyle name="계산 4" xfId="48234" hidden="1"/>
    <cellStyle name="계산 4" xfId="48276" hidden="1"/>
    <cellStyle name="계산 4" xfId="48318" hidden="1"/>
    <cellStyle name="계산 4" xfId="47814" hidden="1"/>
    <cellStyle name="계산 4" xfId="48498" hidden="1"/>
    <cellStyle name="계산 4" xfId="48538" hidden="1"/>
    <cellStyle name="계산 4" xfId="48578" hidden="1"/>
    <cellStyle name="계산 4" xfId="48618" hidden="1"/>
    <cellStyle name="계산 4" xfId="48658" hidden="1"/>
    <cellStyle name="계산 4" xfId="48698" hidden="1"/>
    <cellStyle name="계산 4" xfId="48738" hidden="1"/>
    <cellStyle name="계산 4" xfId="48778" hidden="1"/>
    <cellStyle name="계산 4" xfId="48818" hidden="1"/>
    <cellStyle name="계산 4" xfId="48858" hidden="1"/>
    <cellStyle name="계산 4" xfId="48898" hidden="1"/>
    <cellStyle name="계산 4" xfId="48938" hidden="1"/>
    <cellStyle name="계산 4" xfId="48420" hidden="1"/>
    <cellStyle name="계산 4" xfId="48381" hidden="1"/>
    <cellStyle name="계산 4" xfId="48979" hidden="1"/>
    <cellStyle name="계산 4" xfId="49021" hidden="1"/>
    <cellStyle name="계산 4" xfId="49063" hidden="1"/>
    <cellStyle name="계산 4" xfId="49105" hidden="1"/>
    <cellStyle name="계산 4" xfId="49147" hidden="1"/>
    <cellStyle name="계산 4" xfId="49189" hidden="1"/>
    <cellStyle name="계산 4" xfId="49231" hidden="1"/>
    <cellStyle name="계산 4" xfId="49273" hidden="1"/>
    <cellStyle name="계산 4" xfId="49315" hidden="1"/>
    <cellStyle name="계산 4" xfId="49357" hidden="1"/>
    <cellStyle name="계산 4" xfId="48474" hidden="1"/>
    <cellStyle name="계산 4" xfId="48441" hidden="1"/>
    <cellStyle name="계산 4" xfId="49426" hidden="1"/>
    <cellStyle name="계산 4" xfId="49466" hidden="1"/>
    <cellStyle name="계산 4" xfId="49506" hidden="1"/>
    <cellStyle name="계산 4" xfId="49546" hidden="1"/>
    <cellStyle name="계산 4" xfId="49586" hidden="1"/>
    <cellStyle name="계산 4" xfId="49626" hidden="1"/>
    <cellStyle name="계산 4" xfId="49666" hidden="1"/>
    <cellStyle name="계산 4" xfId="49706" hidden="1"/>
    <cellStyle name="계산 4" xfId="49746" hidden="1"/>
    <cellStyle name="계산 4" xfId="49786" hidden="1"/>
    <cellStyle name="계산 4" xfId="49826" hidden="1"/>
    <cellStyle name="계산 4" xfId="44797" hidden="1"/>
    <cellStyle name="계산 4" xfId="49876" hidden="1"/>
    <cellStyle name="계산 4" xfId="49916" hidden="1"/>
    <cellStyle name="계산 4" xfId="49956" hidden="1"/>
    <cellStyle name="계산 4" xfId="49996" hidden="1"/>
    <cellStyle name="계산 4" xfId="50036" hidden="1"/>
    <cellStyle name="계산 4" xfId="50076" hidden="1"/>
    <cellStyle name="계산 4" xfId="50116" hidden="1"/>
    <cellStyle name="계산 4" xfId="50156" hidden="1"/>
    <cellStyle name="계산 4" xfId="50196" hidden="1"/>
    <cellStyle name="계산 4" xfId="50236" hidden="1"/>
    <cellStyle name="계산 4" xfId="50276" hidden="1"/>
    <cellStyle name="계산 4" xfId="50360" hidden="1"/>
    <cellStyle name="계산 4" xfId="50400" hidden="1"/>
    <cellStyle name="계산 4" xfId="50442" hidden="1"/>
    <cellStyle name="계산 4" xfId="50484" hidden="1"/>
    <cellStyle name="계산 4" xfId="50526" hidden="1"/>
    <cellStyle name="계산 4" xfId="50568" hidden="1"/>
    <cellStyle name="계산 4" xfId="50610" hidden="1"/>
    <cellStyle name="계산 4" xfId="50652" hidden="1"/>
    <cellStyle name="계산 4" xfId="50694" hidden="1"/>
    <cellStyle name="계산 4" xfId="50736" hidden="1"/>
    <cellStyle name="계산 4" xfId="50778" hidden="1"/>
    <cellStyle name="계산 4" xfId="50820" hidden="1"/>
    <cellStyle name="계산 4" xfId="50316" hidden="1"/>
    <cellStyle name="계산 4" xfId="51000" hidden="1"/>
    <cellStyle name="계산 4" xfId="51040" hidden="1"/>
    <cellStyle name="계산 4" xfId="51080" hidden="1"/>
    <cellStyle name="계산 4" xfId="51120" hidden="1"/>
    <cellStyle name="계산 4" xfId="51160" hidden="1"/>
    <cellStyle name="계산 4" xfId="51200" hidden="1"/>
    <cellStyle name="계산 4" xfId="51240" hidden="1"/>
    <cellStyle name="계산 4" xfId="51280" hidden="1"/>
    <cellStyle name="계산 4" xfId="51320" hidden="1"/>
    <cellStyle name="계산 4" xfId="51360" hidden="1"/>
    <cellStyle name="계산 4" xfId="51400" hidden="1"/>
    <cellStyle name="계산 4" xfId="51440" hidden="1"/>
    <cellStyle name="계산 4" xfId="50922" hidden="1"/>
    <cellStyle name="계산 4" xfId="50883" hidden="1"/>
    <cellStyle name="계산 4" xfId="51481" hidden="1"/>
    <cellStyle name="계산 4" xfId="51523" hidden="1"/>
    <cellStyle name="계산 4" xfId="51565" hidden="1"/>
    <cellStyle name="계산 4" xfId="51607" hidden="1"/>
    <cellStyle name="계산 4" xfId="51649" hidden="1"/>
    <cellStyle name="계산 4" xfId="51691" hidden="1"/>
    <cellStyle name="계산 4" xfId="51733" hidden="1"/>
    <cellStyle name="계산 4" xfId="51775" hidden="1"/>
    <cellStyle name="계산 4" xfId="51817" hidden="1"/>
    <cellStyle name="계산 4" xfId="51859" hidden="1"/>
    <cellStyle name="계산 4" xfId="50976" hidden="1"/>
    <cellStyle name="계산 4" xfId="50943" hidden="1"/>
    <cellStyle name="계산 4" xfId="51928" hidden="1"/>
    <cellStyle name="계산 4" xfId="51968" hidden="1"/>
    <cellStyle name="계산 4" xfId="52008" hidden="1"/>
    <cellStyle name="계산 4" xfId="52048" hidden="1"/>
    <cellStyle name="계산 4" xfId="52088" hidden="1"/>
    <cellStyle name="계산 4" xfId="52128" hidden="1"/>
    <cellStyle name="계산 4" xfId="52168" hidden="1"/>
    <cellStyle name="계산 4" xfId="52208" hidden="1"/>
    <cellStyle name="계산 4" xfId="52248" hidden="1"/>
    <cellStyle name="계산 4" xfId="52288" hidden="1"/>
    <cellStyle name="계산 4" xfId="52328" hidden="1"/>
    <cellStyle name="계산 4 2" xfId="5534"/>
    <cellStyle name="계산 4 3" xfId="5535"/>
    <cellStyle name="계산 4 4" xfId="5536"/>
    <cellStyle name="계산 4 5" xfId="5537"/>
    <cellStyle name="계산 40" xfId="5538"/>
    <cellStyle name="계산 41" xfId="5539"/>
    <cellStyle name="계산 42" xfId="5540"/>
    <cellStyle name="계산 43" xfId="5541"/>
    <cellStyle name="계산 44" xfId="5542"/>
    <cellStyle name="계산 45" xfId="5543"/>
    <cellStyle name="계산 46" xfId="5544"/>
    <cellStyle name="계산 47" xfId="5545"/>
    <cellStyle name="계산 48" xfId="5546"/>
    <cellStyle name="계산 49" xfId="5547"/>
    <cellStyle name="계산 5" xfId="5548"/>
    <cellStyle name="계산 50" xfId="5549"/>
    <cellStyle name="계산 51" xfId="5550"/>
    <cellStyle name="계산 52" xfId="5551"/>
    <cellStyle name="계산 6" xfId="5552"/>
    <cellStyle name="계산 7" xfId="5553"/>
    <cellStyle name="계산 8" xfId="5554"/>
    <cellStyle name="계산 9" xfId="5555"/>
    <cellStyle name="나쁨 10" xfId="5556"/>
    <cellStyle name="나쁨 11" xfId="5557"/>
    <cellStyle name="나쁨 12" xfId="5558"/>
    <cellStyle name="나쁨 13" xfId="5559"/>
    <cellStyle name="나쁨 14" xfId="5560"/>
    <cellStyle name="나쁨 15" xfId="5561"/>
    <cellStyle name="나쁨 16" xfId="5562"/>
    <cellStyle name="나쁨 17" xfId="5563"/>
    <cellStyle name="나쁨 18" xfId="5564"/>
    <cellStyle name="나쁨 19" xfId="5565"/>
    <cellStyle name="나쁨 2" xfId="362"/>
    <cellStyle name="나쁨 2 10" xfId="5566"/>
    <cellStyle name="나쁨 2 100" xfId="5567"/>
    <cellStyle name="나쁨 2 101" xfId="5568"/>
    <cellStyle name="나쁨 2 102" xfId="5569"/>
    <cellStyle name="나쁨 2 103" xfId="5570"/>
    <cellStyle name="나쁨 2 104" xfId="5571"/>
    <cellStyle name="나쁨 2 105" xfId="5572"/>
    <cellStyle name="나쁨 2 106" xfId="5573"/>
    <cellStyle name="나쁨 2 107" xfId="5574"/>
    <cellStyle name="나쁨 2 108" xfId="5575"/>
    <cellStyle name="나쁨 2 109" xfId="5576"/>
    <cellStyle name="나쁨 2 11" xfId="5577"/>
    <cellStyle name="나쁨 2 110" xfId="5578"/>
    <cellStyle name="나쁨 2 111" xfId="5579"/>
    <cellStyle name="나쁨 2 112" xfId="5580"/>
    <cellStyle name="나쁨 2 12" xfId="5581"/>
    <cellStyle name="나쁨 2 13" xfId="5582"/>
    <cellStyle name="나쁨 2 14" xfId="5583"/>
    <cellStyle name="나쁨 2 15" xfId="5584"/>
    <cellStyle name="나쁨 2 16" xfId="5585"/>
    <cellStyle name="나쁨 2 17" xfId="5586"/>
    <cellStyle name="나쁨 2 18" xfId="5587"/>
    <cellStyle name="나쁨 2 19" xfId="5588"/>
    <cellStyle name="나쁨 2 2" xfId="5589"/>
    <cellStyle name="나쁨 2 2 2" xfId="5590"/>
    <cellStyle name="나쁨 2 2 3" xfId="5591"/>
    <cellStyle name="나쁨 2 2 4" xfId="5592"/>
    <cellStyle name="나쁨 2 2 5" xfId="5593"/>
    <cellStyle name="나쁨 2 20" xfId="5594"/>
    <cellStyle name="나쁨 2 21" xfId="5595"/>
    <cellStyle name="나쁨 2 22" xfId="5596"/>
    <cellStyle name="나쁨 2 23" xfId="5597"/>
    <cellStyle name="나쁨 2 24" xfId="5598"/>
    <cellStyle name="나쁨 2 25" xfId="5599"/>
    <cellStyle name="나쁨 2 26" xfId="5600"/>
    <cellStyle name="나쁨 2 27" xfId="5601"/>
    <cellStyle name="나쁨 2 28" xfId="5602"/>
    <cellStyle name="나쁨 2 29" xfId="5603"/>
    <cellStyle name="나쁨 2 3" xfId="5604"/>
    <cellStyle name="나쁨 2 30" xfId="5605"/>
    <cellStyle name="나쁨 2 31" xfId="5606"/>
    <cellStyle name="나쁨 2 32" xfId="5607"/>
    <cellStyle name="나쁨 2 33" xfId="5608"/>
    <cellStyle name="나쁨 2 34" xfId="5609"/>
    <cellStyle name="나쁨 2 35" xfId="5610"/>
    <cellStyle name="나쁨 2 36" xfId="5611"/>
    <cellStyle name="나쁨 2 37" xfId="5612"/>
    <cellStyle name="나쁨 2 38" xfId="5613"/>
    <cellStyle name="나쁨 2 39" xfId="5614"/>
    <cellStyle name="나쁨 2 4" xfId="5615"/>
    <cellStyle name="나쁨 2 40" xfId="5616"/>
    <cellStyle name="나쁨 2 41" xfId="5617"/>
    <cellStyle name="나쁨 2 42" xfId="5618"/>
    <cellStyle name="나쁨 2 43" xfId="5619"/>
    <cellStyle name="나쁨 2 44" xfId="5620"/>
    <cellStyle name="나쁨 2 45" xfId="5621"/>
    <cellStyle name="나쁨 2 46" xfId="5622"/>
    <cellStyle name="나쁨 2 47" xfId="5623"/>
    <cellStyle name="나쁨 2 48" xfId="5624"/>
    <cellStyle name="나쁨 2 49" xfId="5625"/>
    <cellStyle name="나쁨 2 5" xfId="5626"/>
    <cellStyle name="나쁨 2 50" xfId="5627"/>
    <cellStyle name="나쁨 2 51" xfId="5628"/>
    <cellStyle name="나쁨 2 52" xfId="5629"/>
    <cellStyle name="나쁨 2 53" xfId="5630"/>
    <cellStyle name="나쁨 2 54" xfId="5631"/>
    <cellStyle name="나쁨 2 55" xfId="5632"/>
    <cellStyle name="나쁨 2 56" xfId="5633"/>
    <cellStyle name="나쁨 2 57" xfId="5634"/>
    <cellStyle name="나쁨 2 58" xfId="5635"/>
    <cellStyle name="나쁨 2 59" xfId="5636"/>
    <cellStyle name="나쁨 2 6" xfId="5637"/>
    <cellStyle name="나쁨 2 60" xfId="5638"/>
    <cellStyle name="나쁨 2 61" xfId="5639"/>
    <cellStyle name="나쁨 2 62" xfId="5640"/>
    <cellStyle name="나쁨 2 63" xfId="5641"/>
    <cellStyle name="나쁨 2 64" xfId="5642"/>
    <cellStyle name="나쁨 2 65" xfId="5643"/>
    <cellStyle name="나쁨 2 66" xfId="5644"/>
    <cellStyle name="나쁨 2 67" xfId="5645"/>
    <cellStyle name="나쁨 2 68" xfId="5646"/>
    <cellStyle name="나쁨 2 69" xfId="5647"/>
    <cellStyle name="나쁨 2 7" xfId="5648"/>
    <cellStyle name="나쁨 2 70" xfId="5649"/>
    <cellStyle name="나쁨 2 71" xfId="5650"/>
    <cellStyle name="나쁨 2 72" xfId="5651"/>
    <cellStyle name="나쁨 2 73" xfId="5652"/>
    <cellStyle name="나쁨 2 74" xfId="5653"/>
    <cellStyle name="나쁨 2 75" xfId="5654"/>
    <cellStyle name="나쁨 2 76" xfId="5655"/>
    <cellStyle name="나쁨 2 77" xfId="5656"/>
    <cellStyle name="나쁨 2 78" xfId="5657"/>
    <cellStyle name="나쁨 2 79" xfId="5658"/>
    <cellStyle name="나쁨 2 8" xfId="5659"/>
    <cellStyle name="나쁨 2 80" xfId="5660"/>
    <cellStyle name="나쁨 2 81" xfId="5661"/>
    <cellStyle name="나쁨 2 82" xfId="5662"/>
    <cellStyle name="나쁨 2 83" xfId="5663"/>
    <cellStyle name="나쁨 2 84" xfId="5664"/>
    <cellStyle name="나쁨 2 85" xfId="5665"/>
    <cellStyle name="나쁨 2 86" xfId="5666"/>
    <cellStyle name="나쁨 2 87" xfId="5667"/>
    <cellStyle name="나쁨 2 88" xfId="5668"/>
    <cellStyle name="나쁨 2 89" xfId="5669"/>
    <cellStyle name="나쁨 2 9" xfId="5670"/>
    <cellStyle name="나쁨 2 90" xfId="5671"/>
    <cellStyle name="나쁨 2 91" xfId="5672"/>
    <cellStyle name="나쁨 2 92" xfId="5673"/>
    <cellStyle name="나쁨 2 93" xfId="5674"/>
    <cellStyle name="나쁨 2 94" xfId="5675"/>
    <cellStyle name="나쁨 2 95" xfId="5676"/>
    <cellStyle name="나쁨 2 96" xfId="5677"/>
    <cellStyle name="나쁨 2 97" xfId="5678"/>
    <cellStyle name="나쁨 2 98" xfId="5679"/>
    <cellStyle name="나쁨 2 99" xfId="5680"/>
    <cellStyle name="나쁨 20" xfId="5681"/>
    <cellStyle name="나쁨 21" xfId="5682"/>
    <cellStyle name="나쁨 22" xfId="5683"/>
    <cellStyle name="나쁨 23" xfId="5684"/>
    <cellStyle name="나쁨 24" xfId="5685"/>
    <cellStyle name="나쁨 25" xfId="5686"/>
    <cellStyle name="나쁨 26" xfId="5687"/>
    <cellStyle name="나쁨 27" xfId="5688"/>
    <cellStyle name="나쁨 28" xfId="5689"/>
    <cellStyle name="나쁨 29" xfId="5690"/>
    <cellStyle name="나쁨 3" xfId="363"/>
    <cellStyle name="나쁨 30" xfId="5691"/>
    <cellStyle name="나쁨 31" xfId="5692"/>
    <cellStyle name="나쁨 32" xfId="5693"/>
    <cellStyle name="나쁨 33" xfId="5694"/>
    <cellStyle name="나쁨 34" xfId="5695"/>
    <cellStyle name="나쁨 35" xfId="5696"/>
    <cellStyle name="나쁨 36" xfId="5697"/>
    <cellStyle name="나쁨 37" xfId="5698"/>
    <cellStyle name="나쁨 38" xfId="5699"/>
    <cellStyle name="나쁨 39" xfId="5700"/>
    <cellStyle name="나쁨 4" xfId="11714" hidden="1"/>
    <cellStyle name="나쁨 4" xfId="11760" hidden="1"/>
    <cellStyle name="나쁨 4" xfId="11806" hidden="1"/>
    <cellStyle name="나쁨 4" xfId="11852" hidden="1"/>
    <cellStyle name="나쁨 4" xfId="11898" hidden="1"/>
    <cellStyle name="나쁨 4" xfId="11944" hidden="1"/>
    <cellStyle name="나쁨 4" xfId="11990" hidden="1"/>
    <cellStyle name="나쁨 4" xfId="12036" hidden="1"/>
    <cellStyle name="나쁨 4" xfId="12082" hidden="1"/>
    <cellStyle name="나쁨 4" xfId="12128" hidden="1"/>
    <cellStyle name="나쁨 4" xfId="12174" hidden="1"/>
    <cellStyle name="나쁨 4" xfId="12220" hidden="1"/>
    <cellStyle name="나쁨 4" xfId="12310" hidden="1"/>
    <cellStyle name="나쁨 4" xfId="12350" hidden="1"/>
    <cellStyle name="나쁨 4" xfId="12392" hidden="1"/>
    <cellStyle name="나쁨 4" xfId="12434" hidden="1"/>
    <cellStyle name="나쁨 4" xfId="12476" hidden="1"/>
    <cellStyle name="나쁨 4" xfId="12518" hidden="1"/>
    <cellStyle name="나쁨 4" xfId="12560" hidden="1"/>
    <cellStyle name="나쁨 4" xfId="12602" hidden="1"/>
    <cellStyle name="나쁨 4" xfId="12644" hidden="1"/>
    <cellStyle name="나쁨 4" xfId="12686" hidden="1"/>
    <cellStyle name="나쁨 4" xfId="12728" hidden="1"/>
    <cellStyle name="나쁨 4" xfId="12770" hidden="1"/>
    <cellStyle name="나쁨 4" xfId="12264" hidden="1"/>
    <cellStyle name="나쁨 4" xfId="12953" hidden="1"/>
    <cellStyle name="나쁨 4" xfId="12993" hidden="1"/>
    <cellStyle name="나쁨 4" xfId="13033" hidden="1"/>
    <cellStyle name="나쁨 4" xfId="13073" hidden="1"/>
    <cellStyle name="나쁨 4" xfId="13113" hidden="1"/>
    <cellStyle name="나쁨 4" xfId="13153" hidden="1"/>
    <cellStyle name="나쁨 4" xfId="13193" hidden="1"/>
    <cellStyle name="나쁨 4" xfId="13233" hidden="1"/>
    <cellStyle name="나쁨 4" xfId="13273" hidden="1"/>
    <cellStyle name="나쁨 4" xfId="13313" hidden="1"/>
    <cellStyle name="나쁨 4" xfId="13353" hidden="1"/>
    <cellStyle name="나쁨 4" xfId="13393" hidden="1"/>
    <cellStyle name="나쁨 4" xfId="12881" hidden="1"/>
    <cellStyle name="나쁨 4" xfId="12842" hidden="1"/>
    <cellStyle name="나쁨 4" xfId="13434" hidden="1"/>
    <cellStyle name="나쁨 4" xfId="13476" hidden="1"/>
    <cellStyle name="나쁨 4" xfId="13518" hidden="1"/>
    <cellStyle name="나쁨 4" xfId="13560" hidden="1"/>
    <cellStyle name="나쁨 4" xfId="13602" hidden="1"/>
    <cellStyle name="나쁨 4" xfId="13644" hidden="1"/>
    <cellStyle name="나쁨 4" xfId="13686" hidden="1"/>
    <cellStyle name="나쁨 4" xfId="13728" hidden="1"/>
    <cellStyle name="나쁨 4" xfId="13770" hidden="1"/>
    <cellStyle name="나쁨 4" xfId="13812" hidden="1"/>
    <cellStyle name="나쁨 4" xfId="12936" hidden="1"/>
    <cellStyle name="나쁨 4" xfId="12895" hidden="1"/>
    <cellStyle name="나쁨 4" xfId="13881" hidden="1"/>
    <cellStyle name="나쁨 4" xfId="13921" hidden="1"/>
    <cellStyle name="나쁨 4" xfId="13961" hidden="1"/>
    <cellStyle name="나쁨 4" xfId="14001" hidden="1"/>
    <cellStyle name="나쁨 4" xfId="14041" hidden="1"/>
    <cellStyle name="나쁨 4" xfId="14081" hidden="1"/>
    <cellStyle name="나쁨 4" xfId="14121" hidden="1"/>
    <cellStyle name="나쁨 4" xfId="14161" hidden="1"/>
    <cellStyle name="나쁨 4" xfId="14201" hidden="1"/>
    <cellStyle name="나쁨 4" xfId="14241" hidden="1"/>
    <cellStyle name="나쁨 4" xfId="14281" hidden="1"/>
    <cellStyle name="나쁨 4" xfId="14387" hidden="1"/>
    <cellStyle name="나쁨 4" xfId="14427" hidden="1"/>
    <cellStyle name="나쁨 4" xfId="14467" hidden="1"/>
    <cellStyle name="나쁨 4" xfId="14507" hidden="1"/>
    <cellStyle name="나쁨 4" xfId="14547" hidden="1"/>
    <cellStyle name="나쁨 4" xfId="14587" hidden="1"/>
    <cellStyle name="나쁨 4" xfId="14627" hidden="1"/>
    <cellStyle name="나쁨 4" xfId="14667" hidden="1"/>
    <cellStyle name="나쁨 4" xfId="14707" hidden="1"/>
    <cellStyle name="나쁨 4" xfId="14747" hidden="1"/>
    <cellStyle name="나쁨 4" xfId="14787" hidden="1"/>
    <cellStyle name="나쁨 4" xfId="14827" hidden="1"/>
    <cellStyle name="나쁨 4" xfId="14911" hidden="1"/>
    <cellStyle name="나쁨 4" xfId="14951" hidden="1"/>
    <cellStyle name="나쁨 4" xfId="14993" hidden="1"/>
    <cellStyle name="나쁨 4" xfId="15035" hidden="1"/>
    <cellStyle name="나쁨 4" xfId="15077" hidden="1"/>
    <cellStyle name="나쁨 4" xfId="15119" hidden="1"/>
    <cellStyle name="나쁨 4" xfId="15161" hidden="1"/>
    <cellStyle name="나쁨 4" xfId="15203" hidden="1"/>
    <cellStyle name="나쁨 4" xfId="15245" hidden="1"/>
    <cellStyle name="나쁨 4" xfId="15287" hidden="1"/>
    <cellStyle name="나쁨 4" xfId="15329" hidden="1"/>
    <cellStyle name="나쁨 4" xfId="15371" hidden="1"/>
    <cellStyle name="나쁨 4" xfId="14867" hidden="1"/>
    <cellStyle name="나쁨 4" xfId="15551" hidden="1"/>
    <cellStyle name="나쁨 4" xfId="15591" hidden="1"/>
    <cellStyle name="나쁨 4" xfId="15631" hidden="1"/>
    <cellStyle name="나쁨 4" xfId="15671" hidden="1"/>
    <cellStyle name="나쁨 4" xfId="15711" hidden="1"/>
    <cellStyle name="나쁨 4" xfId="15751" hidden="1"/>
    <cellStyle name="나쁨 4" xfId="15791" hidden="1"/>
    <cellStyle name="나쁨 4" xfId="15831" hidden="1"/>
    <cellStyle name="나쁨 4" xfId="15871" hidden="1"/>
    <cellStyle name="나쁨 4" xfId="15911" hidden="1"/>
    <cellStyle name="나쁨 4" xfId="15951" hidden="1"/>
    <cellStyle name="나쁨 4" xfId="15991" hidden="1"/>
    <cellStyle name="나쁨 4" xfId="15481" hidden="1"/>
    <cellStyle name="나쁨 4" xfId="15442" hidden="1"/>
    <cellStyle name="나쁨 4" xfId="16032" hidden="1"/>
    <cellStyle name="나쁨 4" xfId="16074" hidden="1"/>
    <cellStyle name="나쁨 4" xfId="16116" hidden="1"/>
    <cellStyle name="나쁨 4" xfId="16158" hidden="1"/>
    <cellStyle name="나쁨 4" xfId="16200" hidden="1"/>
    <cellStyle name="나쁨 4" xfId="16242" hidden="1"/>
    <cellStyle name="나쁨 4" xfId="16284" hidden="1"/>
    <cellStyle name="나쁨 4" xfId="16326" hidden="1"/>
    <cellStyle name="나쁨 4" xfId="16368" hidden="1"/>
    <cellStyle name="나쁨 4" xfId="16410" hidden="1"/>
    <cellStyle name="나쁨 4" xfId="15535" hidden="1"/>
    <cellStyle name="나쁨 4" xfId="15494" hidden="1"/>
    <cellStyle name="나쁨 4" xfId="16479" hidden="1"/>
    <cellStyle name="나쁨 4" xfId="16519" hidden="1"/>
    <cellStyle name="나쁨 4" xfId="16559" hidden="1"/>
    <cellStyle name="나쁨 4" xfId="16599" hidden="1"/>
    <cellStyle name="나쁨 4" xfId="16639" hidden="1"/>
    <cellStyle name="나쁨 4" xfId="16679" hidden="1"/>
    <cellStyle name="나쁨 4" xfId="16719" hidden="1"/>
    <cellStyle name="나쁨 4" xfId="16759" hidden="1"/>
    <cellStyle name="나쁨 4" xfId="16799" hidden="1"/>
    <cellStyle name="나쁨 4" xfId="16839" hidden="1"/>
    <cellStyle name="나쁨 4" xfId="16879" hidden="1"/>
    <cellStyle name="나쁨 4" xfId="14338" hidden="1"/>
    <cellStyle name="나쁨 4" xfId="16930" hidden="1"/>
    <cellStyle name="나쁨 4" xfId="16971" hidden="1"/>
    <cellStyle name="나쁨 4" xfId="17011" hidden="1"/>
    <cellStyle name="나쁨 4" xfId="17051" hidden="1"/>
    <cellStyle name="나쁨 4" xfId="17091" hidden="1"/>
    <cellStyle name="나쁨 4" xfId="17131" hidden="1"/>
    <cellStyle name="나쁨 4" xfId="17171" hidden="1"/>
    <cellStyle name="나쁨 4" xfId="17211" hidden="1"/>
    <cellStyle name="나쁨 4" xfId="17251" hidden="1"/>
    <cellStyle name="나쁨 4" xfId="17291" hidden="1"/>
    <cellStyle name="나쁨 4" xfId="17331" hidden="1"/>
    <cellStyle name="나쁨 4" xfId="17415" hidden="1"/>
    <cellStyle name="나쁨 4" xfId="17455" hidden="1"/>
    <cellStyle name="나쁨 4" xfId="17497" hidden="1"/>
    <cellStyle name="나쁨 4" xfId="17539" hidden="1"/>
    <cellStyle name="나쁨 4" xfId="17581" hidden="1"/>
    <cellStyle name="나쁨 4" xfId="17623" hidden="1"/>
    <cellStyle name="나쁨 4" xfId="17665" hidden="1"/>
    <cellStyle name="나쁨 4" xfId="17707" hidden="1"/>
    <cellStyle name="나쁨 4" xfId="17749" hidden="1"/>
    <cellStyle name="나쁨 4" xfId="17791" hidden="1"/>
    <cellStyle name="나쁨 4" xfId="17833" hidden="1"/>
    <cellStyle name="나쁨 4" xfId="17875" hidden="1"/>
    <cellStyle name="나쁨 4" xfId="17371" hidden="1"/>
    <cellStyle name="나쁨 4" xfId="18055" hidden="1"/>
    <cellStyle name="나쁨 4" xfId="18095" hidden="1"/>
    <cellStyle name="나쁨 4" xfId="18135" hidden="1"/>
    <cellStyle name="나쁨 4" xfId="18175" hidden="1"/>
    <cellStyle name="나쁨 4" xfId="18215" hidden="1"/>
    <cellStyle name="나쁨 4" xfId="18255" hidden="1"/>
    <cellStyle name="나쁨 4" xfId="18295" hidden="1"/>
    <cellStyle name="나쁨 4" xfId="18335" hidden="1"/>
    <cellStyle name="나쁨 4" xfId="18375" hidden="1"/>
    <cellStyle name="나쁨 4" xfId="18415" hidden="1"/>
    <cellStyle name="나쁨 4" xfId="18455" hidden="1"/>
    <cellStyle name="나쁨 4" xfId="18495" hidden="1"/>
    <cellStyle name="나쁨 4" xfId="17985" hidden="1"/>
    <cellStyle name="나쁨 4" xfId="17946" hidden="1"/>
    <cellStyle name="나쁨 4" xfId="18536" hidden="1"/>
    <cellStyle name="나쁨 4" xfId="18578" hidden="1"/>
    <cellStyle name="나쁨 4" xfId="18620" hidden="1"/>
    <cellStyle name="나쁨 4" xfId="18662" hidden="1"/>
    <cellStyle name="나쁨 4" xfId="18704" hidden="1"/>
    <cellStyle name="나쁨 4" xfId="18746" hidden="1"/>
    <cellStyle name="나쁨 4" xfId="18788" hidden="1"/>
    <cellStyle name="나쁨 4" xfId="18830" hidden="1"/>
    <cellStyle name="나쁨 4" xfId="18872" hidden="1"/>
    <cellStyle name="나쁨 4" xfId="18914" hidden="1"/>
    <cellStyle name="나쁨 4" xfId="18039" hidden="1"/>
    <cellStyle name="나쁨 4" xfId="17998" hidden="1"/>
    <cellStyle name="나쁨 4" xfId="18983" hidden="1"/>
    <cellStyle name="나쁨 4" xfId="19023" hidden="1"/>
    <cellStyle name="나쁨 4" xfId="19063" hidden="1"/>
    <cellStyle name="나쁨 4" xfId="19103" hidden="1"/>
    <cellStyle name="나쁨 4" xfId="19143" hidden="1"/>
    <cellStyle name="나쁨 4" xfId="19183" hidden="1"/>
    <cellStyle name="나쁨 4" xfId="19223" hidden="1"/>
    <cellStyle name="나쁨 4" xfId="19263" hidden="1"/>
    <cellStyle name="나쁨 4" xfId="19303" hidden="1"/>
    <cellStyle name="나쁨 4" xfId="19343" hidden="1"/>
    <cellStyle name="나쁨 4" xfId="19383" hidden="1"/>
    <cellStyle name="나쁨 4" xfId="14354" hidden="1"/>
    <cellStyle name="나쁨 4" xfId="19433" hidden="1"/>
    <cellStyle name="나쁨 4" xfId="19473" hidden="1"/>
    <cellStyle name="나쁨 4" xfId="19513" hidden="1"/>
    <cellStyle name="나쁨 4" xfId="19553" hidden="1"/>
    <cellStyle name="나쁨 4" xfId="19593" hidden="1"/>
    <cellStyle name="나쁨 4" xfId="19633" hidden="1"/>
    <cellStyle name="나쁨 4" xfId="19673" hidden="1"/>
    <cellStyle name="나쁨 4" xfId="19713" hidden="1"/>
    <cellStyle name="나쁨 4" xfId="19753" hidden="1"/>
    <cellStyle name="나쁨 4" xfId="19793" hidden="1"/>
    <cellStyle name="나쁨 4" xfId="19833" hidden="1"/>
    <cellStyle name="나쁨 4" xfId="19917" hidden="1"/>
    <cellStyle name="나쁨 4" xfId="19957" hidden="1"/>
    <cellStyle name="나쁨 4" xfId="19999" hidden="1"/>
    <cellStyle name="나쁨 4" xfId="20041" hidden="1"/>
    <cellStyle name="나쁨 4" xfId="20083" hidden="1"/>
    <cellStyle name="나쁨 4" xfId="20125" hidden="1"/>
    <cellStyle name="나쁨 4" xfId="20167" hidden="1"/>
    <cellStyle name="나쁨 4" xfId="20209" hidden="1"/>
    <cellStyle name="나쁨 4" xfId="20251" hidden="1"/>
    <cellStyle name="나쁨 4" xfId="20293" hidden="1"/>
    <cellStyle name="나쁨 4" xfId="20335" hidden="1"/>
    <cellStyle name="나쁨 4" xfId="20377" hidden="1"/>
    <cellStyle name="나쁨 4" xfId="19873" hidden="1"/>
    <cellStyle name="나쁨 4" xfId="20557" hidden="1"/>
    <cellStyle name="나쁨 4" xfId="20597" hidden="1"/>
    <cellStyle name="나쁨 4" xfId="20637" hidden="1"/>
    <cellStyle name="나쁨 4" xfId="20677" hidden="1"/>
    <cellStyle name="나쁨 4" xfId="20717" hidden="1"/>
    <cellStyle name="나쁨 4" xfId="20757" hidden="1"/>
    <cellStyle name="나쁨 4" xfId="20797" hidden="1"/>
    <cellStyle name="나쁨 4" xfId="20837" hidden="1"/>
    <cellStyle name="나쁨 4" xfId="20877" hidden="1"/>
    <cellStyle name="나쁨 4" xfId="20917" hidden="1"/>
    <cellStyle name="나쁨 4" xfId="20957" hidden="1"/>
    <cellStyle name="나쁨 4" xfId="20997" hidden="1"/>
    <cellStyle name="나쁨 4" xfId="20487" hidden="1"/>
    <cellStyle name="나쁨 4" xfId="20448" hidden="1"/>
    <cellStyle name="나쁨 4" xfId="21038" hidden="1"/>
    <cellStyle name="나쁨 4" xfId="21080" hidden="1"/>
    <cellStyle name="나쁨 4" xfId="21122" hidden="1"/>
    <cellStyle name="나쁨 4" xfId="21164" hidden="1"/>
    <cellStyle name="나쁨 4" xfId="21206" hidden="1"/>
    <cellStyle name="나쁨 4" xfId="21248" hidden="1"/>
    <cellStyle name="나쁨 4" xfId="21290" hidden="1"/>
    <cellStyle name="나쁨 4" xfId="21332" hidden="1"/>
    <cellStyle name="나쁨 4" xfId="21374" hidden="1"/>
    <cellStyle name="나쁨 4" xfId="21416" hidden="1"/>
    <cellStyle name="나쁨 4" xfId="20541" hidden="1"/>
    <cellStyle name="나쁨 4" xfId="20500" hidden="1"/>
    <cellStyle name="나쁨 4" xfId="21485" hidden="1"/>
    <cellStyle name="나쁨 4" xfId="21525" hidden="1"/>
    <cellStyle name="나쁨 4" xfId="21565" hidden="1"/>
    <cellStyle name="나쁨 4" xfId="21605" hidden="1"/>
    <cellStyle name="나쁨 4" xfId="21645" hidden="1"/>
    <cellStyle name="나쁨 4" xfId="21685" hidden="1"/>
    <cellStyle name="나쁨 4" xfId="21725" hidden="1"/>
    <cellStyle name="나쁨 4" xfId="21765" hidden="1"/>
    <cellStyle name="나쁨 4" xfId="21805" hidden="1"/>
    <cellStyle name="나쁨 4" xfId="21845" hidden="1"/>
    <cellStyle name="나쁨 4" xfId="21885" hidden="1"/>
    <cellStyle name="나쁨 4" xfId="21953" hidden="1"/>
    <cellStyle name="나쁨 4" xfId="21993" hidden="1"/>
    <cellStyle name="나쁨 4" xfId="22033" hidden="1"/>
    <cellStyle name="나쁨 4" xfId="22073" hidden="1"/>
    <cellStyle name="나쁨 4" xfId="22113" hidden="1"/>
    <cellStyle name="나쁨 4" xfId="22153" hidden="1"/>
    <cellStyle name="나쁨 4" xfId="22193" hidden="1"/>
    <cellStyle name="나쁨 4" xfId="22233" hidden="1"/>
    <cellStyle name="나쁨 4" xfId="22273" hidden="1"/>
    <cellStyle name="나쁨 4" xfId="22313" hidden="1"/>
    <cellStyle name="나쁨 4" xfId="22353" hidden="1"/>
    <cellStyle name="나쁨 4" xfId="22393" hidden="1"/>
    <cellStyle name="나쁨 4" xfId="22477" hidden="1"/>
    <cellStyle name="나쁨 4" xfId="22517" hidden="1"/>
    <cellStyle name="나쁨 4" xfId="22559" hidden="1"/>
    <cellStyle name="나쁨 4" xfId="22601" hidden="1"/>
    <cellStyle name="나쁨 4" xfId="22643" hidden="1"/>
    <cellStyle name="나쁨 4" xfId="22685" hidden="1"/>
    <cellStyle name="나쁨 4" xfId="22727" hidden="1"/>
    <cellStyle name="나쁨 4" xfId="22769" hidden="1"/>
    <cellStyle name="나쁨 4" xfId="22811" hidden="1"/>
    <cellStyle name="나쁨 4" xfId="22853" hidden="1"/>
    <cellStyle name="나쁨 4" xfId="22895" hidden="1"/>
    <cellStyle name="나쁨 4" xfId="22937" hidden="1"/>
    <cellStyle name="나쁨 4" xfId="22433" hidden="1"/>
    <cellStyle name="나쁨 4" xfId="23117" hidden="1"/>
    <cellStyle name="나쁨 4" xfId="23157" hidden="1"/>
    <cellStyle name="나쁨 4" xfId="23197" hidden="1"/>
    <cellStyle name="나쁨 4" xfId="23237" hidden="1"/>
    <cellStyle name="나쁨 4" xfId="23277" hidden="1"/>
    <cellStyle name="나쁨 4" xfId="23317" hidden="1"/>
    <cellStyle name="나쁨 4" xfId="23357" hidden="1"/>
    <cellStyle name="나쁨 4" xfId="23397" hidden="1"/>
    <cellStyle name="나쁨 4" xfId="23437" hidden="1"/>
    <cellStyle name="나쁨 4" xfId="23477" hidden="1"/>
    <cellStyle name="나쁨 4" xfId="23517" hidden="1"/>
    <cellStyle name="나쁨 4" xfId="23557" hidden="1"/>
    <cellStyle name="나쁨 4" xfId="23047" hidden="1"/>
    <cellStyle name="나쁨 4" xfId="23008" hidden="1"/>
    <cellStyle name="나쁨 4" xfId="23598" hidden="1"/>
    <cellStyle name="나쁨 4" xfId="23640" hidden="1"/>
    <cellStyle name="나쁨 4" xfId="23682" hidden="1"/>
    <cellStyle name="나쁨 4" xfId="23724" hidden="1"/>
    <cellStyle name="나쁨 4" xfId="23766" hidden="1"/>
    <cellStyle name="나쁨 4" xfId="23808" hidden="1"/>
    <cellStyle name="나쁨 4" xfId="23850" hidden="1"/>
    <cellStyle name="나쁨 4" xfId="23892" hidden="1"/>
    <cellStyle name="나쁨 4" xfId="23934" hidden="1"/>
    <cellStyle name="나쁨 4" xfId="23976" hidden="1"/>
    <cellStyle name="나쁨 4" xfId="23101" hidden="1"/>
    <cellStyle name="나쁨 4" xfId="23060" hidden="1"/>
    <cellStyle name="나쁨 4" xfId="24045" hidden="1"/>
    <cellStyle name="나쁨 4" xfId="24085" hidden="1"/>
    <cellStyle name="나쁨 4" xfId="24125" hidden="1"/>
    <cellStyle name="나쁨 4" xfId="24165" hidden="1"/>
    <cellStyle name="나쁨 4" xfId="24205" hidden="1"/>
    <cellStyle name="나쁨 4" xfId="24245" hidden="1"/>
    <cellStyle name="나쁨 4" xfId="24285" hidden="1"/>
    <cellStyle name="나쁨 4" xfId="24325" hidden="1"/>
    <cellStyle name="나쁨 4" xfId="24365" hidden="1"/>
    <cellStyle name="나쁨 4" xfId="24405" hidden="1"/>
    <cellStyle name="나쁨 4" xfId="24445" hidden="1"/>
    <cellStyle name="나쁨 4" xfId="24543" hidden="1"/>
    <cellStyle name="나쁨 4" xfId="24583" hidden="1"/>
    <cellStyle name="나쁨 4" xfId="24624" hidden="1"/>
    <cellStyle name="나쁨 4" xfId="24666" hidden="1"/>
    <cellStyle name="나쁨 4" xfId="24706" hidden="1"/>
    <cellStyle name="나쁨 4" xfId="24746" hidden="1"/>
    <cellStyle name="나쁨 4" xfId="24786" hidden="1"/>
    <cellStyle name="나쁨 4" xfId="24826" hidden="1"/>
    <cellStyle name="나쁨 4" xfId="24866" hidden="1"/>
    <cellStyle name="나쁨 4" xfId="24906" hidden="1"/>
    <cellStyle name="나쁨 4" xfId="24946" hidden="1"/>
    <cellStyle name="나쁨 4" xfId="24986" hidden="1"/>
    <cellStyle name="나쁨 4" xfId="25070" hidden="1"/>
    <cellStyle name="나쁨 4" xfId="25110" hidden="1"/>
    <cellStyle name="나쁨 4" xfId="25152" hidden="1"/>
    <cellStyle name="나쁨 4" xfId="25194" hidden="1"/>
    <cellStyle name="나쁨 4" xfId="25236" hidden="1"/>
    <cellStyle name="나쁨 4" xfId="25278" hidden="1"/>
    <cellStyle name="나쁨 4" xfId="25320" hidden="1"/>
    <cellStyle name="나쁨 4" xfId="25362" hidden="1"/>
    <cellStyle name="나쁨 4" xfId="25404" hidden="1"/>
    <cellStyle name="나쁨 4" xfId="25446" hidden="1"/>
    <cellStyle name="나쁨 4" xfId="25488" hidden="1"/>
    <cellStyle name="나쁨 4" xfId="25530" hidden="1"/>
    <cellStyle name="나쁨 4" xfId="25026" hidden="1"/>
    <cellStyle name="나쁨 4" xfId="25710" hidden="1"/>
    <cellStyle name="나쁨 4" xfId="25750" hidden="1"/>
    <cellStyle name="나쁨 4" xfId="25790" hidden="1"/>
    <cellStyle name="나쁨 4" xfId="25830" hidden="1"/>
    <cellStyle name="나쁨 4" xfId="25870" hidden="1"/>
    <cellStyle name="나쁨 4" xfId="25910" hidden="1"/>
    <cellStyle name="나쁨 4" xfId="25950" hidden="1"/>
    <cellStyle name="나쁨 4" xfId="25990" hidden="1"/>
    <cellStyle name="나쁨 4" xfId="26030" hidden="1"/>
    <cellStyle name="나쁨 4" xfId="26070" hidden="1"/>
    <cellStyle name="나쁨 4" xfId="26110" hidden="1"/>
    <cellStyle name="나쁨 4" xfId="26150" hidden="1"/>
    <cellStyle name="나쁨 4" xfId="25640" hidden="1"/>
    <cellStyle name="나쁨 4" xfId="25601" hidden="1"/>
    <cellStyle name="나쁨 4" xfId="26191" hidden="1"/>
    <cellStyle name="나쁨 4" xfId="26233" hidden="1"/>
    <cellStyle name="나쁨 4" xfId="26275" hidden="1"/>
    <cellStyle name="나쁨 4" xfId="26317" hidden="1"/>
    <cellStyle name="나쁨 4" xfId="26359" hidden="1"/>
    <cellStyle name="나쁨 4" xfId="26401" hidden="1"/>
    <cellStyle name="나쁨 4" xfId="26443" hidden="1"/>
    <cellStyle name="나쁨 4" xfId="26485" hidden="1"/>
    <cellStyle name="나쁨 4" xfId="26527" hidden="1"/>
    <cellStyle name="나쁨 4" xfId="26569" hidden="1"/>
    <cellStyle name="나쁨 4" xfId="25694" hidden="1"/>
    <cellStyle name="나쁨 4" xfId="25653" hidden="1"/>
    <cellStyle name="나쁨 4" xfId="26638" hidden="1"/>
    <cellStyle name="나쁨 4" xfId="26678" hidden="1"/>
    <cellStyle name="나쁨 4" xfId="26718" hidden="1"/>
    <cellStyle name="나쁨 4" xfId="26758" hidden="1"/>
    <cellStyle name="나쁨 4" xfId="26798" hidden="1"/>
    <cellStyle name="나쁨 4" xfId="26838" hidden="1"/>
    <cellStyle name="나쁨 4" xfId="26878" hidden="1"/>
    <cellStyle name="나쁨 4" xfId="26918" hidden="1"/>
    <cellStyle name="나쁨 4" xfId="26958" hidden="1"/>
    <cellStyle name="나쁨 4" xfId="26998" hidden="1"/>
    <cellStyle name="나쁨 4" xfId="27038" hidden="1"/>
    <cellStyle name="나쁨 4" xfId="24500" hidden="1"/>
    <cellStyle name="나쁨 4" xfId="27089" hidden="1"/>
    <cellStyle name="나쁨 4" xfId="27129" hidden="1"/>
    <cellStyle name="나쁨 4" xfId="27169" hidden="1"/>
    <cellStyle name="나쁨 4" xfId="27209" hidden="1"/>
    <cellStyle name="나쁨 4" xfId="27249" hidden="1"/>
    <cellStyle name="나쁨 4" xfId="27289" hidden="1"/>
    <cellStyle name="나쁨 4" xfId="27329" hidden="1"/>
    <cellStyle name="나쁨 4" xfId="27369" hidden="1"/>
    <cellStyle name="나쁨 4" xfId="27409" hidden="1"/>
    <cellStyle name="나쁨 4" xfId="27449" hidden="1"/>
    <cellStyle name="나쁨 4" xfId="27489" hidden="1"/>
    <cellStyle name="나쁨 4" xfId="27573" hidden="1"/>
    <cellStyle name="나쁨 4" xfId="27613" hidden="1"/>
    <cellStyle name="나쁨 4" xfId="27655" hidden="1"/>
    <cellStyle name="나쁨 4" xfId="27697" hidden="1"/>
    <cellStyle name="나쁨 4" xfId="27739" hidden="1"/>
    <cellStyle name="나쁨 4" xfId="27781" hidden="1"/>
    <cellStyle name="나쁨 4" xfId="27823" hidden="1"/>
    <cellStyle name="나쁨 4" xfId="27865" hidden="1"/>
    <cellStyle name="나쁨 4" xfId="27907" hidden="1"/>
    <cellStyle name="나쁨 4" xfId="27949" hidden="1"/>
    <cellStyle name="나쁨 4" xfId="27991" hidden="1"/>
    <cellStyle name="나쁨 4" xfId="28033" hidden="1"/>
    <cellStyle name="나쁨 4" xfId="27529" hidden="1"/>
    <cellStyle name="나쁨 4" xfId="28213" hidden="1"/>
    <cellStyle name="나쁨 4" xfId="28253" hidden="1"/>
    <cellStyle name="나쁨 4" xfId="28293" hidden="1"/>
    <cellStyle name="나쁨 4" xfId="28333" hidden="1"/>
    <cellStyle name="나쁨 4" xfId="28373" hidden="1"/>
    <cellStyle name="나쁨 4" xfId="28413" hidden="1"/>
    <cellStyle name="나쁨 4" xfId="28453" hidden="1"/>
    <cellStyle name="나쁨 4" xfId="28493" hidden="1"/>
    <cellStyle name="나쁨 4" xfId="28533" hidden="1"/>
    <cellStyle name="나쁨 4" xfId="28573" hidden="1"/>
    <cellStyle name="나쁨 4" xfId="28613" hidden="1"/>
    <cellStyle name="나쁨 4" xfId="28653" hidden="1"/>
    <cellStyle name="나쁨 4" xfId="28143" hidden="1"/>
    <cellStyle name="나쁨 4" xfId="28104" hidden="1"/>
    <cellStyle name="나쁨 4" xfId="28694" hidden="1"/>
    <cellStyle name="나쁨 4" xfId="28736" hidden="1"/>
    <cellStyle name="나쁨 4" xfId="28778" hidden="1"/>
    <cellStyle name="나쁨 4" xfId="28820" hidden="1"/>
    <cellStyle name="나쁨 4" xfId="28862" hidden="1"/>
    <cellStyle name="나쁨 4" xfId="28904" hidden="1"/>
    <cellStyle name="나쁨 4" xfId="28946" hidden="1"/>
    <cellStyle name="나쁨 4" xfId="28988" hidden="1"/>
    <cellStyle name="나쁨 4" xfId="29030" hidden="1"/>
    <cellStyle name="나쁨 4" xfId="29072" hidden="1"/>
    <cellStyle name="나쁨 4" xfId="28197" hidden="1"/>
    <cellStyle name="나쁨 4" xfId="28156" hidden="1"/>
    <cellStyle name="나쁨 4" xfId="29141" hidden="1"/>
    <cellStyle name="나쁨 4" xfId="29181" hidden="1"/>
    <cellStyle name="나쁨 4" xfId="29221" hidden="1"/>
    <cellStyle name="나쁨 4" xfId="29261" hidden="1"/>
    <cellStyle name="나쁨 4" xfId="29301" hidden="1"/>
    <cellStyle name="나쁨 4" xfId="29341" hidden="1"/>
    <cellStyle name="나쁨 4" xfId="29381" hidden="1"/>
    <cellStyle name="나쁨 4" xfId="29421" hidden="1"/>
    <cellStyle name="나쁨 4" xfId="29461" hidden="1"/>
    <cellStyle name="나쁨 4" xfId="29501" hidden="1"/>
    <cellStyle name="나쁨 4" xfId="29541" hidden="1"/>
    <cellStyle name="나쁨 4" xfId="24512" hidden="1"/>
    <cellStyle name="나쁨 4" xfId="29591" hidden="1"/>
    <cellStyle name="나쁨 4" xfId="29631" hidden="1"/>
    <cellStyle name="나쁨 4" xfId="29671" hidden="1"/>
    <cellStyle name="나쁨 4" xfId="29711" hidden="1"/>
    <cellStyle name="나쁨 4" xfId="29751" hidden="1"/>
    <cellStyle name="나쁨 4" xfId="29791" hidden="1"/>
    <cellStyle name="나쁨 4" xfId="29831" hidden="1"/>
    <cellStyle name="나쁨 4" xfId="29871" hidden="1"/>
    <cellStyle name="나쁨 4" xfId="29911" hidden="1"/>
    <cellStyle name="나쁨 4" xfId="29951" hidden="1"/>
    <cellStyle name="나쁨 4" xfId="29991" hidden="1"/>
    <cellStyle name="나쁨 4" xfId="30075" hidden="1"/>
    <cellStyle name="나쁨 4" xfId="30115" hidden="1"/>
    <cellStyle name="나쁨 4" xfId="30157" hidden="1"/>
    <cellStyle name="나쁨 4" xfId="30199" hidden="1"/>
    <cellStyle name="나쁨 4" xfId="30241" hidden="1"/>
    <cellStyle name="나쁨 4" xfId="30283" hidden="1"/>
    <cellStyle name="나쁨 4" xfId="30325" hidden="1"/>
    <cellStyle name="나쁨 4" xfId="30367" hidden="1"/>
    <cellStyle name="나쁨 4" xfId="30409" hidden="1"/>
    <cellStyle name="나쁨 4" xfId="30451" hidden="1"/>
    <cellStyle name="나쁨 4" xfId="30493" hidden="1"/>
    <cellStyle name="나쁨 4" xfId="30535" hidden="1"/>
    <cellStyle name="나쁨 4" xfId="30031" hidden="1"/>
    <cellStyle name="나쁨 4" xfId="30715" hidden="1"/>
    <cellStyle name="나쁨 4" xfId="30755" hidden="1"/>
    <cellStyle name="나쁨 4" xfId="30795" hidden="1"/>
    <cellStyle name="나쁨 4" xfId="30835" hidden="1"/>
    <cellStyle name="나쁨 4" xfId="30875" hidden="1"/>
    <cellStyle name="나쁨 4" xfId="30915" hidden="1"/>
    <cellStyle name="나쁨 4" xfId="30955" hidden="1"/>
    <cellStyle name="나쁨 4" xfId="30995" hidden="1"/>
    <cellStyle name="나쁨 4" xfId="31035" hidden="1"/>
    <cellStyle name="나쁨 4" xfId="31075" hidden="1"/>
    <cellStyle name="나쁨 4" xfId="31115" hidden="1"/>
    <cellStyle name="나쁨 4" xfId="31155" hidden="1"/>
    <cellStyle name="나쁨 4" xfId="30645" hidden="1"/>
    <cellStyle name="나쁨 4" xfId="30606" hidden="1"/>
    <cellStyle name="나쁨 4" xfId="31196" hidden="1"/>
    <cellStyle name="나쁨 4" xfId="31238" hidden="1"/>
    <cellStyle name="나쁨 4" xfId="31280" hidden="1"/>
    <cellStyle name="나쁨 4" xfId="31322" hidden="1"/>
    <cellStyle name="나쁨 4" xfId="31364" hidden="1"/>
    <cellStyle name="나쁨 4" xfId="31406" hidden="1"/>
    <cellStyle name="나쁨 4" xfId="31448" hidden="1"/>
    <cellStyle name="나쁨 4" xfId="31490" hidden="1"/>
    <cellStyle name="나쁨 4" xfId="31532" hidden="1"/>
    <cellStyle name="나쁨 4" xfId="31574" hidden="1"/>
    <cellStyle name="나쁨 4" xfId="30699" hidden="1"/>
    <cellStyle name="나쁨 4" xfId="30658" hidden="1"/>
    <cellStyle name="나쁨 4" xfId="31643" hidden="1"/>
    <cellStyle name="나쁨 4" xfId="31683" hidden="1"/>
    <cellStyle name="나쁨 4" xfId="31723" hidden="1"/>
    <cellStyle name="나쁨 4" xfId="31763" hidden="1"/>
    <cellStyle name="나쁨 4" xfId="31803" hidden="1"/>
    <cellStyle name="나쁨 4" xfId="31843" hidden="1"/>
    <cellStyle name="나쁨 4" xfId="31883" hidden="1"/>
    <cellStyle name="나쁨 4" xfId="31923" hidden="1"/>
    <cellStyle name="나쁨 4" xfId="31963" hidden="1"/>
    <cellStyle name="나쁨 4" xfId="32003" hidden="1"/>
    <cellStyle name="나쁨 4" xfId="32043" hidden="1"/>
    <cellStyle name="나쁨 4" xfId="32105" hidden="1"/>
    <cellStyle name="나쁨 4" xfId="32145" hidden="1"/>
    <cellStyle name="나쁨 4" xfId="32185" hidden="1"/>
    <cellStyle name="나쁨 4" xfId="32225" hidden="1"/>
    <cellStyle name="나쁨 4" xfId="32265" hidden="1"/>
    <cellStyle name="나쁨 4" xfId="32305" hidden="1"/>
    <cellStyle name="나쁨 4" xfId="32345" hidden="1"/>
    <cellStyle name="나쁨 4" xfId="32385" hidden="1"/>
    <cellStyle name="나쁨 4" xfId="32425" hidden="1"/>
    <cellStyle name="나쁨 4" xfId="32465" hidden="1"/>
    <cellStyle name="나쁨 4" xfId="32505" hidden="1"/>
    <cellStyle name="나쁨 4" xfId="32545" hidden="1"/>
    <cellStyle name="나쁨 4" xfId="32630" hidden="1"/>
    <cellStyle name="나쁨 4" xfId="32670" hidden="1"/>
    <cellStyle name="나쁨 4" xfId="32712" hidden="1"/>
    <cellStyle name="나쁨 4" xfId="32754" hidden="1"/>
    <cellStyle name="나쁨 4" xfId="32796" hidden="1"/>
    <cellStyle name="나쁨 4" xfId="32838" hidden="1"/>
    <cellStyle name="나쁨 4" xfId="32880" hidden="1"/>
    <cellStyle name="나쁨 4" xfId="32922" hidden="1"/>
    <cellStyle name="나쁨 4" xfId="32964" hidden="1"/>
    <cellStyle name="나쁨 4" xfId="33006" hidden="1"/>
    <cellStyle name="나쁨 4" xfId="33048" hidden="1"/>
    <cellStyle name="나쁨 4" xfId="33090" hidden="1"/>
    <cellStyle name="나쁨 4" xfId="32586" hidden="1"/>
    <cellStyle name="나쁨 4" xfId="33270" hidden="1"/>
    <cellStyle name="나쁨 4" xfId="33310" hidden="1"/>
    <cellStyle name="나쁨 4" xfId="33350" hidden="1"/>
    <cellStyle name="나쁨 4" xfId="33390" hidden="1"/>
    <cellStyle name="나쁨 4" xfId="33430" hidden="1"/>
    <cellStyle name="나쁨 4" xfId="33470" hidden="1"/>
    <cellStyle name="나쁨 4" xfId="33510" hidden="1"/>
    <cellStyle name="나쁨 4" xfId="33550" hidden="1"/>
    <cellStyle name="나쁨 4" xfId="33590" hidden="1"/>
    <cellStyle name="나쁨 4" xfId="33630" hidden="1"/>
    <cellStyle name="나쁨 4" xfId="33670" hidden="1"/>
    <cellStyle name="나쁨 4" xfId="33710" hidden="1"/>
    <cellStyle name="나쁨 4" xfId="33200" hidden="1"/>
    <cellStyle name="나쁨 4" xfId="33161" hidden="1"/>
    <cellStyle name="나쁨 4" xfId="33751" hidden="1"/>
    <cellStyle name="나쁨 4" xfId="33793" hidden="1"/>
    <cellStyle name="나쁨 4" xfId="33835" hidden="1"/>
    <cellStyle name="나쁨 4" xfId="33877" hidden="1"/>
    <cellStyle name="나쁨 4" xfId="33919" hidden="1"/>
    <cellStyle name="나쁨 4" xfId="33961" hidden="1"/>
    <cellStyle name="나쁨 4" xfId="34003" hidden="1"/>
    <cellStyle name="나쁨 4" xfId="34045" hidden="1"/>
    <cellStyle name="나쁨 4" xfId="34087" hidden="1"/>
    <cellStyle name="나쁨 4" xfId="34129" hidden="1"/>
    <cellStyle name="나쁨 4" xfId="33254" hidden="1"/>
    <cellStyle name="나쁨 4" xfId="33213" hidden="1"/>
    <cellStyle name="나쁨 4" xfId="34198" hidden="1"/>
    <cellStyle name="나쁨 4" xfId="34238" hidden="1"/>
    <cellStyle name="나쁨 4" xfId="34278" hidden="1"/>
    <cellStyle name="나쁨 4" xfId="34318" hidden="1"/>
    <cellStyle name="나쁨 4" xfId="34358" hidden="1"/>
    <cellStyle name="나쁨 4" xfId="34398" hidden="1"/>
    <cellStyle name="나쁨 4" xfId="34438" hidden="1"/>
    <cellStyle name="나쁨 4" xfId="34478" hidden="1"/>
    <cellStyle name="나쁨 4" xfId="34518" hidden="1"/>
    <cellStyle name="나쁨 4" xfId="34558" hidden="1"/>
    <cellStyle name="나쁨 4" xfId="34598" hidden="1"/>
    <cellStyle name="나쁨 4" xfId="34695" hidden="1"/>
    <cellStyle name="나쁨 4" xfId="34735" hidden="1"/>
    <cellStyle name="나쁨 4" xfId="34775" hidden="1"/>
    <cellStyle name="나쁨 4" xfId="34815" hidden="1"/>
    <cellStyle name="나쁨 4" xfId="34855" hidden="1"/>
    <cellStyle name="나쁨 4" xfId="34895" hidden="1"/>
    <cellStyle name="나쁨 4" xfId="34935" hidden="1"/>
    <cellStyle name="나쁨 4" xfId="34975" hidden="1"/>
    <cellStyle name="나쁨 4" xfId="35015" hidden="1"/>
    <cellStyle name="나쁨 4" xfId="35055" hidden="1"/>
    <cellStyle name="나쁨 4" xfId="35095" hidden="1"/>
    <cellStyle name="나쁨 4" xfId="35135" hidden="1"/>
    <cellStyle name="나쁨 4" xfId="35219" hidden="1"/>
    <cellStyle name="나쁨 4" xfId="35259" hidden="1"/>
    <cellStyle name="나쁨 4" xfId="35301" hidden="1"/>
    <cellStyle name="나쁨 4" xfId="35343" hidden="1"/>
    <cellStyle name="나쁨 4" xfId="35385" hidden="1"/>
    <cellStyle name="나쁨 4" xfId="35427" hidden="1"/>
    <cellStyle name="나쁨 4" xfId="35469" hidden="1"/>
    <cellStyle name="나쁨 4" xfId="35511" hidden="1"/>
    <cellStyle name="나쁨 4" xfId="35553" hidden="1"/>
    <cellStyle name="나쁨 4" xfId="35595" hidden="1"/>
    <cellStyle name="나쁨 4" xfId="35637" hidden="1"/>
    <cellStyle name="나쁨 4" xfId="35679" hidden="1"/>
    <cellStyle name="나쁨 4" xfId="35175" hidden="1"/>
    <cellStyle name="나쁨 4" xfId="35859" hidden="1"/>
    <cellStyle name="나쁨 4" xfId="35899" hidden="1"/>
    <cellStyle name="나쁨 4" xfId="35939" hidden="1"/>
    <cellStyle name="나쁨 4" xfId="35979" hidden="1"/>
    <cellStyle name="나쁨 4" xfId="36019" hidden="1"/>
    <cellStyle name="나쁨 4" xfId="36059" hidden="1"/>
    <cellStyle name="나쁨 4" xfId="36099" hidden="1"/>
    <cellStyle name="나쁨 4" xfId="36139" hidden="1"/>
    <cellStyle name="나쁨 4" xfId="36179" hidden="1"/>
    <cellStyle name="나쁨 4" xfId="36219" hidden="1"/>
    <cellStyle name="나쁨 4" xfId="36259" hidden="1"/>
    <cellStyle name="나쁨 4" xfId="36299" hidden="1"/>
    <cellStyle name="나쁨 4" xfId="35789" hidden="1"/>
    <cellStyle name="나쁨 4" xfId="35750" hidden="1"/>
    <cellStyle name="나쁨 4" xfId="36340" hidden="1"/>
    <cellStyle name="나쁨 4" xfId="36382" hidden="1"/>
    <cellStyle name="나쁨 4" xfId="36424" hidden="1"/>
    <cellStyle name="나쁨 4" xfId="36466" hidden="1"/>
    <cellStyle name="나쁨 4" xfId="36508" hidden="1"/>
    <cellStyle name="나쁨 4" xfId="36550" hidden="1"/>
    <cellStyle name="나쁨 4" xfId="36592" hidden="1"/>
    <cellStyle name="나쁨 4" xfId="36634" hidden="1"/>
    <cellStyle name="나쁨 4" xfId="36676" hidden="1"/>
    <cellStyle name="나쁨 4" xfId="36718" hidden="1"/>
    <cellStyle name="나쁨 4" xfId="35843" hidden="1"/>
    <cellStyle name="나쁨 4" xfId="35802" hidden="1"/>
    <cellStyle name="나쁨 4" xfId="36787" hidden="1"/>
    <cellStyle name="나쁨 4" xfId="36827" hidden="1"/>
    <cellStyle name="나쁨 4" xfId="36867" hidden="1"/>
    <cellStyle name="나쁨 4" xfId="36907" hidden="1"/>
    <cellStyle name="나쁨 4" xfId="36947" hidden="1"/>
    <cellStyle name="나쁨 4" xfId="36987" hidden="1"/>
    <cellStyle name="나쁨 4" xfId="37027" hidden="1"/>
    <cellStyle name="나쁨 4" xfId="37067" hidden="1"/>
    <cellStyle name="나쁨 4" xfId="37107" hidden="1"/>
    <cellStyle name="나쁨 4" xfId="37147" hidden="1"/>
    <cellStyle name="나쁨 4" xfId="37187" hidden="1"/>
    <cellStyle name="나쁨 4" xfId="34652" hidden="1"/>
    <cellStyle name="나쁨 4" xfId="37238" hidden="1"/>
    <cellStyle name="나쁨 4" xfId="37279" hidden="1"/>
    <cellStyle name="나쁨 4" xfId="37319" hidden="1"/>
    <cellStyle name="나쁨 4" xfId="37359" hidden="1"/>
    <cellStyle name="나쁨 4" xfId="37399" hidden="1"/>
    <cellStyle name="나쁨 4" xfId="37439" hidden="1"/>
    <cellStyle name="나쁨 4" xfId="37479" hidden="1"/>
    <cellStyle name="나쁨 4" xfId="37519" hidden="1"/>
    <cellStyle name="나쁨 4" xfId="37559" hidden="1"/>
    <cellStyle name="나쁨 4" xfId="37599" hidden="1"/>
    <cellStyle name="나쁨 4" xfId="37639" hidden="1"/>
    <cellStyle name="나쁨 4" xfId="37723" hidden="1"/>
    <cellStyle name="나쁨 4" xfId="37763" hidden="1"/>
    <cellStyle name="나쁨 4" xfId="37805" hidden="1"/>
    <cellStyle name="나쁨 4" xfId="37847" hidden="1"/>
    <cellStyle name="나쁨 4" xfId="37889" hidden="1"/>
    <cellStyle name="나쁨 4" xfId="37931" hidden="1"/>
    <cellStyle name="나쁨 4" xfId="37973" hidden="1"/>
    <cellStyle name="나쁨 4" xfId="38015" hidden="1"/>
    <cellStyle name="나쁨 4" xfId="38057" hidden="1"/>
    <cellStyle name="나쁨 4" xfId="38099" hidden="1"/>
    <cellStyle name="나쁨 4" xfId="38141" hidden="1"/>
    <cellStyle name="나쁨 4" xfId="38183" hidden="1"/>
    <cellStyle name="나쁨 4" xfId="37679" hidden="1"/>
    <cellStyle name="나쁨 4" xfId="38363" hidden="1"/>
    <cellStyle name="나쁨 4" xfId="38403" hidden="1"/>
    <cellStyle name="나쁨 4" xfId="38443" hidden="1"/>
    <cellStyle name="나쁨 4" xfId="38483" hidden="1"/>
    <cellStyle name="나쁨 4" xfId="38523" hidden="1"/>
    <cellStyle name="나쁨 4" xfId="38563" hidden="1"/>
    <cellStyle name="나쁨 4" xfId="38603" hidden="1"/>
    <cellStyle name="나쁨 4" xfId="38643" hidden="1"/>
    <cellStyle name="나쁨 4" xfId="38683" hidden="1"/>
    <cellStyle name="나쁨 4" xfId="38723" hidden="1"/>
    <cellStyle name="나쁨 4" xfId="38763" hidden="1"/>
    <cellStyle name="나쁨 4" xfId="38803" hidden="1"/>
    <cellStyle name="나쁨 4" xfId="38293" hidden="1"/>
    <cellStyle name="나쁨 4" xfId="38254" hidden="1"/>
    <cellStyle name="나쁨 4" xfId="38844" hidden="1"/>
    <cellStyle name="나쁨 4" xfId="38886" hidden="1"/>
    <cellStyle name="나쁨 4" xfId="38928" hidden="1"/>
    <cellStyle name="나쁨 4" xfId="38970" hidden="1"/>
    <cellStyle name="나쁨 4" xfId="39012" hidden="1"/>
    <cellStyle name="나쁨 4" xfId="39054" hidden="1"/>
    <cellStyle name="나쁨 4" xfId="39096" hidden="1"/>
    <cellStyle name="나쁨 4" xfId="39138" hidden="1"/>
    <cellStyle name="나쁨 4" xfId="39180" hidden="1"/>
    <cellStyle name="나쁨 4" xfId="39222" hidden="1"/>
    <cellStyle name="나쁨 4" xfId="38347" hidden="1"/>
    <cellStyle name="나쁨 4" xfId="38306" hidden="1"/>
    <cellStyle name="나쁨 4" xfId="39291" hidden="1"/>
    <cellStyle name="나쁨 4" xfId="39331" hidden="1"/>
    <cellStyle name="나쁨 4" xfId="39371" hidden="1"/>
    <cellStyle name="나쁨 4" xfId="39411" hidden="1"/>
    <cellStyle name="나쁨 4" xfId="39451" hidden="1"/>
    <cellStyle name="나쁨 4" xfId="39491" hidden="1"/>
    <cellStyle name="나쁨 4" xfId="39531" hidden="1"/>
    <cellStyle name="나쁨 4" xfId="39571" hidden="1"/>
    <cellStyle name="나쁨 4" xfId="39611" hidden="1"/>
    <cellStyle name="나쁨 4" xfId="39651" hidden="1"/>
    <cellStyle name="나쁨 4" xfId="39691" hidden="1"/>
    <cellStyle name="나쁨 4" xfId="34664" hidden="1"/>
    <cellStyle name="나쁨 4" xfId="39741" hidden="1"/>
    <cellStyle name="나쁨 4" xfId="39781" hidden="1"/>
    <cellStyle name="나쁨 4" xfId="39821" hidden="1"/>
    <cellStyle name="나쁨 4" xfId="39861" hidden="1"/>
    <cellStyle name="나쁨 4" xfId="39901" hidden="1"/>
    <cellStyle name="나쁨 4" xfId="39941" hidden="1"/>
    <cellStyle name="나쁨 4" xfId="39981" hidden="1"/>
    <cellStyle name="나쁨 4" xfId="40021" hidden="1"/>
    <cellStyle name="나쁨 4" xfId="40061" hidden="1"/>
    <cellStyle name="나쁨 4" xfId="40101" hidden="1"/>
    <cellStyle name="나쁨 4" xfId="40141" hidden="1"/>
    <cellStyle name="나쁨 4" xfId="40225" hidden="1"/>
    <cellStyle name="나쁨 4" xfId="40265" hidden="1"/>
    <cellStyle name="나쁨 4" xfId="40307" hidden="1"/>
    <cellStyle name="나쁨 4" xfId="40349" hidden="1"/>
    <cellStyle name="나쁨 4" xfId="40391" hidden="1"/>
    <cellStyle name="나쁨 4" xfId="40433" hidden="1"/>
    <cellStyle name="나쁨 4" xfId="40475" hidden="1"/>
    <cellStyle name="나쁨 4" xfId="40517" hidden="1"/>
    <cellStyle name="나쁨 4" xfId="40559" hidden="1"/>
    <cellStyle name="나쁨 4" xfId="40601" hidden="1"/>
    <cellStyle name="나쁨 4" xfId="40643" hidden="1"/>
    <cellStyle name="나쁨 4" xfId="40685" hidden="1"/>
    <cellStyle name="나쁨 4" xfId="40181" hidden="1"/>
    <cellStyle name="나쁨 4" xfId="40865" hidden="1"/>
    <cellStyle name="나쁨 4" xfId="40905" hidden="1"/>
    <cellStyle name="나쁨 4" xfId="40945" hidden="1"/>
    <cellStyle name="나쁨 4" xfId="40985" hidden="1"/>
    <cellStyle name="나쁨 4" xfId="41025" hidden="1"/>
    <cellStyle name="나쁨 4" xfId="41065" hidden="1"/>
    <cellStyle name="나쁨 4" xfId="41105" hidden="1"/>
    <cellStyle name="나쁨 4" xfId="41145" hidden="1"/>
    <cellStyle name="나쁨 4" xfId="41185" hidden="1"/>
    <cellStyle name="나쁨 4" xfId="41225" hidden="1"/>
    <cellStyle name="나쁨 4" xfId="41265" hidden="1"/>
    <cellStyle name="나쁨 4" xfId="41305" hidden="1"/>
    <cellStyle name="나쁨 4" xfId="40795" hidden="1"/>
    <cellStyle name="나쁨 4" xfId="40756" hidden="1"/>
    <cellStyle name="나쁨 4" xfId="41346" hidden="1"/>
    <cellStyle name="나쁨 4" xfId="41388" hidden="1"/>
    <cellStyle name="나쁨 4" xfId="41430" hidden="1"/>
    <cellStyle name="나쁨 4" xfId="41472" hidden="1"/>
    <cellStyle name="나쁨 4" xfId="41514" hidden="1"/>
    <cellStyle name="나쁨 4" xfId="41556" hidden="1"/>
    <cellStyle name="나쁨 4" xfId="41598" hidden="1"/>
    <cellStyle name="나쁨 4" xfId="41640" hidden="1"/>
    <cellStyle name="나쁨 4" xfId="41682" hidden="1"/>
    <cellStyle name="나쁨 4" xfId="41724" hidden="1"/>
    <cellStyle name="나쁨 4" xfId="40849" hidden="1"/>
    <cellStyle name="나쁨 4" xfId="40808" hidden="1"/>
    <cellStyle name="나쁨 4" xfId="41793" hidden="1"/>
    <cellStyle name="나쁨 4" xfId="41833" hidden="1"/>
    <cellStyle name="나쁨 4" xfId="41873" hidden="1"/>
    <cellStyle name="나쁨 4" xfId="41913" hidden="1"/>
    <cellStyle name="나쁨 4" xfId="41953" hidden="1"/>
    <cellStyle name="나쁨 4" xfId="41993" hidden="1"/>
    <cellStyle name="나쁨 4" xfId="42033" hidden="1"/>
    <cellStyle name="나쁨 4" xfId="42073" hidden="1"/>
    <cellStyle name="나쁨 4" xfId="42113" hidden="1"/>
    <cellStyle name="나쁨 4" xfId="42153" hidden="1"/>
    <cellStyle name="나쁨 4" xfId="42193" hidden="1"/>
    <cellStyle name="나쁨 4" xfId="42236" hidden="1"/>
    <cellStyle name="나쁨 4" xfId="42276" hidden="1"/>
    <cellStyle name="나쁨 4" xfId="42316" hidden="1"/>
    <cellStyle name="나쁨 4" xfId="42356" hidden="1"/>
    <cellStyle name="나쁨 4" xfId="42396" hidden="1"/>
    <cellStyle name="나쁨 4" xfId="42436" hidden="1"/>
    <cellStyle name="나쁨 4" xfId="42476" hidden="1"/>
    <cellStyle name="나쁨 4" xfId="42516" hidden="1"/>
    <cellStyle name="나쁨 4" xfId="42556" hidden="1"/>
    <cellStyle name="나쁨 4" xfId="42596" hidden="1"/>
    <cellStyle name="나쁨 4" xfId="42636" hidden="1"/>
    <cellStyle name="나쁨 4" xfId="42676" hidden="1"/>
    <cellStyle name="나쁨 4" xfId="42760" hidden="1"/>
    <cellStyle name="나쁨 4" xfId="42800" hidden="1"/>
    <cellStyle name="나쁨 4" xfId="42842" hidden="1"/>
    <cellStyle name="나쁨 4" xfId="42884" hidden="1"/>
    <cellStyle name="나쁨 4" xfId="42926" hidden="1"/>
    <cellStyle name="나쁨 4" xfId="42968" hidden="1"/>
    <cellStyle name="나쁨 4" xfId="43010" hidden="1"/>
    <cellStyle name="나쁨 4" xfId="43052" hidden="1"/>
    <cellStyle name="나쁨 4" xfId="43094" hidden="1"/>
    <cellStyle name="나쁨 4" xfId="43136" hidden="1"/>
    <cellStyle name="나쁨 4" xfId="43178" hidden="1"/>
    <cellStyle name="나쁨 4" xfId="43220" hidden="1"/>
    <cellStyle name="나쁨 4" xfId="42716" hidden="1"/>
    <cellStyle name="나쁨 4" xfId="43400" hidden="1"/>
    <cellStyle name="나쁨 4" xfId="43440" hidden="1"/>
    <cellStyle name="나쁨 4" xfId="43480" hidden="1"/>
    <cellStyle name="나쁨 4" xfId="43520" hidden="1"/>
    <cellStyle name="나쁨 4" xfId="43560" hidden="1"/>
    <cellStyle name="나쁨 4" xfId="43600" hidden="1"/>
    <cellStyle name="나쁨 4" xfId="43640" hidden="1"/>
    <cellStyle name="나쁨 4" xfId="43680" hidden="1"/>
    <cellStyle name="나쁨 4" xfId="43720" hidden="1"/>
    <cellStyle name="나쁨 4" xfId="43760" hidden="1"/>
    <cellStyle name="나쁨 4" xfId="43800" hidden="1"/>
    <cellStyle name="나쁨 4" xfId="43840" hidden="1"/>
    <cellStyle name="나쁨 4" xfId="43330" hidden="1"/>
    <cellStyle name="나쁨 4" xfId="43291" hidden="1"/>
    <cellStyle name="나쁨 4" xfId="43881" hidden="1"/>
    <cellStyle name="나쁨 4" xfId="43923" hidden="1"/>
    <cellStyle name="나쁨 4" xfId="43965" hidden="1"/>
    <cellStyle name="나쁨 4" xfId="44007" hidden="1"/>
    <cellStyle name="나쁨 4" xfId="44049" hidden="1"/>
    <cellStyle name="나쁨 4" xfId="44091" hidden="1"/>
    <cellStyle name="나쁨 4" xfId="44133" hidden="1"/>
    <cellStyle name="나쁨 4" xfId="44175" hidden="1"/>
    <cellStyle name="나쁨 4" xfId="44217" hidden="1"/>
    <cellStyle name="나쁨 4" xfId="44259" hidden="1"/>
    <cellStyle name="나쁨 4" xfId="43384" hidden="1"/>
    <cellStyle name="나쁨 4" xfId="43343" hidden="1"/>
    <cellStyle name="나쁨 4" xfId="44328" hidden="1"/>
    <cellStyle name="나쁨 4" xfId="44368" hidden="1"/>
    <cellStyle name="나쁨 4" xfId="44408" hidden="1"/>
    <cellStyle name="나쁨 4" xfId="44448" hidden="1"/>
    <cellStyle name="나쁨 4" xfId="44488" hidden="1"/>
    <cellStyle name="나쁨 4" xfId="44528" hidden="1"/>
    <cellStyle name="나쁨 4" xfId="44568" hidden="1"/>
    <cellStyle name="나쁨 4" xfId="44608" hidden="1"/>
    <cellStyle name="나쁨 4" xfId="44648" hidden="1"/>
    <cellStyle name="나쁨 4" xfId="44688" hidden="1"/>
    <cellStyle name="나쁨 4" xfId="44728" hidden="1"/>
    <cellStyle name="나쁨 4" xfId="44824" hidden="1"/>
    <cellStyle name="나쁨 4" xfId="44864" hidden="1"/>
    <cellStyle name="나쁨 4" xfId="44905" hidden="1"/>
    <cellStyle name="나쁨 4" xfId="44947" hidden="1"/>
    <cellStyle name="나쁨 4" xfId="44987" hidden="1"/>
    <cellStyle name="나쁨 4" xfId="45027" hidden="1"/>
    <cellStyle name="나쁨 4" xfId="45067" hidden="1"/>
    <cellStyle name="나쁨 4" xfId="45107" hidden="1"/>
    <cellStyle name="나쁨 4" xfId="45147" hidden="1"/>
    <cellStyle name="나쁨 4" xfId="45187" hidden="1"/>
    <cellStyle name="나쁨 4" xfId="45227" hidden="1"/>
    <cellStyle name="나쁨 4" xfId="45267" hidden="1"/>
    <cellStyle name="나쁨 4" xfId="45351" hidden="1"/>
    <cellStyle name="나쁨 4" xfId="45391" hidden="1"/>
    <cellStyle name="나쁨 4" xfId="45433" hidden="1"/>
    <cellStyle name="나쁨 4" xfId="45475" hidden="1"/>
    <cellStyle name="나쁨 4" xfId="45517" hidden="1"/>
    <cellStyle name="나쁨 4" xfId="45559" hidden="1"/>
    <cellStyle name="나쁨 4" xfId="45601" hidden="1"/>
    <cellStyle name="나쁨 4" xfId="45643" hidden="1"/>
    <cellStyle name="나쁨 4" xfId="45685" hidden="1"/>
    <cellStyle name="나쁨 4" xfId="45727" hidden="1"/>
    <cellStyle name="나쁨 4" xfId="45769" hidden="1"/>
    <cellStyle name="나쁨 4" xfId="45811" hidden="1"/>
    <cellStyle name="나쁨 4" xfId="45307" hidden="1"/>
    <cellStyle name="나쁨 4" xfId="45991" hidden="1"/>
    <cellStyle name="나쁨 4" xfId="46031" hidden="1"/>
    <cellStyle name="나쁨 4" xfId="46071" hidden="1"/>
    <cellStyle name="나쁨 4" xfId="46111" hidden="1"/>
    <cellStyle name="나쁨 4" xfId="46151" hidden="1"/>
    <cellStyle name="나쁨 4" xfId="46191" hidden="1"/>
    <cellStyle name="나쁨 4" xfId="46231" hidden="1"/>
    <cellStyle name="나쁨 4" xfId="46271" hidden="1"/>
    <cellStyle name="나쁨 4" xfId="46311" hidden="1"/>
    <cellStyle name="나쁨 4" xfId="46351" hidden="1"/>
    <cellStyle name="나쁨 4" xfId="46391" hidden="1"/>
    <cellStyle name="나쁨 4" xfId="46431" hidden="1"/>
    <cellStyle name="나쁨 4" xfId="45921" hidden="1"/>
    <cellStyle name="나쁨 4" xfId="45882" hidden="1"/>
    <cellStyle name="나쁨 4" xfId="46472" hidden="1"/>
    <cellStyle name="나쁨 4" xfId="46514" hidden="1"/>
    <cellStyle name="나쁨 4" xfId="46556" hidden="1"/>
    <cellStyle name="나쁨 4" xfId="46598" hidden="1"/>
    <cellStyle name="나쁨 4" xfId="46640" hidden="1"/>
    <cellStyle name="나쁨 4" xfId="46682" hidden="1"/>
    <cellStyle name="나쁨 4" xfId="46724" hidden="1"/>
    <cellStyle name="나쁨 4" xfId="46766" hidden="1"/>
    <cellStyle name="나쁨 4" xfId="46808" hidden="1"/>
    <cellStyle name="나쁨 4" xfId="46850" hidden="1"/>
    <cellStyle name="나쁨 4" xfId="45975" hidden="1"/>
    <cellStyle name="나쁨 4" xfId="45934" hidden="1"/>
    <cellStyle name="나쁨 4" xfId="46919" hidden="1"/>
    <cellStyle name="나쁨 4" xfId="46959" hidden="1"/>
    <cellStyle name="나쁨 4" xfId="46999" hidden="1"/>
    <cellStyle name="나쁨 4" xfId="47039" hidden="1"/>
    <cellStyle name="나쁨 4" xfId="47079" hidden="1"/>
    <cellStyle name="나쁨 4" xfId="47119" hidden="1"/>
    <cellStyle name="나쁨 4" xfId="47159" hidden="1"/>
    <cellStyle name="나쁨 4" xfId="47199" hidden="1"/>
    <cellStyle name="나쁨 4" xfId="47239" hidden="1"/>
    <cellStyle name="나쁨 4" xfId="47279" hidden="1"/>
    <cellStyle name="나쁨 4" xfId="47319" hidden="1"/>
    <cellStyle name="나쁨 4" xfId="44782" hidden="1"/>
    <cellStyle name="나쁨 4" xfId="47370" hidden="1"/>
    <cellStyle name="나쁨 4" xfId="47410" hidden="1"/>
    <cellStyle name="나쁨 4" xfId="47450" hidden="1"/>
    <cellStyle name="나쁨 4" xfId="47490" hidden="1"/>
    <cellStyle name="나쁨 4" xfId="47530" hidden="1"/>
    <cellStyle name="나쁨 4" xfId="47570" hidden="1"/>
    <cellStyle name="나쁨 4" xfId="47610" hidden="1"/>
    <cellStyle name="나쁨 4" xfId="47650" hidden="1"/>
    <cellStyle name="나쁨 4" xfId="47690" hidden="1"/>
    <cellStyle name="나쁨 4" xfId="47730" hidden="1"/>
    <cellStyle name="나쁨 4" xfId="47770" hidden="1"/>
    <cellStyle name="나쁨 4" xfId="47854" hidden="1"/>
    <cellStyle name="나쁨 4" xfId="47894" hidden="1"/>
    <cellStyle name="나쁨 4" xfId="47936" hidden="1"/>
    <cellStyle name="나쁨 4" xfId="47978" hidden="1"/>
    <cellStyle name="나쁨 4" xfId="48020" hidden="1"/>
    <cellStyle name="나쁨 4" xfId="48062" hidden="1"/>
    <cellStyle name="나쁨 4" xfId="48104" hidden="1"/>
    <cellStyle name="나쁨 4" xfId="48146" hidden="1"/>
    <cellStyle name="나쁨 4" xfId="48188" hidden="1"/>
    <cellStyle name="나쁨 4" xfId="48230" hidden="1"/>
    <cellStyle name="나쁨 4" xfId="48272" hidden="1"/>
    <cellStyle name="나쁨 4" xfId="48314" hidden="1"/>
    <cellStyle name="나쁨 4" xfId="47810" hidden="1"/>
    <cellStyle name="나쁨 4" xfId="48494" hidden="1"/>
    <cellStyle name="나쁨 4" xfId="48534" hidden="1"/>
    <cellStyle name="나쁨 4" xfId="48574" hidden="1"/>
    <cellStyle name="나쁨 4" xfId="48614" hidden="1"/>
    <cellStyle name="나쁨 4" xfId="48654" hidden="1"/>
    <cellStyle name="나쁨 4" xfId="48694" hidden="1"/>
    <cellStyle name="나쁨 4" xfId="48734" hidden="1"/>
    <cellStyle name="나쁨 4" xfId="48774" hidden="1"/>
    <cellStyle name="나쁨 4" xfId="48814" hidden="1"/>
    <cellStyle name="나쁨 4" xfId="48854" hidden="1"/>
    <cellStyle name="나쁨 4" xfId="48894" hidden="1"/>
    <cellStyle name="나쁨 4" xfId="48934" hidden="1"/>
    <cellStyle name="나쁨 4" xfId="48424" hidden="1"/>
    <cellStyle name="나쁨 4" xfId="48385" hidden="1"/>
    <cellStyle name="나쁨 4" xfId="48975" hidden="1"/>
    <cellStyle name="나쁨 4" xfId="49017" hidden="1"/>
    <cellStyle name="나쁨 4" xfId="49059" hidden="1"/>
    <cellStyle name="나쁨 4" xfId="49101" hidden="1"/>
    <cellStyle name="나쁨 4" xfId="49143" hidden="1"/>
    <cellStyle name="나쁨 4" xfId="49185" hidden="1"/>
    <cellStyle name="나쁨 4" xfId="49227" hidden="1"/>
    <cellStyle name="나쁨 4" xfId="49269" hidden="1"/>
    <cellStyle name="나쁨 4" xfId="49311" hidden="1"/>
    <cellStyle name="나쁨 4" xfId="49353" hidden="1"/>
    <cellStyle name="나쁨 4" xfId="48478" hidden="1"/>
    <cellStyle name="나쁨 4" xfId="48437" hidden="1"/>
    <cellStyle name="나쁨 4" xfId="49422" hidden="1"/>
    <cellStyle name="나쁨 4" xfId="49462" hidden="1"/>
    <cellStyle name="나쁨 4" xfId="49502" hidden="1"/>
    <cellStyle name="나쁨 4" xfId="49542" hidden="1"/>
    <cellStyle name="나쁨 4" xfId="49582" hidden="1"/>
    <cellStyle name="나쁨 4" xfId="49622" hidden="1"/>
    <cellStyle name="나쁨 4" xfId="49662" hidden="1"/>
    <cellStyle name="나쁨 4" xfId="49702" hidden="1"/>
    <cellStyle name="나쁨 4" xfId="49742" hidden="1"/>
    <cellStyle name="나쁨 4" xfId="49782" hidden="1"/>
    <cellStyle name="나쁨 4" xfId="49822" hidden="1"/>
    <cellStyle name="나쁨 4" xfId="44793" hidden="1"/>
    <cellStyle name="나쁨 4" xfId="49872" hidden="1"/>
    <cellStyle name="나쁨 4" xfId="49912" hidden="1"/>
    <cellStyle name="나쁨 4" xfId="49952" hidden="1"/>
    <cellStyle name="나쁨 4" xfId="49992" hidden="1"/>
    <cellStyle name="나쁨 4" xfId="50032" hidden="1"/>
    <cellStyle name="나쁨 4" xfId="50072" hidden="1"/>
    <cellStyle name="나쁨 4" xfId="50112" hidden="1"/>
    <cellStyle name="나쁨 4" xfId="50152" hidden="1"/>
    <cellStyle name="나쁨 4" xfId="50192" hidden="1"/>
    <cellStyle name="나쁨 4" xfId="50232" hidden="1"/>
    <cellStyle name="나쁨 4" xfId="50272" hidden="1"/>
    <cellStyle name="나쁨 4" xfId="50356" hidden="1"/>
    <cellStyle name="나쁨 4" xfId="50396" hidden="1"/>
    <cellStyle name="나쁨 4" xfId="50438" hidden="1"/>
    <cellStyle name="나쁨 4" xfId="50480" hidden="1"/>
    <cellStyle name="나쁨 4" xfId="50522" hidden="1"/>
    <cellStyle name="나쁨 4" xfId="50564" hidden="1"/>
    <cellStyle name="나쁨 4" xfId="50606" hidden="1"/>
    <cellStyle name="나쁨 4" xfId="50648" hidden="1"/>
    <cellStyle name="나쁨 4" xfId="50690" hidden="1"/>
    <cellStyle name="나쁨 4" xfId="50732" hidden="1"/>
    <cellStyle name="나쁨 4" xfId="50774" hidden="1"/>
    <cellStyle name="나쁨 4" xfId="50816" hidden="1"/>
    <cellStyle name="나쁨 4" xfId="50312" hidden="1"/>
    <cellStyle name="나쁨 4" xfId="50996" hidden="1"/>
    <cellStyle name="나쁨 4" xfId="51036" hidden="1"/>
    <cellStyle name="나쁨 4" xfId="51076" hidden="1"/>
    <cellStyle name="나쁨 4" xfId="51116" hidden="1"/>
    <cellStyle name="나쁨 4" xfId="51156" hidden="1"/>
    <cellStyle name="나쁨 4" xfId="51196" hidden="1"/>
    <cellStyle name="나쁨 4" xfId="51236" hidden="1"/>
    <cellStyle name="나쁨 4" xfId="51276" hidden="1"/>
    <cellStyle name="나쁨 4" xfId="51316" hidden="1"/>
    <cellStyle name="나쁨 4" xfId="51356" hidden="1"/>
    <cellStyle name="나쁨 4" xfId="51396" hidden="1"/>
    <cellStyle name="나쁨 4" xfId="51436" hidden="1"/>
    <cellStyle name="나쁨 4" xfId="50926" hidden="1"/>
    <cellStyle name="나쁨 4" xfId="50887" hidden="1"/>
    <cellStyle name="나쁨 4" xfId="51477" hidden="1"/>
    <cellStyle name="나쁨 4" xfId="51519" hidden="1"/>
    <cellStyle name="나쁨 4" xfId="51561" hidden="1"/>
    <cellStyle name="나쁨 4" xfId="51603" hidden="1"/>
    <cellStyle name="나쁨 4" xfId="51645" hidden="1"/>
    <cellStyle name="나쁨 4" xfId="51687" hidden="1"/>
    <cellStyle name="나쁨 4" xfId="51729" hidden="1"/>
    <cellStyle name="나쁨 4" xfId="51771" hidden="1"/>
    <cellStyle name="나쁨 4" xfId="51813" hidden="1"/>
    <cellStyle name="나쁨 4" xfId="51855" hidden="1"/>
    <cellStyle name="나쁨 4" xfId="50980" hidden="1"/>
    <cellStyle name="나쁨 4" xfId="50939" hidden="1"/>
    <cellStyle name="나쁨 4" xfId="51924" hidden="1"/>
    <cellStyle name="나쁨 4" xfId="51964" hidden="1"/>
    <cellStyle name="나쁨 4" xfId="52004" hidden="1"/>
    <cellStyle name="나쁨 4" xfId="52044" hidden="1"/>
    <cellStyle name="나쁨 4" xfId="52084" hidden="1"/>
    <cellStyle name="나쁨 4" xfId="52124" hidden="1"/>
    <cellStyle name="나쁨 4" xfId="52164" hidden="1"/>
    <cellStyle name="나쁨 4" xfId="52204" hidden="1"/>
    <cellStyle name="나쁨 4" xfId="52244" hidden="1"/>
    <cellStyle name="나쁨 4" xfId="52284" hidden="1"/>
    <cellStyle name="나쁨 4" xfId="52324" hidden="1"/>
    <cellStyle name="나쁨 4 2" xfId="5701"/>
    <cellStyle name="나쁨 4 3" xfId="5702"/>
    <cellStyle name="나쁨 4 4" xfId="5703"/>
    <cellStyle name="나쁨 4 5" xfId="5704"/>
    <cellStyle name="나쁨 40" xfId="5705"/>
    <cellStyle name="나쁨 41" xfId="5706"/>
    <cellStyle name="나쁨 42" xfId="5707"/>
    <cellStyle name="나쁨 43" xfId="5708"/>
    <cellStyle name="나쁨 44" xfId="5709"/>
    <cellStyle name="나쁨 45" xfId="5710"/>
    <cellStyle name="나쁨 46" xfId="5711"/>
    <cellStyle name="나쁨 47" xfId="5712"/>
    <cellStyle name="나쁨 48" xfId="5713"/>
    <cellStyle name="나쁨 49" xfId="5714"/>
    <cellStyle name="나쁨 5" xfId="5715"/>
    <cellStyle name="나쁨 50" xfId="5716"/>
    <cellStyle name="나쁨 51" xfId="5717"/>
    <cellStyle name="나쁨 52" xfId="5718"/>
    <cellStyle name="나쁨 6" xfId="5719"/>
    <cellStyle name="나쁨 7" xfId="5720"/>
    <cellStyle name="나쁨 8" xfId="5721"/>
    <cellStyle name="나쁨 9" xfId="5722"/>
    <cellStyle name="메모 10" xfId="5723"/>
    <cellStyle name="메모 11" xfId="5724"/>
    <cellStyle name="메모 12" xfId="5725"/>
    <cellStyle name="메모 13" xfId="5726"/>
    <cellStyle name="메모 14" xfId="5727"/>
    <cellStyle name="메모 15" xfId="5728"/>
    <cellStyle name="메모 16" xfId="5729"/>
    <cellStyle name="메모 17" xfId="5730"/>
    <cellStyle name="메모 18" xfId="5731"/>
    <cellStyle name="메모 19" xfId="5732"/>
    <cellStyle name="메모 2" xfId="364"/>
    <cellStyle name="메모 2 10" xfId="5733"/>
    <cellStyle name="메모 2 100" xfId="5734"/>
    <cellStyle name="메모 2 101" xfId="5735"/>
    <cellStyle name="메모 2 102" xfId="5736"/>
    <cellStyle name="메모 2 102 2" xfId="5737"/>
    <cellStyle name="메모 2 103" xfId="5738"/>
    <cellStyle name="메모 2 104" xfId="5739"/>
    <cellStyle name="메모 2 105" xfId="5740"/>
    <cellStyle name="메모 2 106" xfId="5741"/>
    <cellStyle name="메모 2 107" xfId="5742"/>
    <cellStyle name="메모 2 108" xfId="5743"/>
    <cellStyle name="메모 2 109" xfId="5744"/>
    <cellStyle name="메모 2 11" xfId="5745"/>
    <cellStyle name="메모 2 110" xfId="5746"/>
    <cellStyle name="메모 2 111" xfId="5747"/>
    <cellStyle name="메모 2 112" xfId="5748"/>
    <cellStyle name="메모 2 113" xfId="5749"/>
    <cellStyle name="메모 2 114" xfId="5750"/>
    <cellStyle name="메모 2 115" xfId="5751"/>
    <cellStyle name="메모 2 116" xfId="5752"/>
    <cellStyle name="메모 2 117" xfId="5753"/>
    <cellStyle name="메모 2 118" xfId="5754"/>
    <cellStyle name="메모 2 119" xfId="5755"/>
    <cellStyle name="메모 2 12" xfId="5756"/>
    <cellStyle name="메모 2 120" xfId="5757"/>
    <cellStyle name="메모 2 121" xfId="5758"/>
    <cellStyle name="메모 2 122" xfId="5759"/>
    <cellStyle name="메모 2 123" xfId="5760"/>
    <cellStyle name="메모 2 124" xfId="5761"/>
    <cellStyle name="메모 2 13" xfId="5762"/>
    <cellStyle name="메모 2 14" xfId="5763"/>
    <cellStyle name="메모 2 15" xfId="5764"/>
    <cellStyle name="메모 2 16" xfId="5765"/>
    <cellStyle name="메모 2 17" xfId="5766"/>
    <cellStyle name="메모 2 18" xfId="5767"/>
    <cellStyle name="메모 2 19" xfId="5768"/>
    <cellStyle name="메모 2 2" xfId="5769"/>
    <cellStyle name="메모 2 2 2" xfId="5770"/>
    <cellStyle name="메모 2 2 3" xfId="5771"/>
    <cellStyle name="메모 2 2 4" xfId="5772"/>
    <cellStyle name="메모 2 2 5" xfId="5773"/>
    <cellStyle name="메모 2 20" xfId="5774"/>
    <cellStyle name="메모 2 21" xfId="5775"/>
    <cellStyle name="메모 2 22" xfId="5776"/>
    <cellStyle name="메모 2 23" xfId="5777"/>
    <cellStyle name="메모 2 24" xfId="5778"/>
    <cellStyle name="메모 2 25" xfId="5779"/>
    <cellStyle name="메모 2 26" xfId="5780"/>
    <cellStyle name="메모 2 27" xfId="5781"/>
    <cellStyle name="메모 2 28" xfId="5782"/>
    <cellStyle name="메모 2 29" xfId="5783"/>
    <cellStyle name="메모 2 3" xfId="5784"/>
    <cellStyle name="메모 2 30" xfId="5785"/>
    <cellStyle name="메모 2 31" xfId="5786"/>
    <cellStyle name="메모 2 32" xfId="5787"/>
    <cellStyle name="메모 2 33" xfId="5788"/>
    <cellStyle name="메모 2 34" xfId="5789"/>
    <cellStyle name="메모 2 35" xfId="5790"/>
    <cellStyle name="메모 2 36" xfId="5791"/>
    <cellStyle name="메모 2 37" xfId="5792"/>
    <cellStyle name="메모 2 38" xfId="5793"/>
    <cellStyle name="메모 2 39" xfId="5794"/>
    <cellStyle name="메모 2 4" xfId="5795"/>
    <cellStyle name="메모 2 40" xfId="5796"/>
    <cellStyle name="메모 2 41" xfId="5797"/>
    <cellStyle name="메모 2 42" xfId="5798"/>
    <cellStyle name="메모 2 43" xfId="5799"/>
    <cellStyle name="메모 2 44" xfId="5800"/>
    <cellStyle name="메모 2 45" xfId="5801"/>
    <cellStyle name="메모 2 46" xfId="5802"/>
    <cellStyle name="메모 2 47" xfId="5803"/>
    <cellStyle name="메모 2 48" xfId="5804"/>
    <cellStyle name="메모 2 49" xfId="5805"/>
    <cellStyle name="메모 2 5" xfId="5806"/>
    <cellStyle name="메모 2 50" xfId="5807"/>
    <cellStyle name="메모 2 51" xfId="5808"/>
    <cellStyle name="메모 2 52" xfId="5809"/>
    <cellStyle name="메모 2 53" xfId="5810"/>
    <cellStyle name="메모 2 54" xfId="5811"/>
    <cellStyle name="메모 2 55" xfId="5812"/>
    <cellStyle name="메모 2 56" xfId="5813"/>
    <cellStyle name="메모 2 57" xfId="5814"/>
    <cellStyle name="메모 2 58" xfId="5815"/>
    <cellStyle name="메모 2 59" xfId="5816"/>
    <cellStyle name="메모 2 6" xfId="5817"/>
    <cellStyle name="메모 2 60" xfId="5818"/>
    <cellStyle name="메모 2 61" xfId="5819"/>
    <cellStyle name="메모 2 62" xfId="5820"/>
    <cellStyle name="메모 2 63" xfId="5821"/>
    <cellStyle name="메모 2 64" xfId="5822"/>
    <cellStyle name="메모 2 65" xfId="5823"/>
    <cellStyle name="메모 2 66" xfId="5824"/>
    <cellStyle name="메모 2 67" xfId="5825"/>
    <cellStyle name="메모 2 68" xfId="5826"/>
    <cellStyle name="메모 2 69" xfId="5827"/>
    <cellStyle name="메모 2 7" xfId="5828"/>
    <cellStyle name="메모 2 70" xfId="5829"/>
    <cellStyle name="메모 2 71" xfId="5830"/>
    <cellStyle name="메모 2 72" xfId="5831"/>
    <cellStyle name="메모 2 73" xfId="5832"/>
    <cellStyle name="메모 2 74" xfId="5833"/>
    <cellStyle name="메모 2 75" xfId="5834"/>
    <cellStyle name="메모 2 76" xfId="5835"/>
    <cellStyle name="메모 2 77" xfId="5836"/>
    <cellStyle name="메모 2 78" xfId="5837"/>
    <cellStyle name="메모 2 79" xfId="5838"/>
    <cellStyle name="메모 2 8" xfId="5839"/>
    <cellStyle name="메모 2 80" xfId="5840"/>
    <cellStyle name="메모 2 81" xfId="5841"/>
    <cellStyle name="메모 2 82" xfId="5842"/>
    <cellStyle name="메모 2 83" xfId="5843"/>
    <cellStyle name="메모 2 84" xfId="5844"/>
    <cellStyle name="메모 2 85" xfId="5845"/>
    <cellStyle name="메모 2 86" xfId="5846"/>
    <cellStyle name="메모 2 87" xfId="5847"/>
    <cellStyle name="메모 2 88" xfId="5848"/>
    <cellStyle name="메모 2 89" xfId="5849"/>
    <cellStyle name="메모 2 9" xfId="5850"/>
    <cellStyle name="메모 2 90" xfId="5851"/>
    <cellStyle name="메모 2 91" xfId="5852"/>
    <cellStyle name="메모 2 92" xfId="5853"/>
    <cellStyle name="메모 2 93" xfId="5854"/>
    <cellStyle name="메모 2 94" xfId="5855"/>
    <cellStyle name="메모 2 95" xfId="5856"/>
    <cellStyle name="메모 2 96" xfId="5857"/>
    <cellStyle name="메모 2 97" xfId="5858"/>
    <cellStyle name="메모 2 98" xfId="5859"/>
    <cellStyle name="메모 2 99" xfId="5860"/>
    <cellStyle name="메모 20" xfId="5861"/>
    <cellStyle name="메모 21" xfId="5862"/>
    <cellStyle name="메모 22" xfId="5863"/>
    <cellStyle name="메모 23" xfId="5864"/>
    <cellStyle name="메모 24" xfId="5865"/>
    <cellStyle name="메모 25" xfId="5866"/>
    <cellStyle name="메모 26" xfId="5867"/>
    <cellStyle name="메모 27" xfId="5868"/>
    <cellStyle name="메모 28" xfId="5869"/>
    <cellStyle name="메모 29" xfId="5870"/>
    <cellStyle name="메모 3" xfId="365"/>
    <cellStyle name="메모 3 10" xfId="5871"/>
    <cellStyle name="메모 3 11" xfId="5872"/>
    <cellStyle name="메모 3 2" xfId="5873"/>
    <cellStyle name="메모 3 2 2" xfId="5874"/>
    <cellStyle name="메모 3 2 3" xfId="5875"/>
    <cellStyle name="메모 3 2 4" xfId="5876"/>
    <cellStyle name="메모 3 2 5" xfId="5877"/>
    <cellStyle name="메모 3 3" xfId="5878"/>
    <cellStyle name="메모 3 4" xfId="5879"/>
    <cellStyle name="메모 3 5" xfId="5880"/>
    <cellStyle name="메모 3 6" xfId="5881"/>
    <cellStyle name="메모 3 7" xfId="5882"/>
    <cellStyle name="메모 3 8" xfId="5883"/>
    <cellStyle name="메모 3 9" xfId="5884"/>
    <cellStyle name="메모 30" xfId="5885"/>
    <cellStyle name="메모 31" xfId="5886"/>
    <cellStyle name="메모 32" xfId="5887"/>
    <cellStyle name="메모 33" xfId="5888"/>
    <cellStyle name="메모 34" xfId="5889"/>
    <cellStyle name="메모 35" xfId="5890"/>
    <cellStyle name="메모 36" xfId="5891"/>
    <cellStyle name="메모 37" xfId="5892"/>
    <cellStyle name="메모 38" xfId="5893"/>
    <cellStyle name="메모 39" xfId="5894"/>
    <cellStyle name="메모 4" xfId="12272" hidden="1"/>
    <cellStyle name="메모 4" xfId="12928" hidden="1"/>
    <cellStyle name="메모 4" xfId="14875" hidden="1"/>
    <cellStyle name="메모 4" xfId="15527" hidden="1"/>
    <cellStyle name="메모 4" xfId="17379" hidden="1"/>
    <cellStyle name="메모 4" xfId="18031" hidden="1"/>
    <cellStyle name="메모 4" xfId="19881" hidden="1"/>
    <cellStyle name="메모 4" xfId="20533" hidden="1"/>
    <cellStyle name="메모 4" xfId="22441" hidden="1"/>
    <cellStyle name="메모 4" xfId="23093" hidden="1"/>
    <cellStyle name="메모 4" xfId="25034" hidden="1"/>
    <cellStyle name="메모 4" xfId="25686" hidden="1"/>
    <cellStyle name="메모 4" xfId="27537" hidden="1"/>
    <cellStyle name="메모 4" xfId="28189" hidden="1"/>
    <cellStyle name="메모 4" xfId="30039" hidden="1"/>
    <cellStyle name="메모 4" xfId="30691" hidden="1"/>
    <cellStyle name="메모 4" xfId="32594" hidden="1"/>
    <cellStyle name="메모 4" xfId="33246" hidden="1"/>
    <cellStyle name="메모 4" xfId="35183" hidden="1"/>
    <cellStyle name="메모 4" xfId="35835" hidden="1"/>
    <cellStyle name="메모 4" xfId="37687" hidden="1"/>
    <cellStyle name="메모 4" xfId="38339" hidden="1"/>
    <cellStyle name="메모 4" xfId="40189" hidden="1"/>
    <cellStyle name="메모 4" xfId="40841" hidden="1"/>
    <cellStyle name="메모 4" xfId="42724" hidden="1"/>
    <cellStyle name="메모 4" xfId="43376" hidden="1"/>
    <cellStyle name="메모 4" xfId="45315" hidden="1"/>
    <cellStyle name="메모 4" xfId="45967" hidden="1"/>
    <cellStyle name="메모 4" xfId="47818" hidden="1"/>
    <cellStyle name="메모 4" xfId="48470" hidden="1"/>
    <cellStyle name="메모 4" xfId="50320" hidden="1"/>
    <cellStyle name="메모 4" xfId="50972" hidden="1"/>
    <cellStyle name="메모 4 2" xfId="5895"/>
    <cellStyle name="메모 4 3" xfId="5896"/>
    <cellStyle name="메모 4 4" xfId="5897"/>
    <cellStyle name="메모 4 5" xfId="5898"/>
    <cellStyle name="메모 40" xfId="5899"/>
    <cellStyle name="메모 41" xfId="5900"/>
    <cellStyle name="메모 42" xfId="5901"/>
    <cellStyle name="메모 43" xfId="5902"/>
    <cellStyle name="메모 44" xfId="5903"/>
    <cellStyle name="메모 45" xfId="5904"/>
    <cellStyle name="메모 46" xfId="5905"/>
    <cellStyle name="메모 47" xfId="5906"/>
    <cellStyle name="메모 48" xfId="5907"/>
    <cellStyle name="메모 49" xfId="5908"/>
    <cellStyle name="메모 5" xfId="5909"/>
    <cellStyle name="메모 50" xfId="5910"/>
    <cellStyle name="메모 51" xfId="5911"/>
    <cellStyle name="메모 52" xfId="5912"/>
    <cellStyle name="메모 53" xfId="5913"/>
    <cellStyle name="메모 54" xfId="5914"/>
    <cellStyle name="메모 55" xfId="5915"/>
    <cellStyle name="메모 56" xfId="5916"/>
    <cellStyle name="메모 57" xfId="5917"/>
    <cellStyle name="메모 58" xfId="5918"/>
    <cellStyle name="메모 59" xfId="5919"/>
    <cellStyle name="메모 6" xfId="5920"/>
    <cellStyle name="메모 60" xfId="5921"/>
    <cellStyle name="메모 61" xfId="5922"/>
    <cellStyle name="메모 62" xfId="5923"/>
    <cellStyle name="메모 63" xfId="5924"/>
    <cellStyle name="메모 64" xfId="5925"/>
    <cellStyle name="메모 65" xfId="12303" hidden="1"/>
    <cellStyle name="메모 65" xfId="12888" hidden="1"/>
    <cellStyle name="메모 65" xfId="14904" hidden="1"/>
    <cellStyle name="메모 65" xfId="15488" hidden="1"/>
    <cellStyle name="메모 65" xfId="17408" hidden="1"/>
    <cellStyle name="메모 65" xfId="17992" hidden="1"/>
    <cellStyle name="메모 65" xfId="19910" hidden="1"/>
    <cellStyle name="메모 65" xfId="20494" hidden="1"/>
    <cellStyle name="메모 65" xfId="22470" hidden="1"/>
    <cellStyle name="메모 65" xfId="23054" hidden="1"/>
    <cellStyle name="메모 65" xfId="25063" hidden="1"/>
    <cellStyle name="메모 65" xfId="25647" hidden="1"/>
    <cellStyle name="메모 65" xfId="27566" hidden="1"/>
    <cellStyle name="메모 65" xfId="28150" hidden="1"/>
    <cellStyle name="메모 65" xfId="30068" hidden="1"/>
    <cellStyle name="메모 65" xfId="30652" hidden="1"/>
    <cellStyle name="메모 65" xfId="32623" hidden="1"/>
    <cellStyle name="메모 65" xfId="33207" hidden="1"/>
    <cellStyle name="메모 65" xfId="35212" hidden="1"/>
    <cellStyle name="메모 65" xfId="35796" hidden="1"/>
    <cellStyle name="메모 65" xfId="37716" hidden="1"/>
    <cellStyle name="메모 65" xfId="38300" hidden="1"/>
    <cellStyle name="메모 65" xfId="40218" hidden="1"/>
    <cellStyle name="메모 65" xfId="40802" hidden="1"/>
    <cellStyle name="메모 65" xfId="42753" hidden="1"/>
    <cellStyle name="메모 65" xfId="43337" hidden="1"/>
    <cellStyle name="메모 65" xfId="45344" hidden="1"/>
    <cellStyle name="메모 65" xfId="45928" hidden="1"/>
    <cellStyle name="메모 65" xfId="47847" hidden="1"/>
    <cellStyle name="메모 65" xfId="48431" hidden="1"/>
    <cellStyle name="메모 65" xfId="50349" hidden="1"/>
    <cellStyle name="메모 65" xfId="50933" hidden="1"/>
    <cellStyle name="메모 66" xfId="12358" hidden="1"/>
    <cellStyle name="메모 66" xfId="12834" hidden="1"/>
    <cellStyle name="메모 66" xfId="14959" hidden="1"/>
    <cellStyle name="메모 66" xfId="15434" hidden="1"/>
    <cellStyle name="메모 66" xfId="17463" hidden="1"/>
    <cellStyle name="메모 66" xfId="17938" hidden="1"/>
    <cellStyle name="메모 66" xfId="19965" hidden="1"/>
    <cellStyle name="메모 66" xfId="20440" hidden="1"/>
    <cellStyle name="메모 66" xfId="22525" hidden="1"/>
    <cellStyle name="메모 66" xfId="23000" hidden="1"/>
    <cellStyle name="메모 66" xfId="25118" hidden="1"/>
    <cellStyle name="메모 66" xfId="25593" hidden="1"/>
    <cellStyle name="메모 66" xfId="27621" hidden="1"/>
    <cellStyle name="메모 66" xfId="28096" hidden="1"/>
    <cellStyle name="메모 66" xfId="30123" hidden="1"/>
    <cellStyle name="메모 66" xfId="30598" hidden="1"/>
    <cellStyle name="메모 66" xfId="32678" hidden="1"/>
    <cellStyle name="메모 66" xfId="33153" hidden="1"/>
    <cellStyle name="메모 66" xfId="35267" hidden="1"/>
    <cellStyle name="메모 66" xfId="35742" hidden="1"/>
    <cellStyle name="메모 66" xfId="37771" hidden="1"/>
    <cellStyle name="메모 66" xfId="38246" hidden="1"/>
    <cellStyle name="메모 66" xfId="40273" hidden="1"/>
    <cellStyle name="메모 66" xfId="40748" hidden="1"/>
    <cellStyle name="메모 66" xfId="42808" hidden="1"/>
    <cellStyle name="메모 66" xfId="43283" hidden="1"/>
    <cellStyle name="메모 66" xfId="45399" hidden="1"/>
    <cellStyle name="메모 66" xfId="45874" hidden="1"/>
    <cellStyle name="메모 66" xfId="47902" hidden="1"/>
    <cellStyle name="메모 66" xfId="48377" hidden="1"/>
    <cellStyle name="메모 66" xfId="50404" hidden="1"/>
    <cellStyle name="메모 66" xfId="50879" hidden="1"/>
    <cellStyle name="메모 67" xfId="12400" hidden="1"/>
    <cellStyle name="메모 67" xfId="13442" hidden="1"/>
    <cellStyle name="메모 67" xfId="15001" hidden="1"/>
    <cellStyle name="메모 67" xfId="16040" hidden="1"/>
    <cellStyle name="메모 67" xfId="17505" hidden="1"/>
    <cellStyle name="메모 67" xfId="18544" hidden="1"/>
    <cellStyle name="메모 67" xfId="20007" hidden="1"/>
    <cellStyle name="메모 67" xfId="21046" hidden="1"/>
    <cellStyle name="메모 67" xfId="22567" hidden="1"/>
    <cellStyle name="메모 67" xfId="23606" hidden="1"/>
    <cellStyle name="메모 67" xfId="25160" hidden="1"/>
    <cellStyle name="메모 67" xfId="26199" hidden="1"/>
    <cellStyle name="메모 67" xfId="27663" hidden="1"/>
    <cellStyle name="메모 67" xfId="28702" hidden="1"/>
    <cellStyle name="메모 67" xfId="30165" hidden="1"/>
    <cellStyle name="메모 67" xfId="31204" hidden="1"/>
    <cellStyle name="메모 67" xfId="32720" hidden="1"/>
    <cellStyle name="메모 67" xfId="33759" hidden="1"/>
    <cellStyle name="메모 67" xfId="35309" hidden="1"/>
    <cellStyle name="메모 67" xfId="36348" hidden="1"/>
    <cellStyle name="메모 67" xfId="37813" hidden="1"/>
    <cellStyle name="메모 67" xfId="38852" hidden="1"/>
    <cellStyle name="메모 67" xfId="40315" hidden="1"/>
    <cellStyle name="메모 67" xfId="41354" hidden="1"/>
    <cellStyle name="메모 67" xfId="42850" hidden="1"/>
    <cellStyle name="메모 67" xfId="43889" hidden="1"/>
    <cellStyle name="메모 67" xfId="45441" hidden="1"/>
    <cellStyle name="메모 67" xfId="46480" hidden="1"/>
    <cellStyle name="메모 67" xfId="47944" hidden="1"/>
    <cellStyle name="메모 67" xfId="48983" hidden="1"/>
    <cellStyle name="메모 67" xfId="50446" hidden="1"/>
    <cellStyle name="메모 67" xfId="51485" hidden="1"/>
    <cellStyle name="메모 68" xfId="12442" hidden="1"/>
    <cellStyle name="메모 68" xfId="13484" hidden="1"/>
    <cellStyle name="메모 68" xfId="15043" hidden="1"/>
    <cellStyle name="메모 68" xfId="16082" hidden="1"/>
    <cellStyle name="메모 68" xfId="17547" hidden="1"/>
    <cellStyle name="메모 68" xfId="18586" hidden="1"/>
    <cellStyle name="메모 68" xfId="20049" hidden="1"/>
    <cellStyle name="메모 68" xfId="21088" hidden="1"/>
    <cellStyle name="메모 68" xfId="22609" hidden="1"/>
    <cellStyle name="메모 68" xfId="23648" hidden="1"/>
    <cellStyle name="메모 68" xfId="25202" hidden="1"/>
    <cellStyle name="메모 68" xfId="26241" hidden="1"/>
    <cellStyle name="메모 68" xfId="27705" hidden="1"/>
    <cellStyle name="메모 68" xfId="28744" hidden="1"/>
    <cellStyle name="메모 68" xfId="30207" hidden="1"/>
    <cellStyle name="메모 68" xfId="31246" hidden="1"/>
    <cellStyle name="메모 68" xfId="32762" hidden="1"/>
    <cellStyle name="메모 68" xfId="33801" hidden="1"/>
    <cellStyle name="메모 68" xfId="35351" hidden="1"/>
    <cellStyle name="메모 68" xfId="36390" hidden="1"/>
    <cellStyle name="메모 68" xfId="37855" hidden="1"/>
    <cellStyle name="메모 68" xfId="38894" hidden="1"/>
    <cellStyle name="메모 68" xfId="40357" hidden="1"/>
    <cellStyle name="메모 68" xfId="41396" hidden="1"/>
    <cellStyle name="메모 68" xfId="42892" hidden="1"/>
    <cellStyle name="메모 68" xfId="43931" hidden="1"/>
    <cellStyle name="메모 68" xfId="45483" hidden="1"/>
    <cellStyle name="메모 68" xfId="46522" hidden="1"/>
    <cellStyle name="메모 68" xfId="47986" hidden="1"/>
    <cellStyle name="메모 68" xfId="49025" hidden="1"/>
    <cellStyle name="메모 68" xfId="50488" hidden="1"/>
    <cellStyle name="메모 68" xfId="51527" hidden="1"/>
    <cellStyle name="메모 69" xfId="12484" hidden="1"/>
    <cellStyle name="메모 69" xfId="13526" hidden="1"/>
    <cellStyle name="메모 69" xfId="15085" hidden="1"/>
    <cellStyle name="메모 69" xfId="16124" hidden="1"/>
    <cellStyle name="메모 69" xfId="17589" hidden="1"/>
    <cellStyle name="메모 69" xfId="18628" hidden="1"/>
    <cellStyle name="메모 69" xfId="20091" hidden="1"/>
    <cellStyle name="메모 69" xfId="21130" hidden="1"/>
    <cellStyle name="메모 69" xfId="22651" hidden="1"/>
    <cellStyle name="메모 69" xfId="23690" hidden="1"/>
    <cellStyle name="메모 69" xfId="25244" hidden="1"/>
    <cellStyle name="메모 69" xfId="26283" hidden="1"/>
    <cellStyle name="메모 69" xfId="27747" hidden="1"/>
    <cellStyle name="메모 69" xfId="28786" hidden="1"/>
    <cellStyle name="메모 69" xfId="30249" hidden="1"/>
    <cellStyle name="메모 69" xfId="31288" hidden="1"/>
    <cellStyle name="메모 69" xfId="32804" hidden="1"/>
    <cellStyle name="메모 69" xfId="33843" hidden="1"/>
    <cellStyle name="메모 69" xfId="35393" hidden="1"/>
    <cellStyle name="메모 69" xfId="36432" hidden="1"/>
    <cellStyle name="메모 69" xfId="37897" hidden="1"/>
    <cellStyle name="메모 69" xfId="38936" hidden="1"/>
    <cellStyle name="메모 69" xfId="40399" hidden="1"/>
    <cellStyle name="메모 69" xfId="41438" hidden="1"/>
    <cellStyle name="메모 69" xfId="42934" hidden="1"/>
    <cellStyle name="메모 69" xfId="43973" hidden="1"/>
    <cellStyle name="메모 69" xfId="45525" hidden="1"/>
    <cellStyle name="메모 69" xfId="46564" hidden="1"/>
    <cellStyle name="메모 69" xfId="48028" hidden="1"/>
    <cellStyle name="메모 69" xfId="49067" hidden="1"/>
    <cellStyle name="메모 69" xfId="50530" hidden="1"/>
    <cellStyle name="메모 69" xfId="51569" hidden="1"/>
    <cellStyle name="메모 7" xfId="5926"/>
    <cellStyle name="메모 70" xfId="12526" hidden="1"/>
    <cellStyle name="메모 70" xfId="13568" hidden="1"/>
    <cellStyle name="메모 70" xfId="15127" hidden="1"/>
    <cellStyle name="메모 70" xfId="16166" hidden="1"/>
    <cellStyle name="메모 70" xfId="17631" hidden="1"/>
    <cellStyle name="메모 70" xfId="18670" hidden="1"/>
    <cellStyle name="메모 70" xfId="20133" hidden="1"/>
    <cellStyle name="메모 70" xfId="21172" hidden="1"/>
    <cellStyle name="메모 70" xfId="22693" hidden="1"/>
    <cellStyle name="메모 70" xfId="23732" hidden="1"/>
    <cellStyle name="메모 70" xfId="25286" hidden="1"/>
    <cellStyle name="메모 70" xfId="26325" hidden="1"/>
    <cellStyle name="메모 70" xfId="27789" hidden="1"/>
    <cellStyle name="메모 70" xfId="28828" hidden="1"/>
    <cellStyle name="메모 70" xfId="30291" hidden="1"/>
    <cellStyle name="메모 70" xfId="31330" hidden="1"/>
    <cellStyle name="메모 70" xfId="32846" hidden="1"/>
    <cellStyle name="메모 70" xfId="33885" hidden="1"/>
    <cellStyle name="메모 70" xfId="35435" hidden="1"/>
    <cellStyle name="메모 70" xfId="36474" hidden="1"/>
    <cellStyle name="메모 70" xfId="37939" hidden="1"/>
    <cellStyle name="메모 70" xfId="38978" hidden="1"/>
    <cellStyle name="메모 70" xfId="40441" hidden="1"/>
    <cellStyle name="메모 70" xfId="41480" hidden="1"/>
    <cellStyle name="메모 70" xfId="42976" hidden="1"/>
    <cellStyle name="메모 70" xfId="44015" hidden="1"/>
    <cellStyle name="메모 70" xfId="45567" hidden="1"/>
    <cellStyle name="메모 70" xfId="46606" hidden="1"/>
    <cellStyle name="메모 70" xfId="48070" hidden="1"/>
    <cellStyle name="메모 70" xfId="49109" hidden="1"/>
    <cellStyle name="메모 70" xfId="50572" hidden="1"/>
    <cellStyle name="메모 70" xfId="51611" hidden="1"/>
    <cellStyle name="메모 71" xfId="12568" hidden="1"/>
    <cellStyle name="메모 71" xfId="13610" hidden="1"/>
    <cellStyle name="메모 71" xfId="15169" hidden="1"/>
    <cellStyle name="메모 71" xfId="16208" hidden="1"/>
    <cellStyle name="메모 71" xfId="17673" hidden="1"/>
    <cellStyle name="메모 71" xfId="18712" hidden="1"/>
    <cellStyle name="메모 71" xfId="20175" hidden="1"/>
    <cellStyle name="메모 71" xfId="21214" hidden="1"/>
    <cellStyle name="메모 71" xfId="22735" hidden="1"/>
    <cellStyle name="메모 71" xfId="23774" hidden="1"/>
    <cellStyle name="메모 71" xfId="25328" hidden="1"/>
    <cellStyle name="메모 71" xfId="26367" hidden="1"/>
    <cellStyle name="메모 71" xfId="27831" hidden="1"/>
    <cellStyle name="메모 71" xfId="28870" hidden="1"/>
    <cellStyle name="메모 71" xfId="30333" hidden="1"/>
    <cellStyle name="메모 71" xfId="31372" hidden="1"/>
    <cellStyle name="메모 71" xfId="32888" hidden="1"/>
    <cellStyle name="메모 71" xfId="33927" hidden="1"/>
    <cellStyle name="메모 71" xfId="35477" hidden="1"/>
    <cellStyle name="메모 71" xfId="36516" hidden="1"/>
    <cellStyle name="메모 71" xfId="37981" hidden="1"/>
    <cellStyle name="메모 71" xfId="39020" hidden="1"/>
    <cellStyle name="메모 71" xfId="40483" hidden="1"/>
    <cellStyle name="메모 71" xfId="41522" hidden="1"/>
    <cellStyle name="메모 71" xfId="43018" hidden="1"/>
    <cellStyle name="메모 71" xfId="44057" hidden="1"/>
    <cellStyle name="메모 71" xfId="45609" hidden="1"/>
    <cellStyle name="메모 71" xfId="46648" hidden="1"/>
    <cellStyle name="메모 71" xfId="48112" hidden="1"/>
    <cellStyle name="메모 71" xfId="49151" hidden="1"/>
    <cellStyle name="메모 71" xfId="50614" hidden="1"/>
    <cellStyle name="메모 71" xfId="51653" hidden="1"/>
    <cellStyle name="메모 72" xfId="12610" hidden="1"/>
    <cellStyle name="메모 72" xfId="13652" hidden="1"/>
    <cellStyle name="메모 72" xfId="15211" hidden="1"/>
    <cellStyle name="메모 72" xfId="16250" hidden="1"/>
    <cellStyle name="메모 72" xfId="17715" hidden="1"/>
    <cellStyle name="메모 72" xfId="18754" hidden="1"/>
    <cellStyle name="메모 72" xfId="20217" hidden="1"/>
    <cellStyle name="메모 72" xfId="21256" hidden="1"/>
    <cellStyle name="메모 72" xfId="22777" hidden="1"/>
    <cellStyle name="메모 72" xfId="23816" hidden="1"/>
    <cellStyle name="메모 72" xfId="25370" hidden="1"/>
    <cellStyle name="메모 72" xfId="26409" hidden="1"/>
    <cellStyle name="메모 72" xfId="27873" hidden="1"/>
    <cellStyle name="메모 72" xfId="28912" hidden="1"/>
    <cellStyle name="메모 72" xfId="30375" hidden="1"/>
    <cellStyle name="메모 72" xfId="31414" hidden="1"/>
    <cellStyle name="메모 72" xfId="32930" hidden="1"/>
    <cellStyle name="메모 72" xfId="33969" hidden="1"/>
    <cellStyle name="메모 72" xfId="35519" hidden="1"/>
    <cellStyle name="메모 72" xfId="36558" hidden="1"/>
    <cellStyle name="메모 72" xfId="38023" hidden="1"/>
    <cellStyle name="메모 72" xfId="39062" hidden="1"/>
    <cellStyle name="메모 72" xfId="40525" hidden="1"/>
    <cellStyle name="메모 72" xfId="41564" hidden="1"/>
    <cellStyle name="메모 72" xfId="43060" hidden="1"/>
    <cellStyle name="메모 72" xfId="44099" hidden="1"/>
    <cellStyle name="메모 72" xfId="45651" hidden="1"/>
    <cellStyle name="메모 72" xfId="46690" hidden="1"/>
    <cellStyle name="메모 72" xfId="48154" hidden="1"/>
    <cellStyle name="메모 72" xfId="49193" hidden="1"/>
    <cellStyle name="메모 72" xfId="50656" hidden="1"/>
    <cellStyle name="메모 72" xfId="51695" hidden="1"/>
    <cellStyle name="메모 73" xfId="12652" hidden="1"/>
    <cellStyle name="메모 73" xfId="13694" hidden="1"/>
    <cellStyle name="메모 73" xfId="15253" hidden="1"/>
    <cellStyle name="메모 73" xfId="16292" hidden="1"/>
    <cellStyle name="메모 73" xfId="17757" hidden="1"/>
    <cellStyle name="메모 73" xfId="18796" hidden="1"/>
    <cellStyle name="메모 73" xfId="20259" hidden="1"/>
    <cellStyle name="메모 73" xfId="21298" hidden="1"/>
    <cellStyle name="메모 73" xfId="22819" hidden="1"/>
    <cellStyle name="메모 73" xfId="23858" hidden="1"/>
    <cellStyle name="메모 73" xfId="25412" hidden="1"/>
    <cellStyle name="메모 73" xfId="26451" hidden="1"/>
    <cellStyle name="메모 73" xfId="27915" hidden="1"/>
    <cellStyle name="메모 73" xfId="28954" hidden="1"/>
    <cellStyle name="메모 73" xfId="30417" hidden="1"/>
    <cellStyle name="메모 73" xfId="31456" hidden="1"/>
    <cellStyle name="메모 73" xfId="32972" hidden="1"/>
    <cellStyle name="메모 73" xfId="34011" hidden="1"/>
    <cellStyle name="메모 73" xfId="35561" hidden="1"/>
    <cellStyle name="메모 73" xfId="36600" hidden="1"/>
    <cellStyle name="메모 73" xfId="38065" hidden="1"/>
    <cellStyle name="메모 73" xfId="39104" hidden="1"/>
    <cellStyle name="메모 73" xfId="40567" hidden="1"/>
    <cellStyle name="메모 73" xfId="41606" hidden="1"/>
    <cellStyle name="메모 73" xfId="43102" hidden="1"/>
    <cellStyle name="메모 73" xfId="44141" hidden="1"/>
    <cellStyle name="메모 73" xfId="45693" hidden="1"/>
    <cellStyle name="메모 73" xfId="46732" hidden="1"/>
    <cellStyle name="메모 73" xfId="48196" hidden="1"/>
    <cellStyle name="메모 73" xfId="49235" hidden="1"/>
    <cellStyle name="메모 73" xfId="50698" hidden="1"/>
    <cellStyle name="메모 73" xfId="51737" hidden="1"/>
    <cellStyle name="메모 74" xfId="12694" hidden="1"/>
    <cellStyle name="메모 74" xfId="13736" hidden="1"/>
    <cellStyle name="메모 74" xfId="15295" hidden="1"/>
    <cellStyle name="메모 74" xfId="16334" hidden="1"/>
    <cellStyle name="메모 74" xfId="17799" hidden="1"/>
    <cellStyle name="메모 74" xfId="18838" hidden="1"/>
    <cellStyle name="메모 74" xfId="20301" hidden="1"/>
    <cellStyle name="메모 74" xfId="21340" hidden="1"/>
    <cellStyle name="메모 74" xfId="22861" hidden="1"/>
    <cellStyle name="메모 74" xfId="23900" hidden="1"/>
    <cellStyle name="메모 74" xfId="25454" hidden="1"/>
    <cellStyle name="메모 74" xfId="26493" hidden="1"/>
    <cellStyle name="메모 74" xfId="27957" hidden="1"/>
    <cellStyle name="메모 74" xfId="28996" hidden="1"/>
    <cellStyle name="메모 74" xfId="30459" hidden="1"/>
    <cellStyle name="메모 74" xfId="31498" hidden="1"/>
    <cellStyle name="메모 74" xfId="33014" hidden="1"/>
    <cellStyle name="메모 74" xfId="34053" hidden="1"/>
    <cellStyle name="메모 74" xfId="35603" hidden="1"/>
    <cellStyle name="메모 74" xfId="36642" hidden="1"/>
    <cellStyle name="메모 74" xfId="38107" hidden="1"/>
    <cellStyle name="메모 74" xfId="39146" hidden="1"/>
    <cellStyle name="메모 74" xfId="40609" hidden="1"/>
    <cellStyle name="메모 74" xfId="41648" hidden="1"/>
    <cellStyle name="메모 74" xfId="43144" hidden="1"/>
    <cellStyle name="메모 74" xfId="44183" hidden="1"/>
    <cellStyle name="메모 74" xfId="45735" hidden="1"/>
    <cellStyle name="메모 74" xfId="46774" hidden="1"/>
    <cellStyle name="메모 74" xfId="48238" hidden="1"/>
    <cellStyle name="메모 74" xfId="49277" hidden="1"/>
    <cellStyle name="메모 74" xfId="50740" hidden="1"/>
    <cellStyle name="메모 74" xfId="51779" hidden="1"/>
    <cellStyle name="메모 75" xfId="12736" hidden="1"/>
    <cellStyle name="메모 75" xfId="13778" hidden="1"/>
    <cellStyle name="메모 75" xfId="15337" hidden="1"/>
    <cellStyle name="메모 75" xfId="16376" hidden="1"/>
    <cellStyle name="메모 75" xfId="17841" hidden="1"/>
    <cellStyle name="메모 75" xfId="18880" hidden="1"/>
    <cellStyle name="메모 75" xfId="20343" hidden="1"/>
    <cellStyle name="메모 75" xfId="21382" hidden="1"/>
    <cellStyle name="메모 75" xfId="22903" hidden="1"/>
    <cellStyle name="메모 75" xfId="23942" hidden="1"/>
    <cellStyle name="메모 75" xfId="25496" hidden="1"/>
    <cellStyle name="메모 75" xfId="26535" hidden="1"/>
    <cellStyle name="메모 75" xfId="27999" hidden="1"/>
    <cellStyle name="메모 75" xfId="29038" hidden="1"/>
    <cellStyle name="메모 75" xfId="30501" hidden="1"/>
    <cellStyle name="메모 75" xfId="31540" hidden="1"/>
    <cellStyle name="메모 75" xfId="33056" hidden="1"/>
    <cellStyle name="메모 75" xfId="34095" hidden="1"/>
    <cellStyle name="메모 75" xfId="35645" hidden="1"/>
    <cellStyle name="메모 75" xfId="36684" hidden="1"/>
    <cellStyle name="메모 75" xfId="38149" hidden="1"/>
    <cellStyle name="메모 75" xfId="39188" hidden="1"/>
    <cellStyle name="메모 75" xfId="40651" hidden="1"/>
    <cellStyle name="메모 75" xfId="41690" hidden="1"/>
    <cellStyle name="메모 75" xfId="43186" hidden="1"/>
    <cellStyle name="메모 75" xfId="44225" hidden="1"/>
    <cellStyle name="메모 75" xfId="45777" hidden="1"/>
    <cellStyle name="메모 75" xfId="46816" hidden="1"/>
    <cellStyle name="메모 75" xfId="48280" hidden="1"/>
    <cellStyle name="메모 75" xfId="49319" hidden="1"/>
    <cellStyle name="메모 75" xfId="50782" hidden="1"/>
    <cellStyle name="메모 75" xfId="51821" hidden="1"/>
    <cellStyle name="메모 76" xfId="12778" hidden="1"/>
    <cellStyle name="메모 76" xfId="13820" hidden="1"/>
    <cellStyle name="메모 76" xfId="15379" hidden="1"/>
    <cellStyle name="메모 76" xfId="16418" hidden="1"/>
    <cellStyle name="메모 76" xfId="17883" hidden="1"/>
    <cellStyle name="메모 76" xfId="18922" hidden="1"/>
    <cellStyle name="메모 76" xfId="20385" hidden="1"/>
    <cellStyle name="메모 76" xfId="21424" hidden="1"/>
    <cellStyle name="메모 76" xfId="22945" hidden="1"/>
    <cellStyle name="메모 76" xfId="23984" hidden="1"/>
    <cellStyle name="메모 76" xfId="25538" hidden="1"/>
    <cellStyle name="메모 76" xfId="26577" hidden="1"/>
    <cellStyle name="메모 76" xfId="28041" hidden="1"/>
    <cellStyle name="메모 76" xfId="29080" hidden="1"/>
    <cellStyle name="메모 76" xfId="30543" hidden="1"/>
    <cellStyle name="메모 76" xfId="31582" hidden="1"/>
    <cellStyle name="메모 76" xfId="33098" hidden="1"/>
    <cellStyle name="메모 76" xfId="34137" hidden="1"/>
    <cellStyle name="메모 76" xfId="35687" hidden="1"/>
    <cellStyle name="메모 76" xfId="36726" hidden="1"/>
    <cellStyle name="메모 76" xfId="38191" hidden="1"/>
    <cellStyle name="메모 76" xfId="39230" hidden="1"/>
    <cellStyle name="메모 76" xfId="40693" hidden="1"/>
    <cellStyle name="메모 76" xfId="41732" hidden="1"/>
    <cellStyle name="메모 76" xfId="43228" hidden="1"/>
    <cellStyle name="메모 76" xfId="44267" hidden="1"/>
    <cellStyle name="메모 76" xfId="45819" hidden="1"/>
    <cellStyle name="메모 76" xfId="46858" hidden="1"/>
    <cellStyle name="메모 76" xfId="48322" hidden="1"/>
    <cellStyle name="메모 76" xfId="49361" hidden="1"/>
    <cellStyle name="메모 76" xfId="50824" hidden="1"/>
    <cellStyle name="메모 76" xfId="51863" hidden="1"/>
    <cellStyle name="메모 8" xfId="5927"/>
    <cellStyle name="메모 9" xfId="5928"/>
    <cellStyle name="믅됞 [0.00]_볷?붎 " xfId="39"/>
    <cellStyle name="믅됞_볷?붎 " xfId="40"/>
    <cellStyle name="보통 10" xfId="5929"/>
    <cellStyle name="보통 11" xfId="5930"/>
    <cellStyle name="보통 12" xfId="5931"/>
    <cellStyle name="보통 13" xfId="5932"/>
    <cellStyle name="보통 14" xfId="5933"/>
    <cellStyle name="보통 15" xfId="5934"/>
    <cellStyle name="보통 16" xfId="5935"/>
    <cellStyle name="보통 17" xfId="5936"/>
    <cellStyle name="보통 18" xfId="5937"/>
    <cellStyle name="보통 19" xfId="5938"/>
    <cellStyle name="보통 2" xfId="366"/>
    <cellStyle name="보통 2 10" xfId="5939"/>
    <cellStyle name="보통 2 100" xfId="5940"/>
    <cellStyle name="보통 2 101" xfId="5941"/>
    <cellStyle name="보통 2 102" xfId="5942"/>
    <cellStyle name="보통 2 103" xfId="5943"/>
    <cellStyle name="보통 2 104" xfId="5944"/>
    <cellStyle name="보통 2 105" xfId="5945"/>
    <cellStyle name="보통 2 106" xfId="5946"/>
    <cellStyle name="보통 2 107" xfId="5947"/>
    <cellStyle name="보통 2 108" xfId="5948"/>
    <cellStyle name="보통 2 109" xfId="5949"/>
    <cellStyle name="보통 2 11" xfId="5950"/>
    <cellStyle name="보통 2 110" xfId="5951"/>
    <cellStyle name="보통 2 111" xfId="5952"/>
    <cellStyle name="보통 2 112" xfId="5953"/>
    <cellStyle name="보통 2 12" xfId="5954"/>
    <cellStyle name="보통 2 13" xfId="5955"/>
    <cellStyle name="보통 2 14" xfId="5956"/>
    <cellStyle name="보통 2 15" xfId="5957"/>
    <cellStyle name="보통 2 16" xfId="5958"/>
    <cellStyle name="보통 2 17" xfId="5959"/>
    <cellStyle name="보통 2 18" xfId="5960"/>
    <cellStyle name="보통 2 19" xfId="5961"/>
    <cellStyle name="보통 2 2" xfId="5962"/>
    <cellStyle name="보통 2 2 2" xfId="5963"/>
    <cellStyle name="보통 2 2 3" xfId="5964"/>
    <cellStyle name="보통 2 2 4" xfId="5965"/>
    <cellStyle name="보통 2 2 5" xfId="5966"/>
    <cellStyle name="보통 2 20" xfId="5967"/>
    <cellStyle name="보통 2 21" xfId="5968"/>
    <cellStyle name="보통 2 22" xfId="5969"/>
    <cellStyle name="보통 2 23" xfId="5970"/>
    <cellStyle name="보통 2 24" xfId="5971"/>
    <cellStyle name="보통 2 25" xfId="5972"/>
    <cellStyle name="보통 2 26" xfId="5973"/>
    <cellStyle name="보통 2 27" xfId="5974"/>
    <cellStyle name="보통 2 28" xfId="5975"/>
    <cellStyle name="보통 2 29" xfId="5976"/>
    <cellStyle name="보통 2 3" xfId="5977"/>
    <cellStyle name="보통 2 30" xfId="5978"/>
    <cellStyle name="보통 2 31" xfId="5979"/>
    <cellStyle name="보통 2 32" xfId="5980"/>
    <cellStyle name="보통 2 33" xfId="5981"/>
    <cellStyle name="보통 2 34" xfId="5982"/>
    <cellStyle name="보통 2 35" xfId="5983"/>
    <cellStyle name="보통 2 36" xfId="5984"/>
    <cellStyle name="보통 2 37" xfId="5985"/>
    <cellStyle name="보통 2 38" xfId="5986"/>
    <cellStyle name="보통 2 39" xfId="5987"/>
    <cellStyle name="보통 2 4" xfId="5988"/>
    <cellStyle name="보통 2 40" xfId="5989"/>
    <cellStyle name="보통 2 41" xfId="5990"/>
    <cellStyle name="보통 2 42" xfId="5991"/>
    <cellStyle name="보통 2 43" xfId="5992"/>
    <cellStyle name="보통 2 44" xfId="5993"/>
    <cellStyle name="보통 2 45" xfId="5994"/>
    <cellStyle name="보통 2 46" xfId="5995"/>
    <cellStyle name="보통 2 47" xfId="5996"/>
    <cellStyle name="보통 2 48" xfId="5997"/>
    <cellStyle name="보통 2 49" xfId="5998"/>
    <cellStyle name="보통 2 5" xfId="5999"/>
    <cellStyle name="보통 2 50" xfId="6000"/>
    <cellStyle name="보통 2 51" xfId="6001"/>
    <cellStyle name="보통 2 52" xfId="6002"/>
    <cellStyle name="보통 2 53" xfId="6003"/>
    <cellStyle name="보통 2 54" xfId="6004"/>
    <cellStyle name="보통 2 55" xfId="6005"/>
    <cellStyle name="보통 2 56" xfId="6006"/>
    <cellStyle name="보통 2 57" xfId="6007"/>
    <cellStyle name="보통 2 58" xfId="6008"/>
    <cellStyle name="보통 2 59" xfId="6009"/>
    <cellStyle name="보통 2 6" xfId="6010"/>
    <cellStyle name="보통 2 60" xfId="6011"/>
    <cellStyle name="보통 2 61" xfId="6012"/>
    <cellStyle name="보통 2 62" xfId="6013"/>
    <cellStyle name="보통 2 63" xfId="6014"/>
    <cellStyle name="보통 2 64" xfId="6015"/>
    <cellStyle name="보통 2 65" xfId="6016"/>
    <cellStyle name="보통 2 66" xfId="6017"/>
    <cellStyle name="보통 2 67" xfId="6018"/>
    <cellStyle name="보통 2 68" xfId="6019"/>
    <cellStyle name="보통 2 69" xfId="6020"/>
    <cellStyle name="보통 2 7" xfId="6021"/>
    <cellStyle name="보통 2 70" xfId="6022"/>
    <cellStyle name="보통 2 71" xfId="6023"/>
    <cellStyle name="보통 2 72" xfId="6024"/>
    <cellStyle name="보통 2 73" xfId="6025"/>
    <cellStyle name="보통 2 74" xfId="6026"/>
    <cellStyle name="보통 2 75" xfId="6027"/>
    <cellStyle name="보통 2 76" xfId="6028"/>
    <cellStyle name="보통 2 77" xfId="6029"/>
    <cellStyle name="보통 2 78" xfId="6030"/>
    <cellStyle name="보통 2 79" xfId="6031"/>
    <cellStyle name="보통 2 8" xfId="6032"/>
    <cellStyle name="보통 2 80" xfId="6033"/>
    <cellStyle name="보통 2 81" xfId="6034"/>
    <cellStyle name="보통 2 82" xfId="6035"/>
    <cellStyle name="보통 2 83" xfId="6036"/>
    <cellStyle name="보통 2 84" xfId="6037"/>
    <cellStyle name="보통 2 85" xfId="6038"/>
    <cellStyle name="보통 2 86" xfId="6039"/>
    <cellStyle name="보통 2 87" xfId="6040"/>
    <cellStyle name="보통 2 88" xfId="6041"/>
    <cellStyle name="보통 2 89" xfId="6042"/>
    <cellStyle name="보통 2 9" xfId="6043"/>
    <cellStyle name="보통 2 90" xfId="6044"/>
    <cellStyle name="보통 2 91" xfId="6045"/>
    <cellStyle name="보통 2 92" xfId="6046"/>
    <cellStyle name="보통 2 93" xfId="6047"/>
    <cellStyle name="보통 2 94" xfId="6048"/>
    <cellStyle name="보통 2 95" xfId="6049"/>
    <cellStyle name="보통 2 96" xfId="6050"/>
    <cellStyle name="보통 2 97" xfId="6051"/>
    <cellStyle name="보통 2 98" xfId="6052"/>
    <cellStyle name="보통 2 99" xfId="6053"/>
    <cellStyle name="보통 20" xfId="6054"/>
    <cellStyle name="보통 21" xfId="6055"/>
    <cellStyle name="보통 22" xfId="6056"/>
    <cellStyle name="보통 23" xfId="6057"/>
    <cellStyle name="보통 24" xfId="6058"/>
    <cellStyle name="보통 25" xfId="6059"/>
    <cellStyle name="보통 26" xfId="6060"/>
    <cellStyle name="보통 27" xfId="6061"/>
    <cellStyle name="보통 28" xfId="6062"/>
    <cellStyle name="보통 29" xfId="6063"/>
    <cellStyle name="보통 3" xfId="367"/>
    <cellStyle name="보통 30" xfId="6064"/>
    <cellStyle name="보통 31" xfId="6065"/>
    <cellStyle name="보통 32" xfId="6066"/>
    <cellStyle name="보통 33" xfId="6067"/>
    <cellStyle name="보통 34" xfId="6068"/>
    <cellStyle name="보통 35" xfId="6069"/>
    <cellStyle name="보통 36" xfId="6070"/>
    <cellStyle name="보통 37" xfId="6071"/>
    <cellStyle name="보통 38" xfId="6072"/>
    <cellStyle name="보통 39" xfId="6073"/>
    <cellStyle name="보통 4" xfId="11715" hidden="1"/>
    <cellStyle name="보통 4" xfId="11761" hidden="1"/>
    <cellStyle name="보통 4" xfId="11807" hidden="1"/>
    <cellStyle name="보통 4" xfId="11853" hidden="1"/>
    <cellStyle name="보통 4" xfId="11899" hidden="1"/>
    <cellStyle name="보통 4" xfId="11945" hidden="1"/>
    <cellStyle name="보통 4" xfId="11991" hidden="1"/>
    <cellStyle name="보통 4" xfId="12037" hidden="1"/>
    <cellStyle name="보통 4" xfId="12083" hidden="1"/>
    <cellStyle name="보통 4" xfId="12129" hidden="1"/>
    <cellStyle name="보통 4" xfId="12175" hidden="1"/>
    <cellStyle name="보통 4" xfId="12221" hidden="1"/>
    <cellStyle name="보통 4" xfId="12311" hidden="1"/>
    <cellStyle name="보통 4" xfId="12351" hidden="1"/>
    <cellStyle name="보통 4" xfId="12393" hidden="1"/>
    <cellStyle name="보통 4" xfId="12435" hidden="1"/>
    <cellStyle name="보통 4" xfId="12477" hidden="1"/>
    <cellStyle name="보통 4" xfId="12519" hidden="1"/>
    <cellStyle name="보통 4" xfId="12561" hidden="1"/>
    <cellStyle name="보통 4" xfId="12603" hidden="1"/>
    <cellStyle name="보통 4" xfId="12645" hidden="1"/>
    <cellStyle name="보통 4" xfId="12687" hidden="1"/>
    <cellStyle name="보통 4" xfId="12729" hidden="1"/>
    <cellStyle name="보통 4" xfId="12771" hidden="1"/>
    <cellStyle name="보통 4" xfId="12265" hidden="1"/>
    <cellStyle name="보통 4" xfId="12954" hidden="1"/>
    <cellStyle name="보통 4" xfId="12994" hidden="1"/>
    <cellStyle name="보통 4" xfId="13034" hidden="1"/>
    <cellStyle name="보통 4" xfId="13074" hidden="1"/>
    <cellStyle name="보통 4" xfId="13114" hidden="1"/>
    <cellStyle name="보통 4" xfId="13154" hidden="1"/>
    <cellStyle name="보통 4" xfId="13194" hidden="1"/>
    <cellStyle name="보통 4" xfId="13234" hidden="1"/>
    <cellStyle name="보통 4" xfId="13274" hidden="1"/>
    <cellStyle name="보통 4" xfId="13314" hidden="1"/>
    <cellStyle name="보통 4" xfId="13354" hidden="1"/>
    <cellStyle name="보통 4" xfId="13394" hidden="1"/>
    <cellStyle name="보통 4" xfId="12880" hidden="1"/>
    <cellStyle name="보통 4" xfId="12841" hidden="1"/>
    <cellStyle name="보통 4" xfId="13435" hidden="1"/>
    <cellStyle name="보통 4" xfId="13477" hidden="1"/>
    <cellStyle name="보통 4" xfId="13519" hidden="1"/>
    <cellStyle name="보통 4" xfId="13561" hidden="1"/>
    <cellStyle name="보통 4" xfId="13603" hidden="1"/>
    <cellStyle name="보통 4" xfId="13645" hidden="1"/>
    <cellStyle name="보통 4" xfId="13687" hidden="1"/>
    <cellStyle name="보통 4" xfId="13729" hidden="1"/>
    <cellStyle name="보통 4" xfId="13771" hidden="1"/>
    <cellStyle name="보통 4" xfId="13813" hidden="1"/>
    <cellStyle name="보통 4" xfId="12935" hidden="1"/>
    <cellStyle name="보통 4" xfId="12896" hidden="1"/>
    <cellStyle name="보통 4" xfId="13882" hidden="1"/>
    <cellStyle name="보통 4" xfId="13922" hidden="1"/>
    <cellStyle name="보통 4" xfId="13962" hidden="1"/>
    <cellStyle name="보통 4" xfId="14002" hidden="1"/>
    <cellStyle name="보통 4" xfId="14042" hidden="1"/>
    <cellStyle name="보통 4" xfId="14082" hidden="1"/>
    <cellStyle name="보통 4" xfId="14122" hidden="1"/>
    <cellStyle name="보통 4" xfId="14162" hidden="1"/>
    <cellStyle name="보통 4" xfId="14202" hidden="1"/>
    <cellStyle name="보통 4" xfId="14242" hidden="1"/>
    <cellStyle name="보통 4" xfId="14282" hidden="1"/>
    <cellStyle name="보통 4" xfId="14388" hidden="1"/>
    <cellStyle name="보통 4" xfId="14428" hidden="1"/>
    <cellStyle name="보통 4" xfId="14468" hidden="1"/>
    <cellStyle name="보통 4" xfId="14508" hidden="1"/>
    <cellStyle name="보통 4" xfId="14548" hidden="1"/>
    <cellStyle name="보통 4" xfId="14588" hidden="1"/>
    <cellStyle name="보통 4" xfId="14628" hidden="1"/>
    <cellStyle name="보통 4" xfId="14668" hidden="1"/>
    <cellStyle name="보통 4" xfId="14708" hidden="1"/>
    <cellStyle name="보통 4" xfId="14748" hidden="1"/>
    <cellStyle name="보통 4" xfId="14788" hidden="1"/>
    <cellStyle name="보통 4" xfId="14828" hidden="1"/>
    <cellStyle name="보통 4" xfId="14912" hidden="1"/>
    <cellStyle name="보통 4" xfId="14952" hidden="1"/>
    <cellStyle name="보통 4" xfId="14994" hidden="1"/>
    <cellStyle name="보통 4" xfId="15036" hidden="1"/>
    <cellStyle name="보통 4" xfId="15078" hidden="1"/>
    <cellStyle name="보통 4" xfId="15120" hidden="1"/>
    <cellStyle name="보통 4" xfId="15162" hidden="1"/>
    <cellStyle name="보통 4" xfId="15204" hidden="1"/>
    <cellStyle name="보통 4" xfId="15246" hidden="1"/>
    <cellStyle name="보통 4" xfId="15288" hidden="1"/>
    <cellStyle name="보통 4" xfId="15330" hidden="1"/>
    <cellStyle name="보통 4" xfId="15372" hidden="1"/>
    <cellStyle name="보통 4" xfId="14868" hidden="1"/>
    <cellStyle name="보통 4" xfId="15552" hidden="1"/>
    <cellStyle name="보통 4" xfId="15592" hidden="1"/>
    <cellStyle name="보통 4" xfId="15632" hidden="1"/>
    <cellStyle name="보통 4" xfId="15672" hidden="1"/>
    <cellStyle name="보통 4" xfId="15712" hidden="1"/>
    <cellStyle name="보통 4" xfId="15752" hidden="1"/>
    <cellStyle name="보통 4" xfId="15792" hidden="1"/>
    <cellStyle name="보통 4" xfId="15832" hidden="1"/>
    <cellStyle name="보통 4" xfId="15872" hidden="1"/>
    <cellStyle name="보통 4" xfId="15912" hidden="1"/>
    <cellStyle name="보통 4" xfId="15952" hidden="1"/>
    <cellStyle name="보통 4" xfId="15992" hidden="1"/>
    <cellStyle name="보통 4" xfId="15480" hidden="1"/>
    <cellStyle name="보통 4" xfId="15441" hidden="1"/>
    <cellStyle name="보통 4" xfId="16033" hidden="1"/>
    <cellStyle name="보통 4" xfId="16075" hidden="1"/>
    <cellStyle name="보통 4" xfId="16117" hidden="1"/>
    <cellStyle name="보통 4" xfId="16159" hidden="1"/>
    <cellStyle name="보통 4" xfId="16201" hidden="1"/>
    <cellStyle name="보통 4" xfId="16243" hidden="1"/>
    <cellStyle name="보통 4" xfId="16285" hidden="1"/>
    <cellStyle name="보통 4" xfId="16327" hidden="1"/>
    <cellStyle name="보통 4" xfId="16369" hidden="1"/>
    <cellStyle name="보통 4" xfId="16411" hidden="1"/>
    <cellStyle name="보통 4" xfId="15534" hidden="1"/>
    <cellStyle name="보통 4" xfId="15495" hidden="1"/>
    <cellStyle name="보통 4" xfId="16480" hidden="1"/>
    <cellStyle name="보통 4" xfId="16520" hidden="1"/>
    <cellStyle name="보통 4" xfId="16560" hidden="1"/>
    <cellStyle name="보통 4" xfId="16600" hidden="1"/>
    <cellStyle name="보통 4" xfId="16640" hidden="1"/>
    <cellStyle name="보통 4" xfId="16680" hidden="1"/>
    <cellStyle name="보통 4" xfId="16720" hidden="1"/>
    <cellStyle name="보통 4" xfId="16760" hidden="1"/>
    <cellStyle name="보통 4" xfId="16800" hidden="1"/>
    <cellStyle name="보통 4" xfId="16840" hidden="1"/>
    <cellStyle name="보통 4" xfId="16880" hidden="1"/>
    <cellStyle name="보통 4" xfId="14337" hidden="1"/>
    <cellStyle name="보통 4" xfId="16931" hidden="1"/>
    <cellStyle name="보통 4" xfId="16972" hidden="1"/>
    <cellStyle name="보통 4" xfId="17012" hidden="1"/>
    <cellStyle name="보통 4" xfId="17052" hidden="1"/>
    <cellStyle name="보통 4" xfId="17092" hidden="1"/>
    <cellStyle name="보통 4" xfId="17132" hidden="1"/>
    <cellStyle name="보통 4" xfId="17172" hidden="1"/>
    <cellStyle name="보통 4" xfId="17212" hidden="1"/>
    <cellStyle name="보통 4" xfId="17252" hidden="1"/>
    <cellStyle name="보통 4" xfId="17292" hidden="1"/>
    <cellStyle name="보통 4" xfId="17332" hidden="1"/>
    <cellStyle name="보통 4" xfId="17416" hidden="1"/>
    <cellStyle name="보통 4" xfId="17456" hidden="1"/>
    <cellStyle name="보통 4" xfId="17498" hidden="1"/>
    <cellStyle name="보통 4" xfId="17540" hidden="1"/>
    <cellStyle name="보통 4" xfId="17582" hidden="1"/>
    <cellStyle name="보통 4" xfId="17624" hidden="1"/>
    <cellStyle name="보통 4" xfId="17666" hidden="1"/>
    <cellStyle name="보통 4" xfId="17708" hidden="1"/>
    <cellStyle name="보통 4" xfId="17750" hidden="1"/>
    <cellStyle name="보통 4" xfId="17792" hidden="1"/>
    <cellStyle name="보통 4" xfId="17834" hidden="1"/>
    <cellStyle name="보통 4" xfId="17876" hidden="1"/>
    <cellStyle name="보통 4" xfId="17372" hidden="1"/>
    <cellStyle name="보통 4" xfId="18056" hidden="1"/>
    <cellStyle name="보통 4" xfId="18096" hidden="1"/>
    <cellStyle name="보통 4" xfId="18136" hidden="1"/>
    <cellStyle name="보통 4" xfId="18176" hidden="1"/>
    <cellStyle name="보통 4" xfId="18216" hidden="1"/>
    <cellStyle name="보통 4" xfId="18256" hidden="1"/>
    <cellStyle name="보통 4" xfId="18296" hidden="1"/>
    <cellStyle name="보통 4" xfId="18336" hidden="1"/>
    <cellStyle name="보통 4" xfId="18376" hidden="1"/>
    <cellStyle name="보통 4" xfId="18416" hidden="1"/>
    <cellStyle name="보통 4" xfId="18456" hidden="1"/>
    <cellStyle name="보통 4" xfId="18496" hidden="1"/>
    <cellStyle name="보통 4" xfId="17984" hidden="1"/>
    <cellStyle name="보통 4" xfId="17945" hidden="1"/>
    <cellStyle name="보통 4" xfId="18537" hidden="1"/>
    <cellStyle name="보통 4" xfId="18579" hidden="1"/>
    <cellStyle name="보통 4" xfId="18621" hidden="1"/>
    <cellStyle name="보통 4" xfId="18663" hidden="1"/>
    <cellStyle name="보통 4" xfId="18705" hidden="1"/>
    <cellStyle name="보통 4" xfId="18747" hidden="1"/>
    <cellStyle name="보통 4" xfId="18789" hidden="1"/>
    <cellStyle name="보통 4" xfId="18831" hidden="1"/>
    <cellStyle name="보통 4" xfId="18873" hidden="1"/>
    <cellStyle name="보통 4" xfId="18915" hidden="1"/>
    <cellStyle name="보통 4" xfId="18038" hidden="1"/>
    <cellStyle name="보통 4" xfId="17999" hidden="1"/>
    <cellStyle name="보통 4" xfId="18984" hidden="1"/>
    <cellStyle name="보통 4" xfId="19024" hidden="1"/>
    <cellStyle name="보통 4" xfId="19064" hidden="1"/>
    <cellStyle name="보통 4" xfId="19104" hidden="1"/>
    <cellStyle name="보통 4" xfId="19144" hidden="1"/>
    <cellStyle name="보통 4" xfId="19184" hidden="1"/>
    <cellStyle name="보통 4" xfId="19224" hidden="1"/>
    <cellStyle name="보통 4" xfId="19264" hidden="1"/>
    <cellStyle name="보통 4" xfId="19304" hidden="1"/>
    <cellStyle name="보통 4" xfId="19344" hidden="1"/>
    <cellStyle name="보통 4" xfId="19384" hidden="1"/>
    <cellStyle name="보통 4" xfId="14355" hidden="1"/>
    <cellStyle name="보통 4" xfId="19434" hidden="1"/>
    <cellStyle name="보통 4" xfId="19474" hidden="1"/>
    <cellStyle name="보통 4" xfId="19514" hidden="1"/>
    <cellStyle name="보통 4" xfId="19554" hidden="1"/>
    <cellStyle name="보통 4" xfId="19594" hidden="1"/>
    <cellStyle name="보통 4" xfId="19634" hidden="1"/>
    <cellStyle name="보통 4" xfId="19674" hidden="1"/>
    <cellStyle name="보통 4" xfId="19714" hidden="1"/>
    <cellStyle name="보통 4" xfId="19754" hidden="1"/>
    <cellStyle name="보통 4" xfId="19794" hidden="1"/>
    <cellStyle name="보통 4" xfId="19834" hidden="1"/>
    <cellStyle name="보통 4" xfId="19918" hidden="1"/>
    <cellStyle name="보통 4" xfId="19958" hidden="1"/>
    <cellStyle name="보통 4" xfId="20000" hidden="1"/>
    <cellStyle name="보통 4" xfId="20042" hidden="1"/>
    <cellStyle name="보통 4" xfId="20084" hidden="1"/>
    <cellStyle name="보통 4" xfId="20126" hidden="1"/>
    <cellStyle name="보통 4" xfId="20168" hidden="1"/>
    <cellStyle name="보통 4" xfId="20210" hidden="1"/>
    <cellStyle name="보통 4" xfId="20252" hidden="1"/>
    <cellStyle name="보통 4" xfId="20294" hidden="1"/>
    <cellStyle name="보통 4" xfId="20336" hidden="1"/>
    <cellStyle name="보통 4" xfId="20378" hidden="1"/>
    <cellStyle name="보통 4" xfId="19874" hidden="1"/>
    <cellStyle name="보통 4" xfId="20558" hidden="1"/>
    <cellStyle name="보통 4" xfId="20598" hidden="1"/>
    <cellStyle name="보통 4" xfId="20638" hidden="1"/>
    <cellStyle name="보통 4" xfId="20678" hidden="1"/>
    <cellStyle name="보통 4" xfId="20718" hidden="1"/>
    <cellStyle name="보통 4" xfId="20758" hidden="1"/>
    <cellStyle name="보통 4" xfId="20798" hidden="1"/>
    <cellStyle name="보통 4" xfId="20838" hidden="1"/>
    <cellStyle name="보통 4" xfId="20878" hidden="1"/>
    <cellStyle name="보통 4" xfId="20918" hidden="1"/>
    <cellStyle name="보통 4" xfId="20958" hidden="1"/>
    <cellStyle name="보통 4" xfId="20998" hidden="1"/>
    <cellStyle name="보통 4" xfId="20486" hidden="1"/>
    <cellStyle name="보통 4" xfId="20447" hidden="1"/>
    <cellStyle name="보통 4" xfId="21039" hidden="1"/>
    <cellStyle name="보통 4" xfId="21081" hidden="1"/>
    <cellStyle name="보통 4" xfId="21123" hidden="1"/>
    <cellStyle name="보통 4" xfId="21165" hidden="1"/>
    <cellStyle name="보통 4" xfId="21207" hidden="1"/>
    <cellStyle name="보통 4" xfId="21249" hidden="1"/>
    <cellStyle name="보통 4" xfId="21291" hidden="1"/>
    <cellStyle name="보통 4" xfId="21333" hidden="1"/>
    <cellStyle name="보통 4" xfId="21375" hidden="1"/>
    <cellStyle name="보통 4" xfId="21417" hidden="1"/>
    <cellStyle name="보통 4" xfId="20540" hidden="1"/>
    <cellStyle name="보통 4" xfId="20501" hidden="1"/>
    <cellStyle name="보통 4" xfId="21486" hidden="1"/>
    <cellStyle name="보통 4" xfId="21526" hidden="1"/>
    <cellStyle name="보통 4" xfId="21566" hidden="1"/>
    <cellStyle name="보통 4" xfId="21606" hidden="1"/>
    <cellStyle name="보통 4" xfId="21646" hidden="1"/>
    <cellStyle name="보통 4" xfId="21686" hidden="1"/>
    <cellStyle name="보통 4" xfId="21726" hidden="1"/>
    <cellStyle name="보통 4" xfId="21766" hidden="1"/>
    <cellStyle name="보통 4" xfId="21806" hidden="1"/>
    <cellStyle name="보통 4" xfId="21846" hidden="1"/>
    <cellStyle name="보통 4" xfId="21886" hidden="1"/>
    <cellStyle name="보통 4" xfId="21954" hidden="1"/>
    <cellStyle name="보통 4" xfId="21994" hidden="1"/>
    <cellStyle name="보통 4" xfId="22034" hidden="1"/>
    <cellStyle name="보통 4" xfId="22074" hidden="1"/>
    <cellStyle name="보통 4" xfId="22114" hidden="1"/>
    <cellStyle name="보통 4" xfId="22154" hidden="1"/>
    <cellStyle name="보통 4" xfId="22194" hidden="1"/>
    <cellStyle name="보통 4" xfId="22234" hidden="1"/>
    <cellStyle name="보통 4" xfId="22274" hidden="1"/>
    <cellStyle name="보통 4" xfId="22314" hidden="1"/>
    <cellStyle name="보통 4" xfId="22354" hidden="1"/>
    <cellStyle name="보통 4" xfId="22394" hidden="1"/>
    <cellStyle name="보통 4" xfId="22478" hidden="1"/>
    <cellStyle name="보통 4" xfId="22518" hidden="1"/>
    <cellStyle name="보통 4" xfId="22560" hidden="1"/>
    <cellStyle name="보통 4" xfId="22602" hidden="1"/>
    <cellStyle name="보통 4" xfId="22644" hidden="1"/>
    <cellStyle name="보통 4" xfId="22686" hidden="1"/>
    <cellStyle name="보통 4" xfId="22728" hidden="1"/>
    <cellStyle name="보통 4" xfId="22770" hidden="1"/>
    <cellStyle name="보통 4" xfId="22812" hidden="1"/>
    <cellStyle name="보통 4" xfId="22854" hidden="1"/>
    <cellStyle name="보통 4" xfId="22896" hidden="1"/>
    <cellStyle name="보통 4" xfId="22938" hidden="1"/>
    <cellStyle name="보통 4" xfId="22434" hidden="1"/>
    <cellStyle name="보통 4" xfId="23118" hidden="1"/>
    <cellStyle name="보통 4" xfId="23158" hidden="1"/>
    <cellStyle name="보통 4" xfId="23198" hidden="1"/>
    <cellStyle name="보통 4" xfId="23238" hidden="1"/>
    <cellStyle name="보통 4" xfId="23278" hidden="1"/>
    <cellStyle name="보통 4" xfId="23318" hidden="1"/>
    <cellStyle name="보통 4" xfId="23358" hidden="1"/>
    <cellStyle name="보통 4" xfId="23398" hidden="1"/>
    <cellStyle name="보통 4" xfId="23438" hidden="1"/>
    <cellStyle name="보통 4" xfId="23478" hidden="1"/>
    <cellStyle name="보통 4" xfId="23518" hidden="1"/>
    <cellStyle name="보통 4" xfId="23558" hidden="1"/>
    <cellStyle name="보통 4" xfId="23046" hidden="1"/>
    <cellStyle name="보통 4" xfId="23007" hidden="1"/>
    <cellStyle name="보통 4" xfId="23599" hidden="1"/>
    <cellStyle name="보통 4" xfId="23641" hidden="1"/>
    <cellStyle name="보통 4" xfId="23683" hidden="1"/>
    <cellStyle name="보통 4" xfId="23725" hidden="1"/>
    <cellStyle name="보통 4" xfId="23767" hidden="1"/>
    <cellStyle name="보통 4" xfId="23809" hidden="1"/>
    <cellStyle name="보통 4" xfId="23851" hidden="1"/>
    <cellStyle name="보통 4" xfId="23893" hidden="1"/>
    <cellStyle name="보통 4" xfId="23935" hidden="1"/>
    <cellStyle name="보통 4" xfId="23977" hidden="1"/>
    <cellStyle name="보통 4" xfId="23100" hidden="1"/>
    <cellStyle name="보통 4" xfId="23061" hidden="1"/>
    <cellStyle name="보통 4" xfId="24046" hidden="1"/>
    <cellStyle name="보통 4" xfId="24086" hidden="1"/>
    <cellStyle name="보통 4" xfId="24126" hidden="1"/>
    <cellStyle name="보통 4" xfId="24166" hidden="1"/>
    <cellStyle name="보통 4" xfId="24206" hidden="1"/>
    <cellStyle name="보통 4" xfId="24246" hidden="1"/>
    <cellStyle name="보통 4" xfId="24286" hidden="1"/>
    <cellStyle name="보통 4" xfId="24326" hidden="1"/>
    <cellStyle name="보통 4" xfId="24366" hidden="1"/>
    <cellStyle name="보통 4" xfId="24406" hidden="1"/>
    <cellStyle name="보통 4" xfId="24446" hidden="1"/>
    <cellStyle name="보통 4" xfId="24544" hidden="1"/>
    <cellStyle name="보통 4" xfId="24584" hidden="1"/>
    <cellStyle name="보통 4" xfId="24625" hidden="1"/>
    <cellStyle name="보통 4" xfId="24667" hidden="1"/>
    <cellStyle name="보통 4" xfId="24707" hidden="1"/>
    <cellStyle name="보통 4" xfId="24747" hidden="1"/>
    <cellStyle name="보통 4" xfId="24787" hidden="1"/>
    <cellStyle name="보통 4" xfId="24827" hidden="1"/>
    <cellStyle name="보통 4" xfId="24867" hidden="1"/>
    <cellStyle name="보통 4" xfId="24907" hidden="1"/>
    <cellStyle name="보통 4" xfId="24947" hidden="1"/>
    <cellStyle name="보통 4" xfId="24987" hidden="1"/>
    <cellStyle name="보통 4" xfId="25071" hidden="1"/>
    <cellStyle name="보통 4" xfId="25111" hidden="1"/>
    <cellStyle name="보통 4" xfId="25153" hidden="1"/>
    <cellStyle name="보통 4" xfId="25195" hidden="1"/>
    <cellStyle name="보통 4" xfId="25237" hidden="1"/>
    <cellStyle name="보통 4" xfId="25279" hidden="1"/>
    <cellStyle name="보통 4" xfId="25321" hidden="1"/>
    <cellStyle name="보통 4" xfId="25363" hidden="1"/>
    <cellStyle name="보통 4" xfId="25405" hidden="1"/>
    <cellStyle name="보통 4" xfId="25447" hidden="1"/>
    <cellStyle name="보통 4" xfId="25489" hidden="1"/>
    <cellStyle name="보통 4" xfId="25531" hidden="1"/>
    <cellStyle name="보통 4" xfId="25027" hidden="1"/>
    <cellStyle name="보통 4" xfId="25711" hidden="1"/>
    <cellStyle name="보통 4" xfId="25751" hidden="1"/>
    <cellStyle name="보통 4" xfId="25791" hidden="1"/>
    <cellStyle name="보통 4" xfId="25831" hidden="1"/>
    <cellStyle name="보통 4" xfId="25871" hidden="1"/>
    <cellStyle name="보통 4" xfId="25911" hidden="1"/>
    <cellStyle name="보통 4" xfId="25951" hidden="1"/>
    <cellStyle name="보통 4" xfId="25991" hidden="1"/>
    <cellStyle name="보통 4" xfId="26031" hidden="1"/>
    <cellStyle name="보통 4" xfId="26071" hidden="1"/>
    <cellStyle name="보통 4" xfId="26111" hidden="1"/>
    <cellStyle name="보통 4" xfId="26151" hidden="1"/>
    <cellStyle name="보통 4" xfId="25639" hidden="1"/>
    <cellStyle name="보통 4" xfId="25600" hidden="1"/>
    <cellStyle name="보통 4" xfId="26192" hidden="1"/>
    <cellStyle name="보통 4" xfId="26234" hidden="1"/>
    <cellStyle name="보통 4" xfId="26276" hidden="1"/>
    <cellStyle name="보통 4" xfId="26318" hidden="1"/>
    <cellStyle name="보통 4" xfId="26360" hidden="1"/>
    <cellStyle name="보통 4" xfId="26402" hidden="1"/>
    <cellStyle name="보통 4" xfId="26444" hidden="1"/>
    <cellStyle name="보통 4" xfId="26486" hidden="1"/>
    <cellStyle name="보통 4" xfId="26528" hidden="1"/>
    <cellStyle name="보통 4" xfId="26570" hidden="1"/>
    <cellStyle name="보통 4" xfId="25693" hidden="1"/>
    <cellStyle name="보통 4" xfId="25654" hidden="1"/>
    <cellStyle name="보통 4" xfId="26639" hidden="1"/>
    <cellStyle name="보통 4" xfId="26679" hidden="1"/>
    <cellStyle name="보통 4" xfId="26719" hidden="1"/>
    <cellStyle name="보통 4" xfId="26759" hidden="1"/>
    <cellStyle name="보통 4" xfId="26799" hidden="1"/>
    <cellStyle name="보통 4" xfId="26839" hidden="1"/>
    <cellStyle name="보통 4" xfId="26879" hidden="1"/>
    <cellStyle name="보통 4" xfId="26919" hidden="1"/>
    <cellStyle name="보통 4" xfId="26959" hidden="1"/>
    <cellStyle name="보통 4" xfId="26999" hidden="1"/>
    <cellStyle name="보통 4" xfId="27039" hidden="1"/>
    <cellStyle name="보통 4" xfId="24499" hidden="1"/>
    <cellStyle name="보통 4" xfId="27090" hidden="1"/>
    <cellStyle name="보통 4" xfId="27130" hidden="1"/>
    <cellStyle name="보통 4" xfId="27170" hidden="1"/>
    <cellStyle name="보통 4" xfId="27210" hidden="1"/>
    <cellStyle name="보통 4" xfId="27250" hidden="1"/>
    <cellStyle name="보통 4" xfId="27290" hidden="1"/>
    <cellStyle name="보통 4" xfId="27330" hidden="1"/>
    <cellStyle name="보통 4" xfId="27370" hidden="1"/>
    <cellStyle name="보통 4" xfId="27410" hidden="1"/>
    <cellStyle name="보통 4" xfId="27450" hidden="1"/>
    <cellStyle name="보통 4" xfId="27490" hidden="1"/>
    <cellStyle name="보통 4" xfId="27574" hidden="1"/>
    <cellStyle name="보통 4" xfId="27614" hidden="1"/>
    <cellStyle name="보통 4" xfId="27656" hidden="1"/>
    <cellStyle name="보통 4" xfId="27698" hidden="1"/>
    <cellStyle name="보통 4" xfId="27740" hidden="1"/>
    <cellStyle name="보통 4" xfId="27782" hidden="1"/>
    <cellStyle name="보통 4" xfId="27824" hidden="1"/>
    <cellStyle name="보통 4" xfId="27866" hidden="1"/>
    <cellStyle name="보통 4" xfId="27908" hidden="1"/>
    <cellStyle name="보통 4" xfId="27950" hidden="1"/>
    <cellStyle name="보통 4" xfId="27992" hidden="1"/>
    <cellStyle name="보통 4" xfId="28034" hidden="1"/>
    <cellStyle name="보통 4" xfId="27530" hidden="1"/>
    <cellStyle name="보통 4" xfId="28214" hidden="1"/>
    <cellStyle name="보통 4" xfId="28254" hidden="1"/>
    <cellStyle name="보통 4" xfId="28294" hidden="1"/>
    <cellStyle name="보통 4" xfId="28334" hidden="1"/>
    <cellStyle name="보통 4" xfId="28374" hidden="1"/>
    <cellStyle name="보통 4" xfId="28414" hidden="1"/>
    <cellStyle name="보통 4" xfId="28454" hidden="1"/>
    <cellStyle name="보통 4" xfId="28494" hidden="1"/>
    <cellStyle name="보통 4" xfId="28534" hidden="1"/>
    <cellStyle name="보통 4" xfId="28574" hidden="1"/>
    <cellStyle name="보통 4" xfId="28614" hidden="1"/>
    <cellStyle name="보통 4" xfId="28654" hidden="1"/>
    <cellStyle name="보통 4" xfId="28142" hidden="1"/>
    <cellStyle name="보통 4" xfId="28103" hidden="1"/>
    <cellStyle name="보통 4" xfId="28695" hidden="1"/>
    <cellStyle name="보통 4" xfId="28737" hidden="1"/>
    <cellStyle name="보통 4" xfId="28779" hidden="1"/>
    <cellStyle name="보통 4" xfId="28821" hidden="1"/>
    <cellStyle name="보통 4" xfId="28863" hidden="1"/>
    <cellStyle name="보통 4" xfId="28905" hidden="1"/>
    <cellStyle name="보통 4" xfId="28947" hidden="1"/>
    <cellStyle name="보통 4" xfId="28989" hidden="1"/>
    <cellStyle name="보통 4" xfId="29031" hidden="1"/>
    <cellStyle name="보통 4" xfId="29073" hidden="1"/>
    <cellStyle name="보통 4" xfId="28196" hidden="1"/>
    <cellStyle name="보통 4" xfId="28157" hidden="1"/>
    <cellStyle name="보통 4" xfId="29142" hidden="1"/>
    <cellStyle name="보통 4" xfId="29182" hidden="1"/>
    <cellStyle name="보통 4" xfId="29222" hidden="1"/>
    <cellStyle name="보통 4" xfId="29262" hidden="1"/>
    <cellStyle name="보통 4" xfId="29302" hidden="1"/>
    <cellStyle name="보통 4" xfId="29342" hidden="1"/>
    <cellStyle name="보통 4" xfId="29382" hidden="1"/>
    <cellStyle name="보통 4" xfId="29422" hidden="1"/>
    <cellStyle name="보통 4" xfId="29462" hidden="1"/>
    <cellStyle name="보통 4" xfId="29502" hidden="1"/>
    <cellStyle name="보통 4" xfId="29542" hidden="1"/>
    <cellStyle name="보통 4" xfId="24513" hidden="1"/>
    <cellStyle name="보통 4" xfId="29592" hidden="1"/>
    <cellStyle name="보통 4" xfId="29632" hidden="1"/>
    <cellStyle name="보통 4" xfId="29672" hidden="1"/>
    <cellStyle name="보통 4" xfId="29712" hidden="1"/>
    <cellStyle name="보통 4" xfId="29752" hidden="1"/>
    <cellStyle name="보통 4" xfId="29792" hidden="1"/>
    <cellStyle name="보통 4" xfId="29832" hidden="1"/>
    <cellStyle name="보통 4" xfId="29872" hidden="1"/>
    <cellStyle name="보통 4" xfId="29912" hidden="1"/>
    <cellStyle name="보통 4" xfId="29952" hidden="1"/>
    <cellStyle name="보통 4" xfId="29992" hidden="1"/>
    <cellStyle name="보통 4" xfId="30076" hidden="1"/>
    <cellStyle name="보통 4" xfId="30116" hidden="1"/>
    <cellStyle name="보통 4" xfId="30158" hidden="1"/>
    <cellStyle name="보통 4" xfId="30200" hidden="1"/>
    <cellStyle name="보통 4" xfId="30242" hidden="1"/>
    <cellStyle name="보통 4" xfId="30284" hidden="1"/>
    <cellStyle name="보통 4" xfId="30326" hidden="1"/>
    <cellStyle name="보통 4" xfId="30368" hidden="1"/>
    <cellStyle name="보통 4" xfId="30410" hidden="1"/>
    <cellStyle name="보통 4" xfId="30452" hidden="1"/>
    <cellStyle name="보통 4" xfId="30494" hidden="1"/>
    <cellStyle name="보통 4" xfId="30536" hidden="1"/>
    <cellStyle name="보통 4" xfId="30032" hidden="1"/>
    <cellStyle name="보통 4" xfId="30716" hidden="1"/>
    <cellStyle name="보통 4" xfId="30756" hidden="1"/>
    <cellStyle name="보통 4" xfId="30796" hidden="1"/>
    <cellStyle name="보통 4" xfId="30836" hidden="1"/>
    <cellStyle name="보통 4" xfId="30876" hidden="1"/>
    <cellStyle name="보통 4" xfId="30916" hidden="1"/>
    <cellStyle name="보통 4" xfId="30956" hidden="1"/>
    <cellStyle name="보통 4" xfId="30996" hidden="1"/>
    <cellStyle name="보통 4" xfId="31036" hidden="1"/>
    <cellStyle name="보통 4" xfId="31076" hidden="1"/>
    <cellStyle name="보통 4" xfId="31116" hidden="1"/>
    <cellStyle name="보통 4" xfId="31156" hidden="1"/>
    <cellStyle name="보통 4" xfId="30644" hidden="1"/>
    <cellStyle name="보통 4" xfId="30605" hidden="1"/>
    <cellStyle name="보통 4" xfId="31197" hidden="1"/>
    <cellStyle name="보통 4" xfId="31239" hidden="1"/>
    <cellStyle name="보통 4" xfId="31281" hidden="1"/>
    <cellStyle name="보통 4" xfId="31323" hidden="1"/>
    <cellStyle name="보통 4" xfId="31365" hidden="1"/>
    <cellStyle name="보통 4" xfId="31407" hidden="1"/>
    <cellStyle name="보통 4" xfId="31449" hidden="1"/>
    <cellStyle name="보통 4" xfId="31491" hidden="1"/>
    <cellStyle name="보통 4" xfId="31533" hidden="1"/>
    <cellStyle name="보통 4" xfId="31575" hidden="1"/>
    <cellStyle name="보통 4" xfId="30698" hidden="1"/>
    <cellStyle name="보통 4" xfId="30659" hidden="1"/>
    <cellStyle name="보통 4" xfId="31644" hidden="1"/>
    <cellStyle name="보통 4" xfId="31684" hidden="1"/>
    <cellStyle name="보통 4" xfId="31724" hidden="1"/>
    <cellStyle name="보통 4" xfId="31764" hidden="1"/>
    <cellStyle name="보통 4" xfId="31804" hidden="1"/>
    <cellStyle name="보통 4" xfId="31844" hidden="1"/>
    <cellStyle name="보통 4" xfId="31884" hidden="1"/>
    <cellStyle name="보통 4" xfId="31924" hidden="1"/>
    <cellStyle name="보통 4" xfId="31964" hidden="1"/>
    <cellStyle name="보통 4" xfId="32004" hidden="1"/>
    <cellStyle name="보통 4" xfId="32044" hidden="1"/>
    <cellStyle name="보통 4" xfId="32106" hidden="1"/>
    <cellStyle name="보통 4" xfId="32146" hidden="1"/>
    <cellStyle name="보통 4" xfId="32186" hidden="1"/>
    <cellStyle name="보통 4" xfId="32226" hidden="1"/>
    <cellStyle name="보통 4" xfId="32266" hidden="1"/>
    <cellStyle name="보통 4" xfId="32306" hidden="1"/>
    <cellStyle name="보통 4" xfId="32346" hidden="1"/>
    <cellStyle name="보통 4" xfId="32386" hidden="1"/>
    <cellStyle name="보통 4" xfId="32426" hidden="1"/>
    <cellStyle name="보통 4" xfId="32466" hidden="1"/>
    <cellStyle name="보통 4" xfId="32506" hidden="1"/>
    <cellStyle name="보통 4" xfId="32546" hidden="1"/>
    <cellStyle name="보통 4" xfId="32631" hidden="1"/>
    <cellStyle name="보통 4" xfId="32671" hidden="1"/>
    <cellStyle name="보통 4" xfId="32713" hidden="1"/>
    <cellStyle name="보통 4" xfId="32755" hidden="1"/>
    <cellStyle name="보통 4" xfId="32797" hidden="1"/>
    <cellStyle name="보통 4" xfId="32839" hidden="1"/>
    <cellStyle name="보통 4" xfId="32881" hidden="1"/>
    <cellStyle name="보통 4" xfId="32923" hidden="1"/>
    <cellStyle name="보통 4" xfId="32965" hidden="1"/>
    <cellStyle name="보통 4" xfId="33007" hidden="1"/>
    <cellStyle name="보통 4" xfId="33049" hidden="1"/>
    <cellStyle name="보통 4" xfId="33091" hidden="1"/>
    <cellStyle name="보통 4" xfId="32587" hidden="1"/>
    <cellStyle name="보통 4" xfId="33271" hidden="1"/>
    <cellStyle name="보통 4" xfId="33311" hidden="1"/>
    <cellStyle name="보통 4" xfId="33351" hidden="1"/>
    <cellStyle name="보통 4" xfId="33391" hidden="1"/>
    <cellStyle name="보통 4" xfId="33431" hidden="1"/>
    <cellStyle name="보통 4" xfId="33471" hidden="1"/>
    <cellStyle name="보통 4" xfId="33511" hidden="1"/>
    <cellStyle name="보통 4" xfId="33551" hidden="1"/>
    <cellStyle name="보통 4" xfId="33591" hidden="1"/>
    <cellStyle name="보통 4" xfId="33631" hidden="1"/>
    <cellStyle name="보통 4" xfId="33671" hidden="1"/>
    <cellStyle name="보통 4" xfId="33711" hidden="1"/>
    <cellStyle name="보통 4" xfId="33199" hidden="1"/>
    <cellStyle name="보통 4" xfId="33160" hidden="1"/>
    <cellStyle name="보통 4" xfId="33752" hidden="1"/>
    <cellStyle name="보통 4" xfId="33794" hidden="1"/>
    <cellStyle name="보통 4" xfId="33836" hidden="1"/>
    <cellStyle name="보통 4" xfId="33878" hidden="1"/>
    <cellStyle name="보통 4" xfId="33920" hidden="1"/>
    <cellStyle name="보통 4" xfId="33962" hidden="1"/>
    <cellStyle name="보통 4" xfId="34004" hidden="1"/>
    <cellStyle name="보통 4" xfId="34046" hidden="1"/>
    <cellStyle name="보통 4" xfId="34088" hidden="1"/>
    <cellStyle name="보통 4" xfId="34130" hidden="1"/>
    <cellStyle name="보통 4" xfId="33253" hidden="1"/>
    <cellStyle name="보통 4" xfId="33214" hidden="1"/>
    <cellStyle name="보통 4" xfId="34199" hidden="1"/>
    <cellStyle name="보통 4" xfId="34239" hidden="1"/>
    <cellStyle name="보통 4" xfId="34279" hidden="1"/>
    <cellStyle name="보통 4" xfId="34319" hidden="1"/>
    <cellStyle name="보통 4" xfId="34359" hidden="1"/>
    <cellStyle name="보통 4" xfId="34399" hidden="1"/>
    <cellStyle name="보통 4" xfId="34439" hidden="1"/>
    <cellStyle name="보통 4" xfId="34479" hidden="1"/>
    <cellStyle name="보통 4" xfId="34519" hidden="1"/>
    <cellStyle name="보통 4" xfId="34559" hidden="1"/>
    <cellStyle name="보통 4" xfId="34599" hidden="1"/>
    <cellStyle name="보통 4" xfId="34696" hidden="1"/>
    <cellStyle name="보통 4" xfId="34736" hidden="1"/>
    <cellStyle name="보통 4" xfId="34776" hidden="1"/>
    <cellStyle name="보통 4" xfId="34816" hidden="1"/>
    <cellStyle name="보통 4" xfId="34856" hidden="1"/>
    <cellStyle name="보통 4" xfId="34896" hidden="1"/>
    <cellStyle name="보통 4" xfId="34936" hidden="1"/>
    <cellStyle name="보통 4" xfId="34976" hidden="1"/>
    <cellStyle name="보통 4" xfId="35016" hidden="1"/>
    <cellStyle name="보통 4" xfId="35056" hidden="1"/>
    <cellStyle name="보통 4" xfId="35096" hidden="1"/>
    <cellStyle name="보통 4" xfId="35136" hidden="1"/>
    <cellStyle name="보통 4" xfId="35220" hidden="1"/>
    <cellStyle name="보통 4" xfId="35260" hidden="1"/>
    <cellStyle name="보통 4" xfId="35302" hidden="1"/>
    <cellStyle name="보통 4" xfId="35344" hidden="1"/>
    <cellStyle name="보통 4" xfId="35386" hidden="1"/>
    <cellStyle name="보통 4" xfId="35428" hidden="1"/>
    <cellStyle name="보통 4" xfId="35470" hidden="1"/>
    <cellStyle name="보통 4" xfId="35512" hidden="1"/>
    <cellStyle name="보통 4" xfId="35554" hidden="1"/>
    <cellStyle name="보통 4" xfId="35596" hidden="1"/>
    <cellStyle name="보통 4" xfId="35638" hidden="1"/>
    <cellStyle name="보통 4" xfId="35680" hidden="1"/>
    <cellStyle name="보통 4" xfId="35176" hidden="1"/>
    <cellStyle name="보통 4" xfId="35860" hidden="1"/>
    <cellStyle name="보통 4" xfId="35900" hidden="1"/>
    <cellStyle name="보통 4" xfId="35940" hidden="1"/>
    <cellStyle name="보통 4" xfId="35980" hidden="1"/>
    <cellStyle name="보통 4" xfId="36020" hidden="1"/>
    <cellStyle name="보통 4" xfId="36060" hidden="1"/>
    <cellStyle name="보통 4" xfId="36100" hidden="1"/>
    <cellStyle name="보통 4" xfId="36140" hidden="1"/>
    <cellStyle name="보통 4" xfId="36180" hidden="1"/>
    <cellStyle name="보통 4" xfId="36220" hidden="1"/>
    <cellStyle name="보통 4" xfId="36260" hidden="1"/>
    <cellStyle name="보통 4" xfId="36300" hidden="1"/>
    <cellStyle name="보통 4" xfId="35788" hidden="1"/>
    <cellStyle name="보통 4" xfId="35749" hidden="1"/>
    <cellStyle name="보통 4" xfId="36341" hidden="1"/>
    <cellStyle name="보통 4" xfId="36383" hidden="1"/>
    <cellStyle name="보통 4" xfId="36425" hidden="1"/>
    <cellStyle name="보통 4" xfId="36467" hidden="1"/>
    <cellStyle name="보통 4" xfId="36509" hidden="1"/>
    <cellStyle name="보통 4" xfId="36551" hidden="1"/>
    <cellStyle name="보통 4" xfId="36593" hidden="1"/>
    <cellStyle name="보통 4" xfId="36635" hidden="1"/>
    <cellStyle name="보통 4" xfId="36677" hidden="1"/>
    <cellStyle name="보통 4" xfId="36719" hidden="1"/>
    <cellStyle name="보통 4" xfId="35842" hidden="1"/>
    <cellStyle name="보통 4" xfId="35803" hidden="1"/>
    <cellStyle name="보통 4" xfId="36788" hidden="1"/>
    <cellStyle name="보통 4" xfId="36828" hidden="1"/>
    <cellStyle name="보통 4" xfId="36868" hidden="1"/>
    <cellStyle name="보통 4" xfId="36908" hidden="1"/>
    <cellStyle name="보통 4" xfId="36948" hidden="1"/>
    <cellStyle name="보통 4" xfId="36988" hidden="1"/>
    <cellStyle name="보통 4" xfId="37028" hidden="1"/>
    <cellStyle name="보통 4" xfId="37068" hidden="1"/>
    <cellStyle name="보통 4" xfId="37108" hidden="1"/>
    <cellStyle name="보통 4" xfId="37148" hidden="1"/>
    <cellStyle name="보통 4" xfId="37188" hidden="1"/>
    <cellStyle name="보통 4" xfId="34651" hidden="1"/>
    <cellStyle name="보통 4" xfId="37239" hidden="1"/>
    <cellStyle name="보통 4" xfId="37280" hidden="1"/>
    <cellStyle name="보통 4" xfId="37320" hidden="1"/>
    <cellStyle name="보통 4" xfId="37360" hidden="1"/>
    <cellStyle name="보통 4" xfId="37400" hidden="1"/>
    <cellStyle name="보통 4" xfId="37440" hidden="1"/>
    <cellStyle name="보통 4" xfId="37480" hidden="1"/>
    <cellStyle name="보통 4" xfId="37520" hidden="1"/>
    <cellStyle name="보통 4" xfId="37560" hidden="1"/>
    <cellStyle name="보통 4" xfId="37600" hidden="1"/>
    <cellStyle name="보통 4" xfId="37640" hidden="1"/>
    <cellStyle name="보통 4" xfId="37724" hidden="1"/>
    <cellStyle name="보통 4" xfId="37764" hidden="1"/>
    <cellStyle name="보통 4" xfId="37806" hidden="1"/>
    <cellStyle name="보통 4" xfId="37848" hidden="1"/>
    <cellStyle name="보통 4" xfId="37890" hidden="1"/>
    <cellStyle name="보통 4" xfId="37932" hidden="1"/>
    <cellStyle name="보통 4" xfId="37974" hidden="1"/>
    <cellStyle name="보통 4" xfId="38016" hidden="1"/>
    <cellStyle name="보통 4" xfId="38058" hidden="1"/>
    <cellStyle name="보통 4" xfId="38100" hidden="1"/>
    <cellStyle name="보통 4" xfId="38142" hidden="1"/>
    <cellStyle name="보통 4" xfId="38184" hidden="1"/>
    <cellStyle name="보통 4" xfId="37680" hidden="1"/>
    <cellStyle name="보통 4" xfId="38364" hidden="1"/>
    <cellStyle name="보통 4" xfId="38404" hidden="1"/>
    <cellStyle name="보통 4" xfId="38444" hidden="1"/>
    <cellStyle name="보통 4" xfId="38484" hidden="1"/>
    <cellStyle name="보통 4" xfId="38524" hidden="1"/>
    <cellStyle name="보통 4" xfId="38564" hidden="1"/>
    <cellStyle name="보통 4" xfId="38604" hidden="1"/>
    <cellStyle name="보통 4" xfId="38644" hidden="1"/>
    <cellStyle name="보통 4" xfId="38684" hidden="1"/>
    <cellStyle name="보통 4" xfId="38724" hidden="1"/>
    <cellStyle name="보통 4" xfId="38764" hidden="1"/>
    <cellStyle name="보통 4" xfId="38804" hidden="1"/>
    <cellStyle name="보통 4" xfId="38292" hidden="1"/>
    <cellStyle name="보통 4" xfId="38253" hidden="1"/>
    <cellStyle name="보통 4" xfId="38845" hidden="1"/>
    <cellStyle name="보통 4" xfId="38887" hidden="1"/>
    <cellStyle name="보통 4" xfId="38929" hidden="1"/>
    <cellStyle name="보통 4" xfId="38971" hidden="1"/>
    <cellStyle name="보통 4" xfId="39013" hidden="1"/>
    <cellStyle name="보통 4" xfId="39055" hidden="1"/>
    <cellStyle name="보통 4" xfId="39097" hidden="1"/>
    <cellStyle name="보통 4" xfId="39139" hidden="1"/>
    <cellStyle name="보통 4" xfId="39181" hidden="1"/>
    <cellStyle name="보통 4" xfId="39223" hidden="1"/>
    <cellStyle name="보통 4" xfId="38346" hidden="1"/>
    <cellStyle name="보통 4" xfId="38307" hidden="1"/>
    <cellStyle name="보통 4" xfId="39292" hidden="1"/>
    <cellStyle name="보통 4" xfId="39332" hidden="1"/>
    <cellStyle name="보통 4" xfId="39372" hidden="1"/>
    <cellStyle name="보통 4" xfId="39412" hidden="1"/>
    <cellStyle name="보통 4" xfId="39452" hidden="1"/>
    <cellStyle name="보통 4" xfId="39492" hidden="1"/>
    <cellStyle name="보통 4" xfId="39532" hidden="1"/>
    <cellStyle name="보통 4" xfId="39572" hidden="1"/>
    <cellStyle name="보통 4" xfId="39612" hidden="1"/>
    <cellStyle name="보통 4" xfId="39652" hidden="1"/>
    <cellStyle name="보통 4" xfId="39692" hidden="1"/>
    <cellStyle name="보통 4" xfId="34665" hidden="1"/>
    <cellStyle name="보통 4" xfId="39742" hidden="1"/>
    <cellStyle name="보통 4" xfId="39782" hidden="1"/>
    <cellStyle name="보통 4" xfId="39822" hidden="1"/>
    <cellStyle name="보통 4" xfId="39862" hidden="1"/>
    <cellStyle name="보통 4" xfId="39902" hidden="1"/>
    <cellStyle name="보통 4" xfId="39942" hidden="1"/>
    <cellStyle name="보통 4" xfId="39982" hidden="1"/>
    <cellStyle name="보통 4" xfId="40022" hidden="1"/>
    <cellStyle name="보통 4" xfId="40062" hidden="1"/>
    <cellStyle name="보통 4" xfId="40102" hidden="1"/>
    <cellStyle name="보통 4" xfId="40142" hidden="1"/>
    <cellStyle name="보통 4" xfId="40226" hidden="1"/>
    <cellStyle name="보통 4" xfId="40266" hidden="1"/>
    <cellStyle name="보통 4" xfId="40308" hidden="1"/>
    <cellStyle name="보통 4" xfId="40350" hidden="1"/>
    <cellStyle name="보통 4" xfId="40392" hidden="1"/>
    <cellStyle name="보통 4" xfId="40434" hidden="1"/>
    <cellStyle name="보통 4" xfId="40476" hidden="1"/>
    <cellStyle name="보통 4" xfId="40518" hidden="1"/>
    <cellStyle name="보통 4" xfId="40560" hidden="1"/>
    <cellStyle name="보통 4" xfId="40602" hidden="1"/>
    <cellStyle name="보통 4" xfId="40644" hidden="1"/>
    <cellStyle name="보통 4" xfId="40686" hidden="1"/>
    <cellStyle name="보통 4" xfId="40182" hidden="1"/>
    <cellStyle name="보통 4" xfId="40866" hidden="1"/>
    <cellStyle name="보통 4" xfId="40906" hidden="1"/>
    <cellStyle name="보통 4" xfId="40946" hidden="1"/>
    <cellStyle name="보통 4" xfId="40986" hidden="1"/>
    <cellStyle name="보통 4" xfId="41026" hidden="1"/>
    <cellStyle name="보통 4" xfId="41066" hidden="1"/>
    <cellStyle name="보통 4" xfId="41106" hidden="1"/>
    <cellStyle name="보통 4" xfId="41146" hidden="1"/>
    <cellStyle name="보통 4" xfId="41186" hidden="1"/>
    <cellStyle name="보통 4" xfId="41226" hidden="1"/>
    <cellStyle name="보통 4" xfId="41266" hidden="1"/>
    <cellStyle name="보통 4" xfId="41306" hidden="1"/>
    <cellStyle name="보통 4" xfId="40794" hidden="1"/>
    <cellStyle name="보통 4" xfId="40755" hidden="1"/>
    <cellStyle name="보통 4" xfId="41347" hidden="1"/>
    <cellStyle name="보통 4" xfId="41389" hidden="1"/>
    <cellStyle name="보통 4" xfId="41431" hidden="1"/>
    <cellStyle name="보통 4" xfId="41473" hidden="1"/>
    <cellStyle name="보통 4" xfId="41515" hidden="1"/>
    <cellStyle name="보통 4" xfId="41557" hidden="1"/>
    <cellStyle name="보통 4" xfId="41599" hidden="1"/>
    <cellStyle name="보통 4" xfId="41641" hidden="1"/>
    <cellStyle name="보통 4" xfId="41683" hidden="1"/>
    <cellStyle name="보통 4" xfId="41725" hidden="1"/>
    <cellStyle name="보통 4" xfId="40848" hidden="1"/>
    <cellStyle name="보통 4" xfId="40809" hidden="1"/>
    <cellStyle name="보통 4" xfId="41794" hidden="1"/>
    <cellStyle name="보통 4" xfId="41834" hidden="1"/>
    <cellStyle name="보통 4" xfId="41874" hidden="1"/>
    <cellStyle name="보통 4" xfId="41914" hidden="1"/>
    <cellStyle name="보통 4" xfId="41954" hidden="1"/>
    <cellStyle name="보통 4" xfId="41994" hidden="1"/>
    <cellStyle name="보통 4" xfId="42034" hidden="1"/>
    <cellStyle name="보통 4" xfId="42074" hidden="1"/>
    <cellStyle name="보통 4" xfId="42114" hidden="1"/>
    <cellStyle name="보통 4" xfId="42154" hidden="1"/>
    <cellStyle name="보통 4" xfId="42194" hidden="1"/>
    <cellStyle name="보통 4" xfId="42237" hidden="1"/>
    <cellStyle name="보통 4" xfId="42277" hidden="1"/>
    <cellStyle name="보통 4" xfId="42317" hidden="1"/>
    <cellStyle name="보통 4" xfId="42357" hidden="1"/>
    <cellStyle name="보통 4" xfId="42397" hidden="1"/>
    <cellStyle name="보통 4" xfId="42437" hidden="1"/>
    <cellStyle name="보통 4" xfId="42477" hidden="1"/>
    <cellStyle name="보통 4" xfId="42517" hidden="1"/>
    <cellStyle name="보통 4" xfId="42557" hidden="1"/>
    <cellStyle name="보통 4" xfId="42597" hidden="1"/>
    <cellStyle name="보통 4" xfId="42637" hidden="1"/>
    <cellStyle name="보통 4" xfId="42677" hidden="1"/>
    <cellStyle name="보통 4" xfId="42761" hidden="1"/>
    <cellStyle name="보통 4" xfId="42801" hidden="1"/>
    <cellStyle name="보통 4" xfId="42843" hidden="1"/>
    <cellStyle name="보통 4" xfId="42885" hidden="1"/>
    <cellStyle name="보통 4" xfId="42927" hidden="1"/>
    <cellStyle name="보통 4" xfId="42969" hidden="1"/>
    <cellStyle name="보통 4" xfId="43011" hidden="1"/>
    <cellStyle name="보통 4" xfId="43053" hidden="1"/>
    <cellStyle name="보통 4" xfId="43095" hidden="1"/>
    <cellStyle name="보통 4" xfId="43137" hidden="1"/>
    <cellStyle name="보통 4" xfId="43179" hidden="1"/>
    <cellStyle name="보통 4" xfId="43221" hidden="1"/>
    <cellStyle name="보통 4" xfId="42717" hidden="1"/>
    <cellStyle name="보통 4" xfId="43401" hidden="1"/>
    <cellStyle name="보통 4" xfId="43441" hidden="1"/>
    <cellStyle name="보통 4" xfId="43481" hidden="1"/>
    <cellStyle name="보통 4" xfId="43521" hidden="1"/>
    <cellStyle name="보통 4" xfId="43561" hidden="1"/>
    <cellStyle name="보통 4" xfId="43601" hidden="1"/>
    <cellStyle name="보통 4" xfId="43641" hidden="1"/>
    <cellStyle name="보통 4" xfId="43681" hidden="1"/>
    <cellStyle name="보통 4" xfId="43721" hidden="1"/>
    <cellStyle name="보통 4" xfId="43761" hidden="1"/>
    <cellStyle name="보통 4" xfId="43801" hidden="1"/>
    <cellStyle name="보통 4" xfId="43841" hidden="1"/>
    <cellStyle name="보통 4" xfId="43329" hidden="1"/>
    <cellStyle name="보통 4" xfId="43290" hidden="1"/>
    <cellStyle name="보통 4" xfId="43882" hidden="1"/>
    <cellStyle name="보통 4" xfId="43924" hidden="1"/>
    <cellStyle name="보통 4" xfId="43966" hidden="1"/>
    <cellStyle name="보통 4" xfId="44008" hidden="1"/>
    <cellStyle name="보통 4" xfId="44050" hidden="1"/>
    <cellStyle name="보통 4" xfId="44092" hidden="1"/>
    <cellStyle name="보통 4" xfId="44134" hidden="1"/>
    <cellStyle name="보통 4" xfId="44176" hidden="1"/>
    <cellStyle name="보통 4" xfId="44218" hidden="1"/>
    <cellStyle name="보통 4" xfId="44260" hidden="1"/>
    <cellStyle name="보통 4" xfId="43383" hidden="1"/>
    <cellStyle name="보통 4" xfId="43344" hidden="1"/>
    <cellStyle name="보통 4" xfId="44329" hidden="1"/>
    <cellStyle name="보통 4" xfId="44369" hidden="1"/>
    <cellStyle name="보통 4" xfId="44409" hidden="1"/>
    <cellStyle name="보통 4" xfId="44449" hidden="1"/>
    <cellStyle name="보통 4" xfId="44489" hidden="1"/>
    <cellStyle name="보통 4" xfId="44529" hidden="1"/>
    <cellStyle name="보통 4" xfId="44569" hidden="1"/>
    <cellStyle name="보통 4" xfId="44609" hidden="1"/>
    <cellStyle name="보통 4" xfId="44649" hidden="1"/>
    <cellStyle name="보통 4" xfId="44689" hidden="1"/>
    <cellStyle name="보통 4" xfId="44729" hidden="1"/>
    <cellStyle name="보통 4" xfId="44825" hidden="1"/>
    <cellStyle name="보통 4" xfId="44865" hidden="1"/>
    <cellStyle name="보통 4" xfId="44906" hidden="1"/>
    <cellStyle name="보통 4" xfId="44948" hidden="1"/>
    <cellStyle name="보통 4" xfId="44988" hidden="1"/>
    <cellStyle name="보통 4" xfId="45028" hidden="1"/>
    <cellStyle name="보통 4" xfId="45068" hidden="1"/>
    <cellStyle name="보통 4" xfId="45108" hidden="1"/>
    <cellStyle name="보통 4" xfId="45148" hidden="1"/>
    <cellStyle name="보통 4" xfId="45188" hidden="1"/>
    <cellStyle name="보통 4" xfId="45228" hidden="1"/>
    <cellStyle name="보통 4" xfId="45268" hidden="1"/>
    <cellStyle name="보통 4" xfId="45352" hidden="1"/>
    <cellStyle name="보통 4" xfId="45392" hidden="1"/>
    <cellStyle name="보통 4" xfId="45434" hidden="1"/>
    <cellStyle name="보통 4" xfId="45476" hidden="1"/>
    <cellStyle name="보통 4" xfId="45518" hidden="1"/>
    <cellStyle name="보통 4" xfId="45560" hidden="1"/>
    <cellStyle name="보통 4" xfId="45602" hidden="1"/>
    <cellStyle name="보통 4" xfId="45644" hidden="1"/>
    <cellStyle name="보통 4" xfId="45686" hidden="1"/>
    <cellStyle name="보통 4" xfId="45728" hidden="1"/>
    <cellStyle name="보통 4" xfId="45770" hidden="1"/>
    <cellStyle name="보통 4" xfId="45812" hidden="1"/>
    <cellStyle name="보통 4" xfId="45308" hidden="1"/>
    <cellStyle name="보통 4" xfId="45992" hidden="1"/>
    <cellStyle name="보통 4" xfId="46032" hidden="1"/>
    <cellStyle name="보통 4" xfId="46072" hidden="1"/>
    <cellStyle name="보통 4" xfId="46112" hidden="1"/>
    <cellStyle name="보통 4" xfId="46152" hidden="1"/>
    <cellStyle name="보통 4" xfId="46192" hidden="1"/>
    <cellStyle name="보통 4" xfId="46232" hidden="1"/>
    <cellStyle name="보통 4" xfId="46272" hidden="1"/>
    <cellStyle name="보통 4" xfId="46312" hidden="1"/>
    <cellStyle name="보통 4" xfId="46352" hidden="1"/>
    <cellStyle name="보통 4" xfId="46392" hidden="1"/>
    <cellStyle name="보통 4" xfId="46432" hidden="1"/>
    <cellStyle name="보통 4" xfId="45920" hidden="1"/>
    <cellStyle name="보통 4" xfId="45881" hidden="1"/>
    <cellStyle name="보통 4" xfId="46473" hidden="1"/>
    <cellStyle name="보통 4" xfId="46515" hidden="1"/>
    <cellStyle name="보통 4" xfId="46557" hidden="1"/>
    <cellStyle name="보통 4" xfId="46599" hidden="1"/>
    <cellStyle name="보통 4" xfId="46641" hidden="1"/>
    <cellStyle name="보통 4" xfId="46683" hidden="1"/>
    <cellStyle name="보통 4" xfId="46725" hidden="1"/>
    <cellStyle name="보통 4" xfId="46767" hidden="1"/>
    <cellStyle name="보통 4" xfId="46809" hidden="1"/>
    <cellStyle name="보통 4" xfId="46851" hidden="1"/>
    <cellStyle name="보통 4" xfId="45974" hidden="1"/>
    <cellStyle name="보통 4" xfId="45935" hidden="1"/>
    <cellStyle name="보통 4" xfId="46920" hidden="1"/>
    <cellStyle name="보통 4" xfId="46960" hidden="1"/>
    <cellStyle name="보통 4" xfId="47000" hidden="1"/>
    <cellStyle name="보통 4" xfId="47040" hidden="1"/>
    <cellStyle name="보통 4" xfId="47080" hidden="1"/>
    <cellStyle name="보통 4" xfId="47120" hidden="1"/>
    <cellStyle name="보통 4" xfId="47160" hidden="1"/>
    <cellStyle name="보통 4" xfId="47200" hidden="1"/>
    <cellStyle name="보통 4" xfId="47240" hidden="1"/>
    <cellStyle name="보통 4" xfId="47280" hidden="1"/>
    <cellStyle name="보통 4" xfId="47320" hidden="1"/>
    <cellStyle name="보통 4" xfId="44781" hidden="1"/>
    <cellStyle name="보통 4" xfId="47371" hidden="1"/>
    <cellStyle name="보통 4" xfId="47411" hidden="1"/>
    <cellStyle name="보통 4" xfId="47451" hidden="1"/>
    <cellStyle name="보통 4" xfId="47491" hidden="1"/>
    <cellStyle name="보통 4" xfId="47531" hidden="1"/>
    <cellStyle name="보통 4" xfId="47571" hidden="1"/>
    <cellStyle name="보통 4" xfId="47611" hidden="1"/>
    <cellStyle name="보통 4" xfId="47651" hidden="1"/>
    <cellStyle name="보통 4" xfId="47691" hidden="1"/>
    <cellStyle name="보통 4" xfId="47731" hidden="1"/>
    <cellStyle name="보통 4" xfId="47771" hidden="1"/>
    <cellStyle name="보통 4" xfId="47855" hidden="1"/>
    <cellStyle name="보통 4" xfId="47895" hidden="1"/>
    <cellStyle name="보통 4" xfId="47937" hidden="1"/>
    <cellStyle name="보통 4" xfId="47979" hidden="1"/>
    <cellStyle name="보통 4" xfId="48021" hidden="1"/>
    <cellStyle name="보통 4" xfId="48063" hidden="1"/>
    <cellStyle name="보통 4" xfId="48105" hidden="1"/>
    <cellStyle name="보통 4" xfId="48147" hidden="1"/>
    <cellStyle name="보통 4" xfId="48189" hidden="1"/>
    <cellStyle name="보통 4" xfId="48231" hidden="1"/>
    <cellStyle name="보통 4" xfId="48273" hidden="1"/>
    <cellStyle name="보통 4" xfId="48315" hidden="1"/>
    <cellStyle name="보통 4" xfId="47811" hidden="1"/>
    <cellStyle name="보통 4" xfId="48495" hidden="1"/>
    <cellStyle name="보통 4" xfId="48535" hidden="1"/>
    <cellStyle name="보통 4" xfId="48575" hidden="1"/>
    <cellStyle name="보통 4" xfId="48615" hidden="1"/>
    <cellStyle name="보통 4" xfId="48655" hidden="1"/>
    <cellStyle name="보통 4" xfId="48695" hidden="1"/>
    <cellStyle name="보통 4" xfId="48735" hidden="1"/>
    <cellStyle name="보통 4" xfId="48775" hidden="1"/>
    <cellStyle name="보통 4" xfId="48815" hidden="1"/>
    <cellStyle name="보통 4" xfId="48855" hidden="1"/>
    <cellStyle name="보통 4" xfId="48895" hidden="1"/>
    <cellStyle name="보통 4" xfId="48935" hidden="1"/>
    <cellStyle name="보통 4" xfId="48423" hidden="1"/>
    <cellStyle name="보통 4" xfId="48384" hidden="1"/>
    <cellStyle name="보통 4" xfId="48976" hidden="1"/>
    <cellStyle name="보통 4" xfId="49018" hidden="1"/>
    <cellStyle name="보통 4" xfId="49060" hidden="1"/>
    <cellStyle name="보통 4" xfId="49102" hidden="1"/>
    <cellStyle name="보통 4" xfId="49144" hidden="1"/>
    <cellStyle name="보통 4" xfId="49186" hidden="1"/>
    <cellStyle name="보통 4" xfId="49228" hidden="1"/>
    <cellStyle name="보통 4" xfId="49270" hidden="1"/>
    <cellStyle name="보통 4" xfId="49312" hidden="1"/>
    <cellStyle name="보통 4" xfId="49354" hidden="1"/>
    <cellStyle name="보통 4" xfId="48477" hidden="1"/>
    <cellStyle name="보통 4" xfId="48438" hidden="1"/>
    <cellStyle name="보통 4" xfId="49423" hidden="1"/>
    <cellStyle name="보통 4" xfId="49463" hidden="1"/>
    <cellStyle name="보통 4" xfId="49503" hidden="1"/>
    <cellStyle name="보통 4" xfId="49543" hidden="1"/>
    <cellStyle name="보통 4" xfId="49583" hidden="1"/>
    <cellStyle name="보통 4" xfId="49623" hidden="1"/>
    <cellStyle name="보통 4" xfId="49663" hidden="1"/>
    <cellStyle name="보통 4" xfId="49703" hidden="1"/>
    <cellStyle name="보통 4" xfId="49743" hidden="1"/>
    <cellStyle name="보통 4" xfId="49783" hidden="1"/>
    <cellStyle name="보통 4" xfId="49823" hidden="1"/>
    <cellStyle name="보통 4" xfId="44794" hidden="1"/>
    <cellStyle name="보통 4" xfId="49873" hidden="1"/>
    <cellStyle name="보통 4" xfId="49913" hidden="1"/>
    <cellStyle name="보통 4" xfId="49953" hidden="1"/>
    <cellStyle name="보통 4" xfId="49993" hidden="1"/>
    <cellStyle name="보통 4" xfId="50033" hidden="1"/>
    <cellStyle name="보통 4" xfId="50073" hidden="1"/>
    <cellStyle name="보통 4" xfId="50113" hidden="1"/>
    <cellStyle name="보통 4" xfId="50153" hidden="1"/>
    <cellStyle name="보통 4" xfId="50193" hidden="1"/>
    <cellStyle name="보통 4" xfId="50233" hidden="1"/>
    <cellStyle name="보통 4" xfId="50273" hidden="1"/>
    <cellStyle name="보통 4" xfId="50357" hidden="1"/>
    <cellStyle name="보통 4" xfId="50397" hidden="1"/>
    <cellStyle name="보통 4" xfId="50439" hidden="1"/>
    <cellStyle name="보통 4" xfId="50481" hidden="1"/>
    <cellStyle name="보통 4" xfId="50523" hidden="1"/>
    <cellStyle name="보통 4" xfId="50565" hidden="1"/>
    <cellStyle name="보통 4" xfId="50607" hidden="1"/>
    <cellStyle name="보통 4" xfId="50649" hidden="1"/>
    <cellStyle name="보통 4" xfId="50691" hidden="1"/>
    <cellStyle name="보통 4" xfId="50733" hidden="1"/>
    <cellStyle name="보통 4" xfId="50775" hidden="1"/>
    <cellStyle name="보통 4" xfId="50817" hidden="1"/>
    <cellStyle name="보통 4" xfId="50313" hidden="1"/>
    <cellStyle name="보통 4" xfId="50997" hidden="1"/>
    <cellStyle name="보통 4" xfId="51037" hidden="1"/>
    <cellStyle name="보통 4" xfId="51077" hidden="1"/>
    <cellStyle name="보통 4" xfId="51117" hidden="1"/>
    <cellStyle name="보통 4" xfId="51157" hidden="1"/>
    <cellStyle name="보통 4" xfId="51197" hidden="1"/>
    <cellStyle name="보통 4" xfId="51237" hidden="1"/>
    <cellStyle name="보통 4" xfId="51277" hidden="1"/>
    <cellStyle name="보통 4" xfId="51317" hidden="1"/>
    <cellStyle name="보통 4" xfId="51357" hidden="1"/>
    <cellStyle name="보통 4" xfId="51397" hidden="1"/>
    <cellStyle name="보통 4" xfId="51437" hidden="1"/>
    <cellStyle name="보통 4" xfId="50925" hidden="1"/>
    <cellStyle name="보통 4" xfId="50886" hidden="1"/>
    <cellStyle name="보통 4" xfId="51478" hidden="1"/>
    <cellStyle name="보통 4" xfId="51520" hidden="1"/>
    <cellStyle name="보통 4" xfId="51562" hidden="1"/>
    <cellStyle name="보통 4" xfId="51604" hidden="1"/>
    <cellStyle name="보통 4" xfId="51646" hidden="1"/>
    <cellStyle name="보통 4" xfId="51688" hidden="1"/>
    <cellStyle name="보통 4" xfId="51730" hidden="1"/>
    <cellStyle name="보통 4" xfId="51772" hidden="1"/>
    <cellStyle name="보통 4" xfId="51814" hidden="1"/>
    <cellStyle name="보통 4" xfId="51856" hidden="1"/>
    <cellStyle name="보통 4" xfId="50979" hidden="1"/>
    <cellStyle name="보통 4" xfId="50940" hidden="1"/>
    <cellStyle name="보통 4" xfId="51925" hidden="1"/>
    <cellStyle name="보통 4" xfId="51965" hidden="1"/>
    <cellStyle name="보통 4" xfId="52005" hidden="1"/>
    <cellStyle name="보통 4" xfId="52045" hidden="1"/>
    <cellStyle name="보통 4" xfId="52085" hidden="1"/>
    <cellStyle name="보통 4" xfId="52125" hidden="1"/>
    <cellStyle name="보통 4" xfId="52165" hidden="1"/>
    <cellStyle name="보통 4" xfId="52205" hidden="1"/>
    <cellStyle name="보통 4" xfId="52245" hidden="1"/>
    <cellStyle name="보통 4" xfId="52285" hidden="1"/>
    <cellStyle name="보통 4" xfId="52325" hidden="1"/>
    <cellStyle name="보통 4 2" xfId="6074"/>
    <cellStyle name="보통 4 3" xfId="6075"/>
    <cellStyle name="보통 4 4" xfId="6076"/>
    <cellStyle name="보통 4 5" xfId="6077"/>
    <cellStyle name="보통 40" xfId="6078"/>
    <cellStyle name="보통 41" xfId="6079"/>
    <cellStyle name="보통 42" xfId="6080"/>
    <cellStyle name="보통 43" xfId="6081"/>
    <cellStyle name="보통 44" xfId="6082"/>
    <cellStyle name="보통 45" xfId="6083"/>
    <cellStyle name="보통 46" xfId="6084"/>
    <cellStyle name="보통 47" xfId="6085"/>
    <cellStyle name="보통 48" xfId="6086"/>
    <cellStyle name="보통 49" xfId="6087"/>
    <cellStyle name="보통 5" xfId="6088"/>
    <cellStyle name="보통 50" xfId="6089"/>
    <cellStyle name="보통 51" xfId="6090"/>
    <cellStyle name="보통 52" xfId="6091"/>
    <cellStyle name="보통 6" xfId="6092"/>
    <cellStyle name="보통 7" xfId="6093"/>
    <cellStyle name="보통 8" xfId="6094"/>
    <cellStyle name="보통 9" xfId="6095"/>
    <cellStyle name="뷭?" xfId="368"/>
    <cellStyle name="설명 텍스트 10" xfId="6096"/>
    <cellStyle name="설명 텍스트 11" xfId="6097"/>
    <cellStyle name="설명 텍스트 12" xfId="6098"/>
    <cellStyle name="설명 텍스트 13" xfId="6099"/>
    <cellStyle name="설명 텍스트 14" xfId="6100"/>
    <cellStyle name="설명 텍스트 15" xfId="6101"/>
    <cellStyle name="설명 텍스트 16" xfId="6102"/>
    <cellStyle name="설명 텍스트 17" xfId="6103"/>
    <cellStyle name="설명 텍스트 18" xfId="6104"/>
    <cellStyle name="설명 텍스트 19" xfId="6105"/>
    <cellStyle name="설명 텍스트 2" xfId="369"/>
    <cellStyle name="설명 텍스트 2 10" xfId="6106"/>
    <cellStyle name="설명 텍스트 2 100" xfId="6107"/>
    <cellStyle name="설명 텍스트 2 101" xfId="6108"/>
    <cellStyle name="설명 텍스트 2 102" xfId="6109"/>
    <cellStyle name="설명 텍스트 2 103" xfId="6110"/>
    <cellStyle name="설명 텍스트 2 104" xfId="6111"/>
    <cellStyle name="설명 텍스트 2 105" xfId="6112"/>
    <cellStyle name="설명 텍스트 2 106" xfId="6113"/>
    <cellStyle name="설명 텍스트 2 107" xfId="6114"/>
    <cellStyle name="설명 텍스트 2 108" xfId="6115"/>
    <cellStyle name="설명 텍스트 2 109" xfId="6116"/>
    <cellStyle name="설명 텍스트 2 11" xfId="6117"/>
    <cellStyle name="설명 텍스트 2 110" xfId="6118"/>
    <cellStyle name="설명 텍스트 2 111" xfId="6119"/>
    <cellStyle name="설명 텍스트 2 112" xfId="6120"/>
    <cellStyle name="설명 텍스트 2 12" xfId="6121"/>
    <cellStyle name="설명 텍스트 2 13" xfId="6122"/>
    <cellStyle name="설명 텍스트 2 14" xfId="6123"/>
    <cellStyle name="설명 텍스트 2 15" xfId="6124"/>
    <cellStyle name="설명 텍스트 2 16" xfId="6125"/>
    <cellStyle name="설명 텍스트 2 17" xfId="6126"/>
    <cellStyle name="설명 텍스트 2 18" xfId="6127"/>
    <cellStyle name="설명 텍스트 2 19" xfId="6128"/>
    <cellStyle name="설명 텍스트 2 2" xfId="6129"/>
    <cellStyle name="설명 텍스트 2 2 2" xfId="6130"/>
    <cellStyle name="설명 텍스트 2 2 3" xfId="6131"/>
    <cellStyle name="설명 텍스트 2 2 4" xfId="6132"/>
    <cellStyle name="설명 텍스트 2 2 5" xfId="6133"/>
    <cellStyle name="설명 텍스트 2 20" xfId="6134"/>
    <cellStyle name="설명 텍스트 2 21" xfId="6135"/>
    <cellStyle name="설명 텍스트 2 22" xfId="6136"/>
    <cellStyle name="설명 텍스트 2 23" xfId="6137"/>
    <cellStyle name="설명 텍스트 2 24" xfId="6138"/>
    <cellStyle name="설명 텍스트 2 25" xfId="6139"/>
    <cellStyle name="설명 텍스트 2 26" xfId="6140"/>
    <cellStyle name="설명 텍스트 2 27" xfId="6141"/>
    <cellStyle name="설명 텍스트 2 28" xfId="6142"/>
    <cellStyle name="설명 텍스트 2 29" xfId="6143"/>
    <cellStyle name="설명 텍스트 2 3" xfId="6144"/>
    <cellStyle name="설명 텍스트 2 30" xfId="6145"/>
    <cellStyle name="설명 텍스트 2 31" xfId="6146"/>
    <cellStyle name="설명 텍스트 2 32" xfId="6147"/>
    <cellStyle name="설명 텍스트 2 33" xfId="6148"/>
    <cellStyle name="설명 텍스트 2 34" xfId="6149"/>
    <cellStyle name="설명 텍스트 2 35" xfId="6150"/>
    <cellStyle name="설명 텍스트 2 36" xfId="6151"/>
    <cellStyle name="설명 텍스트 2 37" xfId="6152"/>
    <cellStyle name="설명 텍스트 2 38" xfId="6153"/>
    <cellStyle name="설명 텍스트 2 39" xfId="6154"/>
    <cellStyle name="설명 텍스트 2 4" xfId="6155"/>
    <cellStyle name="설명 텍스트 2 40" xfId="6156"/>
    <cellStyle name="설명 텍스트 2 41" xfId="6157"/>
    <cellStyle name="설명 텍스트 2 42" xfId="6158"/>
    <cellStyle name="설명 텍스트 2 43" xfId="6159"/>
    <cellStyle name="설명 텍스트 2 44" xfId="6160"/>
    <cellStyle name="설명 텍스트 2 45" xfId="6161"/>
    <cellStyle name="설명 텍스트 2 46" xfId="6162"/>
    <cellStyle name="설명 텍스트 2 47" xfId="6163"/>
    <cellStyle name="설명 텍스트 2 48" xfId="6164"/>
    <cellStyle name="설명 텍스트 2 49" xfId="6165"/>
    <cellStyle name="설명 텍스트 2 5" xfId="6166"/>
    <cellStyle name="설명 텍스트 2 50" xfId="6167"/>
    <cellStyle name="설명 텍스트 2 51" xfId="6168"/>
    <cellStyle name="설명 텍스트 2 52" xfId="6169"/>
    <cellStyle name="설명 텍스트 2 53" xfId="6170"/>
    <cellStyle name="설명 텍스트 2 54" xfId="6171"/>
    <cellStyle name="설명 텍스트 2 55" xfId="6172"/>
    <cellStyle name="설명 텍스트 2 56" xfId="6173"/>
    <cellStyle name="설명 텍스트 2 57" xfId="6174"/>
    <cellStyle name="설명 텍스트 2 58" xfId="6175"/>
    <cellStyle name="설명 텍스트 2 59" xfId="6176"/>
    <cellStyle name="설명 텍스트 2 6" xfId="6177"/>
    <cellStyle name="설명 텍스트 2 60" xfId="6178"/>
    <cellStyle name="설명 텍스트 2 61" xfId="6179"/>
    <cellStyle name="설명 텍스트 2 62" xfId="6180"/>
    <cellStyle name="설명 텍스트 2 63" xfId="6181"/>
    <cellStyle name="설명 텍스트 2 64" xfId="6182"/>
    <cellStyle name="설명 텍스트 2 65" xfId="6183"/>
    <cellStyle name="설명 텍스트 2 66" xfId="6184"/>
    <cellStyle name="설명 텍스트 2 67" xfId="6185"/>
    <cellStyle name="설명 텍스트 2 68" xfId="6186"/>
    <cellStyle name="설명 텍스트 2 69" xfId="6187"/>
    <cellStyle name="설명 텍스트 2 7" xfId="6188"/>
    <cellStyle name="설명 텍스트 2 70" xfId="6189"/>
    <cellStyle name="설명 텍스트 2 71" xfId="6190"/>
    <cellStyle name="설명 텍스트 2 72" xfId="6191"/>
    <cellStyle name="설명 텍스트 2 73" xfId="6192"/>
    <cellStyle name="설명 텍스트 2 74" xfId="6193"/>
    <cellStyle name="설명 텍스트 2 75" xfId="6194"/>
    <cellStyle name="설명 텍스트 2 76" xfId="6195"/>
    <cellStyle name="설명 텍스트 2 77" xfId="6196"/>
    <cellStyle name="설명 텍스트 2 78" xfId="6197"/>
    <cellStyle name="설명 텍스트 2 79" xfId="6198"/>
    <cellStyle name="설명 텍스트 2 8" xfId="6199"/>
    <cellStyle name="설명 텍스트 2 80" xfId="6200"/>
    <cellStyle name="설명 텍스트 2 81" xfId="6201"/>
    <cellStyle name="설명 텍스트 2 82" xfId="6202"/>
    <cellStyle name="설명 텍스트 2 83" xfId="6203"/>
    <cellStyle name="설명 텍스트 2 84" xfId="6204"/>
    <cellStyle name="설명 텍스트 2 85" xfId="6205"/>
    <cellStyle name="설명 텍스트 2 86" xfId="6206"/>
    <cellStyle name="설명 텍스트 2 87" xfId="6207"/>
    <cellStyle name="설명 텍스트 2 88" xfId="6208"/>
    <cellStyle name="설명 텍스트 2 89" xfId="6209"/>
    <cellStyle name="설명 텍스트 2 9" xfId="6210"/>
    <cellStyle name="설명 텍스트 2 90" xfId="6211"/>
    <cellStyle name="설명 텍스트 2 91" xfId="6212"/>
    <cellStyle name="설명 텍스트 2 92" xfId="6213"/>
    <cellStyle name="설명 텍스트 2 93" xfId="6214"/>
    <cellStyle name="설명 텍스트 2 94" xfId="6215"/>
    <cellStyle name="설명 텍스트 2 95" xfId="6216"/>
    <cellStyle name="설명 텍스트 2 96" xfId="6217"/>
    <cellStyle name="설명 텍스트 2 97" xfId="6218"/>
    <cellStyle name="설명 텍스트 2 98" xfId="6219"/>
    <cellStyle name="설명 텍스트 2 99" xfId="6220"/>
    <cellStyle name="설명 텍스트 20" xfId="6221"/>
    <cellStyle name="설명 텍스트 21" xfId="6222"/>
    <cellStyle name="설명 텍스트 22" xfId="6223"/>
    <cellStyle name="설명 텍스트 23" xfId="6224"/>
    <cellStyle name="설명 텍스트 24" xfId="6225"/>
    <cellStyle name="설명 텍스트 25" xfId="6226"/>
    <cellStyle name="설명 텍스트 26" xfId="6227"/>
    <cellStyle name="설명 텍스트 27" xfId="6228"/>
    <cellStyle name="설명 텍스트 28" xfId="6229"/>
    <cellStyle name="설명 텍스트 29" xfId="6230"/>
    <cellStyle name="설명 텍스트 3" xfId="370"/>
    <cellStyle name="설명 텍스트 30" xfId="6231"/>
    <cellStyle name="설명 텍스트 31" xfId="6232"/>
    <cellStyle name="설명 텍스트 32" xfId="6233"/>
    <cellStyle name="설명 텍스트 33" xfId="6234"/>
    <cellStyle name="설명 텍스트 34" xfId="6235"/>
    <cellStyle name="설명 텍스트 35" xfId="6236"/>
    <cellStyle name="설명 텍스트 36" xfId="6237"/>
    <cellStyle name="설명 텍스트 37" xfId="6238"/>
    <cellStyle name="설명 텍스트 38" xfId="6239"/>
    <cellStyle name="설명 텍스트 39" xfId="6240"/>
    <cellStyle name="설명 텍스트 4" xfId="11722" hidden="1"/>
    <cellStyle name="설명 텍스트 4" xfId="11768" hidden="1"/>
    <cellStyle name="설명 텍스트 4" xfId="11814" hidden="1"/>
    <cellStyle name="설명 텍스트 4" xfId="11860" hidden="1"/>
    <cellStyle name="설명 텍스트 4" xfId="11906" hidden="1"/>
    <cellStyle name="설명 텍스트 4" xfId="11952" hidden="1"/>
    <cellStyle name="설명 텍스트 4" xfId="11998" hidden="1"/>
    <cellStyle name="설명 텍스트 4" xfId="12044" hidden="1"/>
    <cellStyle name="설명 텍스트 4" xfId="12090" hidden="1"/>
    <cellStyle name="설명 텍스트 4" xfId="12136" hidden="1"/>
    <cellStyle name="설명 텍스트 4" xfId="12182" hidden="1"/>
    <cellStyle name="설명 텍스트 4" xfId="12228" hidden="1"/>
    <cellStyle name="설명 텍스트 4" xfId="12318" hidden="1"/>
    <cellStyle name="설명 텍스트 4" xfId="12359" hidden="1"/>
    <cellStyle name="설명 텍스트 4" xfId="12401" hidden="1"/>
    <cellStyle name="설명 텍스트 4" xfId="12443" hidden="1"/>
    <cellStyle name="설명 텍스트 4" xfId="12485" hidden="1"/>
    <cellStyle name="설명 텍스트 4" xfId="12527" hidden="1"/>
    <cellStyle name="설명 텍스트 4" xfId="12569" hidden="1"/>
    <cellStyle name="설명 텍스트 4" xfId="12611" hidden="1"/>
    <cellStyle name="설명 텍스트 4" xfId="12653" hidden="1"/>
    <cellStyle name="설명 텍스트 4" xfId="12695" hidden="1"/>
    <cellStyle name="설명 텍스트 4" xfId="12737" hidden="1"/>
    <cellStyle name="설명 텍스트 4" xfId="12779" hidden="1"/>
    <cellStyle name="설명 텍스트 4" xfId="12273" hidden="1"/>
    <cellStyle name="설명 텍스트 4" xfId="12961" hidden="1"/>
    <cellStyle name="설명 텍스트 4" xfId="13001" hidden="1"/>
    <cellStyle name="설명 텍스트 4" xfId="13041" hidden="1"/>
    <cellStyle name="설명 텍스트 4" xfId="13081" hidden="1"/>
    <cellStyle name="설명 텍스트 4" xfId="13121" hidden="1"/>
    <cellStyle name="설명 텍스트 4" xfId="13161" hidden="1"/>
    <cellStyle name="설명 텍스트 4" xfId="13201" hidden="1"/>
    <cellStyle name="설명 텍스트 4" xfId="13241" hidden="1"/>
    <cellStyle name="설명 텍스트 4" xfId="13281" hidden="1"/>
    <cellStyle name="설명 텍스트 4" xfId="13321" hidden="1"/>
    <cellStyle name="설명 텍스트 4" xfId="13361" hidden="1"/>
    <cellStyle name="설명 텍스트 4" xfId="13401" hidden="1"/>
    <cellStyle name="설명 텍스트 4" xfId="12873" hidden="1"/>
    <cellStyle name="설명 텍스트 4" xfId="12819" hidden="1"/>
    <cellStyle name="설명 텍스트 4" xfId="13443" hidden="1"/>
    <cellStyle name="설명 텍스트 4" xfId="13485" hidden="1"/>
    <cellStyle name="설명 텍스트 4" xfId="13527" hidden="1"/>
    <cellStyle name="설명 텍스트 4" xfId="13569" hidden="1"/>
    <cellStyle name="설명 텍스트 4" xfId="13611" hidden="1"/>
    <cellStyle name="설명 텍스트 4" xfId="13653" hidden="1"/>
    <cellStyle name="설명 텍스트 4" xfId="13695" hidden="1"/>
    <cellStyle name="설명 텍스트 4" xfId="13737" hidden="1"/>
    <cellStyle name="설명 텍스트 4" xfId="13779" hidden="1"/>
    <cellStyle name="설명 텍스트 4" xfId="13821" hidden="1"/>
    <cellStyle name="설명 텍스트 4" xfId="12927" hidden="1"/>
    <cellStyle name="설명 텍스트 4" xfId="13849" hidden="1"/>
    <cellStyle name="설명 텍스트 4" xfId="13889" hidden="1"/>
    <cellStyle name="설명 텍스트 4" xfId="13929" hidden="1"/>
    <cellStyle name="설명 텍스트 4" xfId="13969" hidden="1"/>
    <cellStyle name="설명 텍스트 4" xfId="14009" hidden="1"/>
    <cellStyle name="설명 텍스트 4" xfId="14049" hidden="1"/>
    <cellStyle name="설명 텍스트 4" xfId="14089" hidden="1"/>
    <cellStyle name="설명 텍스트 4" xfId="14129" hidden="1"/>
    <cellStyle name="설명 텍스트 4" xfId="14169" hidden="1"/>
    <cellStyle name="설명 텍스트 4" xfId="14209" hidden="1"/>
    <cellStyle name="설명 텍스트 4" xfId="14249" hidden="1"/>
    <cellStyle name="설명 텍스트 4" xfId="14289" hidden="1"/>
    <cellStyle name="설명 텍스트 4" xfId="14395" hidden="1"/>
    <cellStyle name="설명 텍스트 4" xfId="14435" hidden="1"/>
    <cellStyle name="설명 텍스트 4" xfId="14475" hidden="1"/>
    <cellStyle name="설명 텍스트 4" xfId="14515" hidden="1"/>
    <cellStyle name="설명 텍스트 4" xfId="14555" hidden="1"/>
    <cellStyle name="설명 텍스트 4" xfId="14595" hidden="1"/>
    <cellStyle name="설명 텍스트 4" xfId="14635" hidden="1"/>
    <cellStyle name="설명 텍스트 4" xfId="14675" hidden="1"/>
    <cellStyle name="설명 텍스트 4" xfId="14715" hidden="1"/>
    <cellStyle name="설명 텍스트 4" xfId="14755" hidden="1"/>
    <cellStyle name="설명 텍스트 4" xfId="14795" hidden="1"/>
    <cellStyle name="설명 텍스트 4" xfId="14835" hidden="1"/>
    <cellStyle name="설명 텍스트 4" xfId="14919" hidden="1"/>
    <cellStyle name="설명 텍스트 4" xfId="14960" hidden="1"/>
    <cellStyle name="설명 텍스트 4" xfId="15002" hidden="1"/>
    <cellStyle name="설명 텍스트 4" xfId="15044" hidden="1"/>
    <cellStyle name="설명 텍스트 4" xfId="15086" hidden="1"/>
    <cellStyle name="설명 텍스트 4" xfId="15128" hidden="1"/>
    <cellStyle name="설명 텍스트 4" xfId="15170" hidden="1"/>
    <cellStyle name="설명 텍스트 4" xfId="15212" hidden="1"/>
    <cellStyle name="설명 텍스트 4" xfId="15254" hidden="1"/>
    <cellStyle name="설명 텍스트 4" xfId="15296" hidden="1"/>
    <cellStyle name="설명 텍스트 4" xfId="15338" hidden="1"/>
    <cellStyle name="설명 텍스트 4" xfId="15380" hidden="1"/>
    <cellStyle name="설명 텍스트 4" xfId="14876" hidden="1"/>
    <cellStyle name="설명 텍스트 4" xfId="15559" hidden="1"/>
    <cellStyle name="설명 텍스트 4" xfId="15599" hidden="1"/>
    <cellStyle name="설명 텍스트 4" xfId="15639" hidden="1"/>
    <cellStyle name="설명 텍스트 4" xfId="15679" hidden="1"/>
    <cellStyle name="설명 텍스트 4" xfId="15719" hidden="1"/>
    <cellStyle name="설명 텍스트 4" xfId="15759" hidden="1"/>
    <cellStyle name="설명 텍스트 4" xfId="15799" hidden="1"/>
    <cellStyle name="설명 텍스트 4" xfId="15839" hidden="1"/>
    <cellStyle name="설명 텍스트 4" xfId="15879" hidden="1"/>
    <cellStyle name="설명 텍스트 4" xfId="15919" hidden="1"/>
    <cellStyle name="설명 텍스트 4" xfId="15959" hidden="1"/>
    <cellStyle name="설명 텍스트 4" xfId="15999" hidden="1"/>
    <cellStyle name="설명 텍스트 4" xfId="15473" hidden="1"/>
    <cellStyle name="설명 텍스트 4" xfId="15419" hidden="1"/>
    <cellStyle name="설명 텍스트 4" xfId="16041" hidden="1"/>
    <cellStyle name="설명 텍스트 4" xfId="16083" hidden="1"/>
    <cellStyle name="설명 텍스트 4" xfId="16125" hidden="1"/>
    <cellStyle name="설명 텍스트 4" xfId="16167" hidden="1"/>
    <cellStyle name="설명 텍스트 4" xfId="16209" hidden="1"/>
    <cellStyle name="설명 텍스트 4" xfId="16251" hidden="1"/>
    <cellStyle name="설명 텍스트 4" xfId="16293" hidden="1"/>
    <cellStyle name="설명 텍스트 4" xfId="16335" hidden="1"/>
    <cellStyle name="설명 텍스트 4" xfId="16377" hidden="1"/>
    <cellStyle name="설명 텍스트 4" xfId="16419" hidden="1"/>
    <cellStyle name="설명 텍스트 4" xfId="15526" hidden="1"/>
    <cellStyle name="설명 텍스트 4" xfId="16447" hidden="1"/>
    <cellStyle name="설명 텍스트 4" xfId="16487" hidden="1"/>
    <cellStyle name="설명 텍스트 4" xfId="16527" hidden="1"/>
    <cellStyle name="설명 텍스트 4" xfId="16567" hidden="1"/>
    <cellStyle name="설명 텍스트 4" xfId="16607" hidden="1"/>
    <cellStyle name="설명 텍스트 4" xfId="16647" hidden="1"/>
    <cellStyle name="설명 텍스트 4" xfId="16687" hidden="1"/>
    <cellStyle name="설명 텍스트 4" xfId="16727" hidden="1"/>
    <cellStyle name="설명 텍스트 4" xfId="16767" hidden="1"/>
    <cellStyle name="설명 텍스트 4" xfId="16807" hidden="1"/>
    <cellStyle name="설명 텍스트 4" xfId="16847" hidden="1"/>
    <cellStyle name="설명 텍스트 4" xfId="16887" hidden="1"/>
    <cellStyle name="설명 텍스트 4" xfId="14330" hidden="1"/>
    <cellStyle name="설명 텍스트 4" xfId="16938" hidden="1"/>
    <cellStyle name="설명 텍스트 4" xfId="16979" hidden="1"/>
    <cellStyle name="설명 텍스트 4" xfId="17019" hidden="1"/>
    <cellStyle name="설명 텍스트 4" xfId="17059" hidden="1"/>
    <cellStyle name="설명 텍스트 4" xfId="17099" hidden="1"/>
    <cellStyle name="설명 텍스트 4" xfId="17139" hidden="1"/>
    <cellStyle name="설명 텍스트 4" xfId="17179" hidden="1"/>
    <cellStyle name="설명 텍스트 4" xfId="17219" hidden="1"/>
    <cellStyle name="설명 텍스트 4" xfId="17259" hidden="1"/>
    <cellStyle name="설명 텍스트 4" xfId="17299" hidden="1"/>
    <cellStyle name="설명 텍스트 4" xfId="17339" hidden="1"/>
    <cellStyle name="설명 텍스트 4" xfId="17423" hidden="1"/>
    <cellStyle name="설명 텍스트 4" xfId="17464" hidden="1"/>
    <cellStyle name="설명 텍스트 4" xfId="17506" hidden="1"/>
    <cellStyle name="설명 텍스트 4" xfId="17548" hidden="1"/>
    <cellStyle name="설명 텍스트 4" xfId="17590" hidden="1"/>
    <cellStyle name="설명 텍스트 4" xfId="17632" hidden="1"/>
    <cellStyle name="설명 텍스트 4" xfId="17674" hidden="1"/>
    <cellStyle name="설명 텍스트 4" xfId="17716" hidden="1"/>
    <cellStyle name="설명 텍스트 4" xfId="17758" hidden="1"/>
    <cellStyle name="설명 텍스트 4" xfId="17800" hidden="1"/>
    <cellStyle name="설명 텍스트 4" xfId="17842" hidden="1"/>
    <cellStyle name="설명 텍스트 4" xfId="17884" hidden="1"/>
    <cellStyle name="설명 텍스트 4" xfId="17380" hidden="1"/>
    <cellStyle name="설명 텍스트 4" xfId="18063" hidden="1"/>
    <cellStyle name="설명 텍스트 4" xfId="18103" hidden="1"/>
    <cellStyle name="설명 텍스트 4" xfId="18143" hidden="1"/>
    <cellStyle name="설명 텍스트 4" xfId="18183" hidden="1"/>
    <cellStyle name="설명 텍스트 4" xfId="18223" hidden="1"/>
    <cellStyle name="설명 텍스트 4" xfId="18263" hidden="1"/>
    <cellStyle name="설명 텍스트 4" xfId="18303" hidden="1"/>
    <cellStyle name="설명 텍스트 4" xfId="18343" hidden="1"/>
    <cellStyle name="설명 텍스트 4" xfId="18383" hidden="1"/>
    <cellStyle name="설명 텍스트 4" xfId="18423" hidden="1"/>
    <cellStyle name="설명 텍스트 4" xfId="18463" hidden="1"/>
    <cellStyle name="설명 텍스트 4" xfId="18503" hidden="1"/>
    <cellStyle name="설명 텍스트 4" xfId="17977" hidden="1"/>
    <cellStyle name="설명 텍스트 4" xfId="17923" hidden="1"/>
    <cellStyle name="설명 텍스트 4" xfId="18545" hidden="1"/>
    <cellStyle name="설명 텍스트 4" xfId="18587" hidden="1"/>
    <cellStyle name="설명 텍스트 4" xfId="18629" hidden="1"/>
    <cellStyle name="설명 텍스트 4" xfId="18671" hidden="1"/>
    <cellStyle name="설명 텍스트 4" xfId="18713" hidden="1"/>
    <cellStyle name="설명 텍스트 4" xfId="18755" hidden="1"/>
    <cellStyle name="설명 텍스트 4" xfId="18797" hidden="1"/>
    <cellStyle name="설명 텍스트 4" xfId="18839" hidden="1"/>
    <cellStyle name="설명 텍스트 4" xfId="18881" hidden="1"/>
    <cellStyle name="설명 텍스트 4" xfId="18923" hidden="1"/>
    <cellStyle name="설명 텍스트 4" xfId="18030" hidden="1"/>
    <cellStyle name="설명 텍스트 4" xfId="18951" hidden="1"/>
    <cellStyle name="설명 텍스트 4" xfId="18991" hidden="1"/>
    <cellStyle name="설명 텍스트 4" xfId="19031" hidden="1"/>
    <cellStyle name="설명 텍스트 4" xfId="19071" hidden="1"/>
    <cellStyle name="설명 텍스트 4" xfId="19111" hidden="1"/>
    <cellStyle name="설명 텍스트 4" xfId="19151" hidden="1"/>
    <cellStyle name="설명 텍스트 4" xfId="19191" hidden="1"/>
    <cellStyle name="설명 텍스트 4" xfId="19231" hidden="1"/>
    <cellStyle name="설명 텍스트 4" xfId="19271" hidden="1"/>
    <cellStyle name="설명 텍스트 4" xfId="19311" hidden="1"/>
    <cellStyle name="설명 텍스트 4" xfId="19351" hidden="1"/>
    <cellStyle name="설명 텍스트 4" xfId="19391" hidden="1"/>
    <cellStyle name="설명 텍스트 4" xfId="14362" hidden="1"/>
    <cellStyle name="설명 텍스트 4" xfId="19441" hidden="1"/>
    <cellStyle name="설명 텍스트 4" xfId="19481" hidden="1"/>
    <cellStyle name="설명 텍스트 4" xfId="19521" hidden="1"/>
    <cellStyle name="설명 텍스트 4" xfId="19561" hidden="1"/>
    <cellStyle name="설명 텍스트 4" xfId="19601" hidden="1"/>
    <cellStyle name="설명 텍스트 4" xfId="19641" hidden="1"/>
    <cellStyle name="설명 텍스트 4" xfId="19681" hidden="1"/>
    <cellStyle name="설명 텍스트 4" xfId="19721" hidden="1"/>
    <cellStyle name="설명 텍스트 4" xfId="19761" hidden="1"/>
    <cellStyle name="설명 텍스트 4" xfId="19801" hidden="1"/>
    <cellStyle name="설명 텍스트 4" xfId="19841" hidden="1"/>
    <cellStyle name="설명 텍스트 4" xfId="19925" hidden="1"/>
    <cellStyle name="설명 텍스트 4" xfId="19966" hidden="1"/>
    <cellStyle name="설명 텍스트 4" xfId="20008" hidden="1"/>
    <cellStyle name="설명 텍스트 4" xfId="20050" hidden="1"/>
    <cellStyle name="설명 텍스트 4" xfId="20092" hidden="1"/>
    <cellStyle name="설명 텍스트 4" xfId="20134" hidden="1"/>
    <cellStyle name="설명 텍스트 4" xfId="20176" hidden="1"/>
    <cellStyle name="설명 텍스트 4" xfId="20218" hidden="1"/>
    <cellStyle name="설명 텍스트 4" xfId="20260" hidden="1"/>
    <cellStyle name="설명 텍스트 4" xfId="20302" hidden="1"/>
    <cellStyle name="설명 텍스트 4" xfId="20344" hidden="1"/>
    <cellStyle name="설명 텍스트 4" xfId="20386" hidden="1"/>
    <cellStyle name="설명 텍스트 4" xfId="19882" hidden="1"/>
    <cellStyle name="설명 텍스트 4" xfId="20565" hidden="1"/>
    <cellStyle name="설명 텍스트 4" xfId="20605" hidden="1"/>
    <cellStyle name="설명 텍스트 4" xfId="20645" hidden="1"/>
    <cellStyle name="설명 텍스트 4" xfId="20685" hidden="1"/>
    <cellStyle name="설명 텍스트 4" xfId="20725" hidden="1"/>
    <cellStyle name="설명 텍스트 4" xfId="20765" hidden="1"/>
    <cellStyle name="설명 텍스트 4" xfId="20805" hidden="1"/>
    <cellStyle name="설명 텍스트 4" xfId="20845" hidden="1"/>
    <cellStyle name="설명 텍스트 4" xfId="20885" hidden="1"/>
    <cellStyle name="설명 텍스트 4" xfId="20925" hidden="1"/>
    <cellStyle name="설명 텍스트 4" xfId="20965" hidden="1"/>
    <cellStyle name="설명 텍스트 4" xfId="21005" hidden="1"/>
    <cellStyle name="설명 텍스트 4" xfId="20479" hidden="1"/>
    <cellStyle name="설명 텍스트 4" xfId="20425" hidden="1"/>
    <cellStyle name="설명 텍스트 4" xfId="21047" hidden="1"/>
    <cellStyle name="설명 텍스트 4" xfId="21089" hidden="1"/>
    <cellStyle name="설명 텍스트 4" xfId="21131" hidden="1"/>
    <cellStyle name="설명 텍스트 4" xfId="21173" hidden="1"/>
    <cellStyle name="설명 텍스트 4" xfId="21215" hidden="1"/>
    <cellStyle name="설명 텍스트 4" xfId="21257" hidden="1"/>
    <cellStyle name="설명 텍스트 4" xfId="21299" hidden="1"/>
    <cellStyle name="설명 텍스트 4" xfId="21341" hidden="1"/>
    <cellStyle name="설명 텍스트 4" xfId="21383" hidden="1"/>
    <cellStyle name="설명 텍스트 4" xfId="21425" hidden="1"/>
    <cellStyle name="설명 텍스트 4" xfId="20532" hidden="1"/>
    <cellStyle name="설명 텍스트 4" xfId="21453" hidden="1"/>
    <cellStyle name="설명 텍스트 4" xfId="21493" hidden="1"/>
    <cellStyle name="설명 텍스트 4" xfId="21533" hidden="1"/>
    <cellStyle name="설명 텍스트 4" xfId="21573" hidden="1"/>
    <cellStyle name="설명 텍스트 4" xfId="21613" hidden="1"/>
    <cellStyle name="설명 텍스트 4" xfId="21653" hidden="1"/>
    <cellStyle name="설명 텍스트 4" xfId="21693" hidden="1"/>
    <cellStyle name="설명 텍스트 4" xfId="21733" hidden="1"/>
    <cellStyle name="설명 텍스트 4" xfId="21773" hidden="1"/>
    <cellStyle name="설명 텍스트 4" xfId="21813" hidden="1"/>
    <cellStyle name="설명 텍스트 4" xfId="21853" hidden="1"/>
    <cellStyle name="설명 텍스트 4" xfId="21893" hidden="1"/>
    <cellStyle name="설명 텍스트 4" xfId="21961" hidden="1"/>
    <cellStyle name="설명 텍스트 4" xfId="22001" hidden="1"/>
    <cellStyle name="설명 텍스트 4" xfId="22041" hidden="1"/>
    <cellStyle name="설명 텍스트 4" xfId="22081" hidden="1"/>
    <cellStyle name="설명 텍스트 4" xfId="22121" hidden="1"/>
    <cellStyle name="설명 텍스트 4" xfId="22161" hidden="1"/>
    <cellStyle name="설명 텍스트 4" xfId="22201" hidden="1"/>
    <cellStyle name="설명 텍스트 4" xfId="22241" hidden="1"/>
    <cellStyle name="설명 텍스트 4" xfId="22281" hidden="1"/>
    <cellStyle name="설명 텍스트 4" xfId="22321" hidden="1"/>
    <cellStyle name="설명 텍스트 4" xfId="22361" hidden="1"/>
    <cellStyle name="설명 텍스트 4" xfId="22401" hidden="1"/>
    <cellStyle name="설명 텍스트 4" xfId="22485" hidden="1"/>
    <cellStyle name="설명 텍스트 4" xfId="22526" hidden="1"/>
    <cellStyle name="설명 텍스트 4" xfId="22568" hidden="1"/>
    <cellStyle name="설명 텍스트 4" xfId="22610" hidden="1"/>
    <cellStyle name="설명 텍스트 4" xfId="22652" hidden="1"/>
    <cellStyle name="설명 텍스트 4" xfId="22694" hidden="1"/>
    <cellStyle name="설명 텍스트 4" xfId="22736" hidden="1"/>
    <cellStyle name="설명 텍스트 4" xfId="22778" hidden="1"/>
    <cellStyle name="설명 텍스트 4" xfId="22820" hidden="1"/>
    <cellStyle name="설명 텍스트 4" xfId="22862" hidden="1"/>
    <cellStyle name="설명 텍스트 4" xfId="22904" hidden="1"/>
    <cellStyle name="설명 텍스트 4" xfId="22946" hidden="1"/>
    <cellStyle name="설명 텍스트 4" xfId="22442" hidden="1"/>
    <cellStyle name="설명 텍스트 4" xfId="23125" hidden="1"/>
    <cellStyle name="설명 텍스트 4" xfId="23165" hidden="1"/>
    <cellStyle name="설명 텍스트 4" xfId="23205" hidden="1"/>
    <cellStyle name="설명 텍스트 4" xfId="23245" hidden="1"/>
    <cellStyle name="설명 텍스트 4" xfId="23285" hidden="1"/>
    <cellStyle name="설명 텍스트 4" xfId="23325" hidden="1"/>
    <cellStyle name="설명 텍스트 4" xfId="23365" hidden="1"/>
    <cellStyle name="설명 텍스트 4" xfId="23405" hidden="1"/>
    <cellStyle name="설명 텍스트 4" xfId="23445" hidden="1"/>
    <cellStyle name="설명 텍스트 4" xfId="23485" hidden="1"/>
    <cellStyle name="설명 텍스트 4" xfId="23525" hidden="1"/>
    <cellStyle name="설명 텍스트 4" xfId="23565" hidden="1"/>
    <cellStyle name="설명 텍스트 4" xfId="23039" hidden="1"/>
    <cellStyle name="설명 텍스트 4" xfId="22985" hidden="1"/>
    <cellStyle name="설명 텍스트 4" xfId="23607" hidden="1"/>
    <cellStyle name="설명 텍스트 4" xfId="23649" hidden="1"/>
    <cellStyle name="설명 텍스트 4" xfId="23691" hidden="1"/>
    <cellStyle name="설명 텍스트 4" xfId="23733" hidden="1"/>
    <cellStyle name="설명 텍스트 4" xfId="23775" hidden="1"/>
    <cellStyle name="설명 텍스트 4" xfId="23817" hidden="1"/>
    <cellStyle name="설명 텍스트 4" xfId="23859" hidden="1"/>
    <cellStyle name="설명 텍스트 4" xfId="23901" hidden="1"/>
    <cellStyle name="설명 텍스트 4" xfId="23943" hidden="1"/>
    <cellStyle name="설명 텍스트 4" xfId="23985" hidden="1"/>
    <cellStyle name="설명 텍스트 4" xfId="23092" hidden="1"/>
    <cellStyle name="설명 텍스트 4" xfId="24013" hidden="1"/>
    <cellStyle name="설명 텍스트 4" xfId="24053" hidden="1"/>
    <cellStyle name="설명 텍스트 4" xfId="24093" hidden="1"/>
    <cellStyle name="설명 텍스트 4" xfId="24133" hidden="1"/>
    <cellStyle name="설명 텍스트 4" xfId="24173" hidden="1"/>
    <cellStyle name="설명 텍스트 4" xfId="24213" hidden="1"/>
    <cellStyle name="설명 텍스트 4" xfId="24253" hidden="1"/>
    <cellStyle name="설명 텍스트 4" xfId="24293" hidden="1"/>
    <cellStyle name="설명 텍스트 4" xfId="24333" hidden="1"/>
    <cellStyle name="설명 텍스트 4" xfId="24373" hidden="1"/>
    <cellStyle name="설명 텍스트 4" xfId="24413" hidden="1"/>
    <cellStyle name="설명 텍스트 4" xfId="24453" hidden="1"/>
    <cellStyle name="설명 텍스트 4" xfId="24551" hidden="1"/>
    <cellStyle name="설명 텍스트 4" xfId="24591" hidden="1"/>
    <cellStyle name="설명 텍스트 4" xfId="24633" hidden="1"/>
    <cellStyle name="설명 텍스트 4" xfId="24674" hidden="1"/>
    <cellStyle name="설명 텍스트 4" xfId="24714" hidden="1"/>
    <cellStyle name="설명 텍스트 4" xfId="24754" hidden="1"/>
    <cellStyle name="설명 텍스트 4" xfId="24794" hidden="1"/>
    <cellStyle name="설명 텍스트 4" xfId="24834" hidden="1"/>
    <cellStyle name="설명 텍스트 4" xfId="24874" hidden="1"/>
    <cellStyle name="설명 텍스트 4" xfId="24914" hidden="1"/>
    <cellStyle name="설명 텍스트 4" xfId="24954" hidden="1"/>
    <cellStyle name="설명 텍스트 4" xfId="24994" hidden="1"/>
    <cellStyle name="설명 텍스트 4" xfId="25078" hidden="1"/>
    <cellStyle name="설명 텍스트 4" xfId="25119" hidden="1"/>
    <cellStyle name="설명 텍스트 4" xfId="25161" hidden="1"/>
    <cellStyle name="설명 텍스트 4" xfId="25203" hidden="1"/>
    <cellStyle name="설명 텍스트 4" xfId="25245" hidden="1"/>
    <cellStyle name="설명 텍스트 4" xfId="25287" hidden="1"/>
    <cellStyle name="설명 텍스트 4" xfId="25329" hidden="1"/>
    <cellStyle name="설명 텍스트 4" xfId="25371" hidden="1"/>
    <cellStyle name="설명 텍스트 4" xfId="25413" hidden="1"/>
    <cellStyle name="설명 텍스트 4" xfId="25455" hidden="1"/>
    <cellStyle name="설명 텍스트 4" xfId="25497" hidden="1"/>
    <cellStyle name="설명 텍스트 4" xfId="25539" hidden="1"/>
    <cellStyle name="설명 텍스트 4" xfId="25035" hidden="1"/>
    <cellStyle name="설명 텍스트 4" xfId="25718" hidden="1"/>
    <cellStyle name="설명 텍스트 4" xfId="25758" hidden="1"/>
    <cellStyle name="설명 텍스트 4" xfId="25798" hidden="1"/>
    <cellStyle name="설명 텍스트 4" xfId="25838" hidden="1"/>
    <cellStyle name="설명 텍스트 4" xfId="25878" hidden="1"/>
    <cellStyle name="설명 텍스트 4" xfId="25918" hidden="1"/>
    <cellStyle name="설명 텍스트 4" xfId="25958" hidden="1"/>
    <cellStyle name="설명 텍스트 4" xfId="25998" hidden="1"/>
    <cellStyle name="설명 텍스트 4" xfId="26038" hidden="1"/>
    <cellStyle name="설명 텍스트 4" xfId="26078" hidden="1"/>
    <cellStyle name="설명 텍스트 4" xfId="26118" hidden="1"/>
    <cellStyle name="설명 텍스트 4" xfId="26158" hidden="1"/>
    <cellStyle name="설명 텍스트 4" xfId="25632" hidden="1"/>
    <cellStyle name="설명 텍스트 4" xfId="25578" hidden="1"/>
    <cellStyle name="설명 텍스트 4" xfId="26200" hidden="1"/>
    <cellStyle name="설명 텍스트 4" xfId="26242" hidden="1"/>
    <cellStyle name="설명 텍스트 4" xfId="26284" hidden="1"/>
    <cellStyle name="설명 텍스트 4" xfId="26326" hidden="1"/>
    <cellStyle name="설명 텍스트 4" xfId="26368" hidden="1"/>
    <cellStyle name="설명 텍스트 4" xfId="26410" hidden="1"/>
    <cellStyle name="설명 텍스트 4" xfId="26452" hidden="1"/>
    <cellStyle name="설명 텍스트 4" xfId="26494" hidden="1"/>
    <cellStyle name="설명 텍스트 4" xfId="26536" hidden="1"/>
    <cellStyle name="설명 텍스트 4" xfId="26578" hidden="1"/>
    <cellStyle name="설명 텍스트 4" xfId="25685" hidden="1"/>
    <cellStyle name="설명 텍스트 4" xfId="26606" hidden="1"/>
    <cellStyle name="설명 텍스트 4" xfId="26646" hidden="1"/>
    <cellStyle name="설명 텍스트 4" xfId="26686" hidden="1"/>
    <cellStyle name="설명 텍스트 4" xfId="26726" hidden="1"/>
    <cellStyle name="설명 텍스트 4" xfId="26766" hidden="1"/>
    <cellStyle name="설명 텍스트 4" xfId="26806" hidden="1"/>
    <cellStyle name="설명 텍스트 4" xfId="26846" hidden="1"/>
    <cellStyle name="설명 텍스트 4" xfId="26886" hidden="1"/>
    <cellStyle name="설명 텍스트 4" xfId="26926" hidden="1"/>
    <cellStyle name="설명 텍스트 4" xfId="26966" hidden="1"/>
    <cellStyle name="설명 텍스트 4" xfId="27006" hidden="1"/>
    <cellStyle name="설명 텍스트 4" xfId="27046" hidden="1"/>
    <cellStyle name="설명 텍스트 4" xfId="24492" hidden="1"/>
    <cellStyle name="설명 텍스트 4" xfId="27097" hidden="1"/>
    <cellStyle name="설명 텍스트 4" xfId="27137" hidden="1"/>
    <cellStyle name="설명 텍스트 4" xfId="27177" hidden="1"/>
    <cellStyle name="설명 텍스트 4" xfId="27217" hidden="1"/>
    <cellStyle name="설명 텍스트 4" xfId="27257" hidden="1"/>
    <cellStyle name="설명 텍스트 4" xfId="27297" hidden="1"/>
    <cellStyle name="설명 텍스트 4" xfId="27337" hidden="1"/>
    <cellStyle name="설명 텍스트 4" xfId="27377" hidden="1"/>
    <cellStyle name="설명 텍스트 4" xfId="27417" hidden="1"/>
    <cellStyle name="설명 텍스트 4" xfId="27457" hidden="1"/>
    <cellStyle name="설명 텍스트 4" xfId="27497" hidden="1"/>
    <cellStyle name="설명 텍스트 4" xfId="27581" hidden="1"/>
    <cellStyle name="설명 텍스트 4" xfId="27622" hidden="1"/>
    <cellStyle name="설명 텍스트 4" xfId="27664" hidden="1"/>
    <cellStyle name="설명 텍스트 4" xfId="27706" hidden="1"/>
    <cellStyle name="설명 텍스트 4" xfId="27748" hidden="1"/>
    <cellStyle name="설명 텍스트 4" xfId="27790" hidden="1"/>
    <cellStyle name="설명 텍스트 4" xfId="27832" hidden="1"/>
    <cellStyle name="설명 텍스트 4" xfId="27874" hidden="1"/>
    <cellStyle name="설명 텍스트 4" xfId="27916" hidden="1"/>
    <cellStyle name="설명 텍스트 4" xfId="27958" hidden="1"/>
    <cellStyle name="설명 텍스트 4" xfId="28000" hidden="1"/>
    <cellStyle name="설명 텍스트 4" xfId="28042" hidden="1"/>
    <cellStyle name="설명 텍스트 4" xfId="27538" hidden="1"/>
    <cellStyle name="설명 텍스트 4" xfId="28221" hidden="1"/>
    <cellStyle name="설명 텍스트 4" xfId="28261" hidden="1"/>
    <cellStyle name="설명 텍스트 4" xfId="28301" hidden="1"/>
    <cellStyle name="설명 텍스트 4" xfId="28341" hidden="1"/>
    <cellStyle name="설명 텍스트 4" xfId="28381" hidden="1"/>
    <cellStyle name="설명 텍스트 4" xfId="28421" hidden="1"/>
    <cellStyle name="설명 텍스트 4" xfId="28461" hidden="1"/>
    <cellStyle name="설명 텍스트 4" xfId="28501" hidden="1"/>
    <cellStyle name="설명 텍스트 4" xfId="28541" hidden="1"/>
    <cellStyle name="설명 텍스트 4" xfId="28581" hidden="1"/>
    <cellStyle name="설명 텍스트 4" xfId="28621" hidden="1"/>
    <cellStyle name="설명 텍스트 4" xfId="28661" hidden="1"/>
    <cellStyle name="설명 텍스트 4" xfId="28135" hidden="1"/>
    <cellStyle name="설명 텍스트 4" xfId="28081" hidden="1"/>
    <cellStyle name="설명 텍스트 4" xfId="28703" hidden="1"/>
    <cellStyle name="설명 텍스트 4" xfId="28745" hidden="1"/>
    <cellStyle name="설명 텍스트 4" xfId="28787" hidden="1"/>
    <cellStyle name="설명 텍스트 4" xfId="28829" hidden="1"/>
    <cellStyle name="설명 텍스트 4" xfId="28871" hidden="1"/>
    <cellStyle name="설명 텍스트 4" xfId="28913" hidden="1"/>
    <cellStyle name="설명 텍스트 4" xfId="28955" hidden="1"/>
    <cellStyle name="설명 텍스트 4" xfId="28997" hidden="1"/>
    <cellStyle name="설명 텍스트 4" xfId="29039" hidden="1"/>
    <cellStyle name="설명 텍스트 4" xfId="29081" hidden="1"/>
    <cellStyle name="설명 텍스트 4" xfId="28188" hidden="1"/>
    <cellStyle name="설명 텍스트 4" xfId="29109" hidden="1"/>
    <cellStyle name="설명 텍스트 4" xfId="29149" hidden="1"/>
    <cellStyle name="설명 텍스트 4" xfId="29189" hidden="1"/>
    <cellStyle name="설명 텍스트 4" xfId="29229" hidden="1"/>
    <cellStyle name="설명 텍스트 4" xfId="29269" hidden="1"/>
    <cellStyle name="설명 텍스트 4" xfId="29309" hidden="1"/>
    <cellStyle name="설명 텍스트 4" xfId="29349" hidden="1"/>
    <cellStyle name="설명 텍스트 4" xfId="29389" hidden="1"/>
    <cellStyle name="설명 텍스트 4" xfId="29429" hidden="1"/>
    <cellStyle name="설명 텍스트 4" xfId="29469" hidden="1"/>
    <cellStyle name="설명 텍스트 4" xfId="29509" hidden="1"/>
    <cellStyle name="설명 텍스트 4" xfId="29549" hidden="1"/>
    <cellStyle name="설명 텍스트 4" xfId="24520" hidden="1"/>
    <cellStyle name="설명 텍스트 4" xfId="29599" hidden="1"/>
    <cellStyle name="설명 텍스트 4" xfId="29639" hidden="1"/>
    <cellStyle name="설명 텍스트 4" xfId="29679" hidden="1"/>
    <cellStyle name="설명 텍스트 4" xfId="29719" hidden="1"/>
    <cellStyle name="설명 텍스트 4" xfId="29759" hidden="1"/>
    <cellStyle name="설명 텍스트 4" xfId="29799" hidden="1"/>
    <cellStyle name="설명 텍스트 4" xfId="29839" hidden="1"/>
    <cellStyle name="설명 텍스트 4" xfId="29879" hidden="1"/>
    <cellStyle name="설명 텍스트 4" xfId="29919" hidden="1"/>
    <cellStyle name="설명 텍스트 4" xfId="29959" hidden="1"/>
    <cellStyle name="설명 텍스트 4" xfId="29999" hidden="1"/>
    <cellStyle name="설명 텍스트 4" xfId="30083" hidden="1"/>
    <cellStyle name="설명 텍스트 4" xfId="30124" hidden="1"/>
    <cellStyle name="설명 텍스트 4" xfId="30166" hidden="1"/>
    <cellStyle name="설명 텍스트 4" xfId="30208" hidden="1"/>
    <cellStyle name="설명 텍스트 4" xfId="30250" hidden="1"/>
    <cellStyle name="설명 텍스트 4" xfId="30292" hidden="1"/>
    <cellStyle name="설명 텍스트 4" xfId="30334" hidden="1"/>
    <cellStyle name="설명 텍스트 4" xfId="30376" hidden="1"/>
    <cellStyle name="설명 텍스트 4" xfId="30418" hidden="1"/>
    <cellStyle name="설명 텍스트 4" xfId="30460" hidden="1"/>
    <cellStyle name="설명 텍스트 4" xfId="30502" hidden="1"/>
    <cellStyle name="설명 텍스트 4" xfId="30544" hidden="1"/>
    <cellStyle name="설명 텍스트 4" xfId="30040" hidden="1"/>
    <cellStyle name="설명 텍스트 4" xfId="30723" hidden="1"/>
    <cellStyle name="설명 텍스트 4" xfId="30763" hidden="1"/>
    <cellStyle name="설명 텍스트 4" xfId="30803" hidden="1"/>
    <cellStyle name="설명 텍스트 4" xfId="30843" hidden="1"/>
    <cellStyle name="설명 텍스트 4" xfId="30883" hidden="1"/>
    <cellStyle name="설명 텍스트 4" xfId="30923" hidden="1"/>
    <cellStyle name="설명 텍스트 4" xfId="30963" hidden="1"/>
    <cellStyle name="설명 텍스트 4" xfId="31003" hidden="1"/>
    <cellStyle name="설명 텍스트 4" xfId="31043" hidden="1"/>
    <cellStyle name="설명 텍스트 4" xfId="31083" hidden="1"/>
    <cellStyle name="설명 텍스트 4" xfId="31123" hidden="1"/>
    <cellStyle name="설명 텍스트 4" xfId="31163" hidden="1"/>
    <cellStyle name="설명 텍스트 4" xfId="30637" hidden="1"/>
    <cellStyle name="설명 텍스트 4" xfId="30583" hidden="1"/>
    <cellStyle name="설명 텍스트 4" xfId="31205" hidden="1"/>
    <cellStyle name="설명 텍스트 4" xfId="31247" hidden="1"/>
    <cellStyle name="설명 텍스트 4" xfId="31289" hidden="1"/>
    <cellStyle name="설명 텍스트 4" xfId="31331" hidden="1"/>
    <cellStyle name="설명 텍스트 4" xfId="31373" hidden="1"/>
    <cellStyle name="설명 텍스트 4" xfId="31415" hidden="1"/>
    <cellStyle name="설명 텍스트 4" xfId="31457" hidden="1"/>
    <cellStyle name="설명 텍스트 4" xfId="31499" hidden="1"/>
    <cellStyle name="설명 텍스트 4" xfId="31541" hidden="1"/>
    <cellStyle name="설명 텍스트 4" xfId="31583" hidden="1"/>
    <cellStyle name="설명 텍스트 4" xfId="30690" hidden="1"/>
    <cellStyle name="설명 텍스트 4" xfId="31611" hidden="1"/>
    <cellStyle name="설명 텍스트 4" xfId="31651" hidden="1"/>
    <cellStyle name="설명 텍스트 4" xfId="31691" hidden="1"/>
    <cellStyle name="설명 텍스트 4" xfId="31731" hidden="1"/>
    <cellStyle name="설명 텍스트 4" xfId="31771" hidden="1"/>
    <cellStyle name="설명 텍스트 4" xfId="31811" hidden="1"/>
    <cellStyle name="설명 텍스트 4" xfId="31851" hidden="1"/>
    <cellStyle name="설명 텍스트 4" xfId="31891" hidden="1"/>
    <cellStyle name="설명 텍스트 4" xfId="31931" hidden="1"/>
    <cellStyle name="설명 텍스트 4" xfId="31971" hidden="1"/>
    <cellStyle name="설명 텍스트 4" xfId="32011" hidden="1"/>
    <cellStyle name="설명 텍스트 4" xfId="32051" hidden="1"/>
    <cellStyle name="설명 텍스트 4" xfId="32113" hidden="1"/>
    <cellStyle name="설명 텍스트 4" xfId="32153" hidden="1"/>
    <cellStyle name="설명 텍스트 4" xfId="32193" hidden="1"/>
    <cellStyle name="설명 텍스트 4" xfId="32233" hidden="1"/>
    <cellStyle name="설명 텍스트 4" xfId="32273" hidden="1"/>
    <cellStyle name="설명 텍스트 4" xfId="32313" hidden="1"/>
    <cellStyle name="설명 텍스트 4" xfId="32353" hidden="1"/>
    <cellStyle name="설명 텍스트 4" xfId="32393" hidden="1"/>
    <cellStyle name="설명 텍스트 4" xfId="32433" hidden="1"/>
    <cellStyle name="설명 텍스트 4" xfId="32473" hidden="1"/>
    <cellStyle name="설명 텍스트 4" xfId="32513" hidden="1"/>
    <cellStyle name="설명 텍스트 4" xfId="32553" hidden="1"/>
    <cellStyle name="설명 텍스트 4" xfId="32638" hidden="1"/>
    <cellStyle name="설명 텍스트 4" xfId="32679" hidden="1"/>
    <cellStyle name="설명 텍스트 4" xfId="32721" hidden="1"/>
    <cellStyle name="설명 텍스트 4" xfId="32763" hidden="1"/>
    <cellStyle name="설명 텍스트 4" xfId="32805" hidden="1"/>
    <cellStyle name="설명 텍스트 4" xfId="32847" hidden="1"/>
    <cellStyle name="설명 텍스트 4" xfId="32889" hidden="1"/>
    <cellStyle name="설명 텍스트 4" xfId="32931" hidden="1"/>
    <cellStyle name="설명 텍스트 4" xfId="32973" hidden="1"/>
    <cellStyle name="설명 텍스트 4" xfId="33015" hidden="1"/>
    <cellStyle name="설명 텍스트 4" xfId="33057" hidden="1"/>
    <cellStyle name="설명 텍스트 4" xfId="33099" hidden="1"/>
    <cellStyle name="설명 텍스트 4" xfId="32595" hidden="1"/>
    <cellStyle name="설명 텍스트 4" xfId="33278" hidden="1"/>
    <cellStyle name="설명 텍스트 4" xfId="33318" hidden="1"/>
    <cellStyle name="설명 텍스트 4" xfId="33358" hidden="1"/>
    <cellStyle name="설명 텍스트 4" xfId="33398" hidden="1"/>
    <cellStyle name="설명 텍스트 4" xfId="33438" hidden="1"/>
    <cellStyle name="설명 텍스트 4" xfId="33478" hidden="1"/>
    <cellStyle name="설명 텍스트 4" xfId="33518" hidden="1"/>
    <cellStyle name="설명 텍스트 4" xfId="33558" hidden="1"/>
    <cellStyle name="설명 텍스트 4" xfId="33598" hidden="1"/>
    <cellStyle name="설명 텍스트 4" xfId="33638" hidden="1"/>
    <cellStyle name="설명 텍스트 4" xfId="33678" hidden="1"/>
    <cellStyle name="설명 텍스트 4" xfId="33718" hidden="1"/>
    <cellStyle name="설명 텍스트 4" xfId="33192" hidden="1"/>
    <cellStyle name="설명 텍스트 4" xfId="33138" hidden="1"/>
    <cellStyle name="설명 텍스트 4" xfId="33760" hidden="1"/>
    <cellStyle name="설명 텍스트 4" xfId="33802" hidden="1"/>
    <cellStyle name="설명 텍스트 4" xfId="33844" hidden="1"/>
    <cellStyle name="설명 텍스트 4" xfId="33886" hidden="1"/>
    <cellStyle name="설명 텍스트 4" xfId="33928" hidden="1"/>
    <cellStyle name="설명 텍스트 4" xfId="33970" hidden="1"/>
    <cellStyle name="설명 텍스트 4" xfId="34012" hidden="1"/>
    <cellStyle name="설명 텍스트 4" xfId="34054" hidden="1"/>
    <cellStyle name="설명 텍스트 4" xfId="34096" hidden="1"/>
    <cellStyle name="설명 텍스트 4" xfId="34138" hidden="1"/>
    <cellStyle name="설명 텍스트 4" xfId="33245" hidden="1"/>
    <cellStyle name="설명 텍스트 4" xfId="34166" hidden="1"/>
    <cellStyle name="설명 텍스트 4" xfId="34206" hidden="1"/>
    <cellStyle name="설명 텍스트 4" xfId="34246" hidden="1"/>
    <cellStyle name="설명 텍스트 4" xfId="34286" hidden="1"/>
    <cellStyle name="설명 텍스트 4" xfId="34326" hidden="1"/>
    <cellStyle name="설명 텍스트 4" xfId="34366" hidden="1"/>
    <cellStyle name="설명 텍스트 4" xfId="34406" hidden="1"/>
    <cellStyle name="설명 텍스트 4" xfId="34446" hidden="1"/>
    <cellStyle name="설명 텍스트 4" xfId="34486" hidden="1"/>
    <cellStyle name="설명 텍스트 4" xfId="34526" hidden="1"/>
    <cellStyle name="설명 텍스트 4" xfId="34566" hidden="1"/>
    <cellStyle name="설명 텍스트 4" xfId="34606" hidden="1"/>
    <cellStyle name="설명 텍스트 4" xfId="34703" hidden="1"/>
    <cellStyle name="설명 텍스트 4" xfId="34743" hidden="1"/>
    <cellStyle name="설명 텍스트 4" xfId="34783" hidden="1"/>
    <cellStyle name="설명 텍스트 4" xfId="34823" hidden="1"/>
    <cellStyle name="설명 텍스트 4" xfId="34863" hidden="1"/>
    <cellStyle name="설명 텍스트 4" xfId="34903" hidden="1"/>
    <cellStyle name="설명 텍스트 4" xfId="34943" hidden="1"/>
    <cellStyle name="설명 텍스트 4" xfId="34983" hidden="1"/>
    <cellStyle name="설명 텍스트 4" xfId="35023" hidden="1"/>
    <cellStyle name="설명 텍스트 4" xfId="35063" hidden="1"/>
    <cellStyle name="설명 텍스트 4" xfId="35103" hidden="1"/>
    <cellStyle name="설명 텍스트 4" xfId="35143" hidden="1"/>
    <cellStyle name="설명 텍스트 4" xfId="35227" hidden="1"/>
    <cellStyle name="설명 텍스트 4" xfId="35268" hidden="1"/>
    <cellStyle name="설명 텍스트 4" xfId="35310" hidden="1"/>
    <cellStyle name="설명 텍스트 4" xfId="35352" hidden="1"/>
    <cellStyle name="설명 텍스트 4" xfId="35394" hidden="1"/>
    <cellStyle name="설명 텍스트 4" xfId="35436" hidden="1"/>
    <cellStyle name="설명 텍스트 4" xfId="35478" hidden="1"/>
    <cellStyle name="설명 텍스트 4" xfId="35520" hidden="1"/>
    <cellStyle name="설명 텍스트 4" xfId="35562" hidden="1"/>
    <cellStyle name="설명 텍스트 4" xfId="35604" hidden="1"/>
    <cellStyle name="설명 텍스트 4" xfId="35646" hidden="1"/>
    <cellStyle name="설명 텍스트 4" xfId="35688" hidden="1"/>
    <cellStyle name="설명 텍스트 4" xfId="35184" hidden="1"/>
    <cellStyle name="설명 텍스트 4" xfId="35867" hidden="1"/>
    <cellStyle name="설명 텍스트 4" xfId="35907" hidden="1"/>
    <cellStyle name="설명 텍스트 4" xfId="35947" hidden="1"/>
    <cellStyle name="설명 텍스트 4" xfId="35987" hidden="1"/>
    <cellStyle name="설명 텍스트 4" xfId="36027" hidden="1"/>
    <cellStyle name="설명 텍스트 4" xfId="36067" hidden="1"/>
    <cellStyle name="설명 텍스트 4" xfId="36107" hidden="1"/>
    <cellStyle name="설명 텍스트 4" xfId="36147" hidden="1"/>
    <cellStyle name="설명 텍스트 4" xfId="36187" hidden="1"/>
    <cellStyle name="설명 텍스트 4" xfId="36227" hidden="1"/>
    <cellStyle name="설명 텍스트 4" xfId="36267" hidden="1"/>
    <cellStyle name="설명 텍스트 4" xfId="36307" hidden="1"/>
    <cellStyle name="설명 텍스트 4" xfId="35781" hidden="1"/>
    <cellStyle name="설명 텍스트 4" xfId="35727" hidden="1"/>
    <cellStyle name="설명 텍스트 4" xfId="36349" hidden="1"/>
    <cellStyle name="설명 텍스트 4" xfId="36391" hidden="1"/>
    <cellStyle name="설명 텍스트 4" xfId="36433" hidden="1"/>
    <cellStyle name="설명 텍스트 4" xfId="36475" hidden="1"/>
    <cellStyle name="설명 텍스트 4" xfId="36517" hidden="1"/>
    <cellStyle name="설명 텍스트 4" xfId="36559" hidden="1"/>
    <cellStyle name="설명 텍스트 4" xfId="36601" hidden="1"/>
    <cellStyle name="설명 텍스트 4" xfId="36643" hidden="1"/>
    <cellStyle name="설명 텍스트 4" xfId="36685" hidden="1"/>
    <cellStyle name="설명 텍스트 4" xfId="36727" hidden="1"/>
    <cellStyle name="설명 텍스트 4" xfId="35834" hidden="1"/>
    <cellStyle name="설명 텍스트 4" xfId="36755" hidden="1"/>
    <cellStyle name="설명 텍스트 4" xfId="36795" hidden="1"/>
    <cellStyle name="설명 텍스트 4" xfId="36835" hidden="1"/>
    <cellStyle name="설명 텍스트 4" xfId="36875" hidden="1"/>
    <cellStyle name="설명 텍스트 4" xfId="36915" hidden="1"/>
    <cellStyle name="설명 텍스트 4" xfId="36955" hidden="1"/>
    <cellStyle name="설명 텍스트 4" xfId="36995" hidden="1"/>
    <cellStyle name="설명 텍스트 4" xfId="37035" hidden="1"/>
    <cellStyle name="설명 텍스트 4" xfId="37075" hidden="1"/>
    <cellStyle name="설명 텍스트 4" xfId="37115" hidden="1"/>
    <cellStyle name="설명 텍스트 4" xfId="37155" hidden="1"/>
    <cellStyle name="설명 텍스트 4" xfId="37195" hidden="1"/>
    <cellStyle name="설명 텍스트 4" xfId="34644" hidden="1"/>
    <cellStyle name="설명 텍스트 4" xfId="37246" hidden="1"/>
    <cellStyle name="설명 텍스트 4" xfId="37287" hidden="1"/>
    <cellStyle name="설명 텍스트 4" xfId="37327" hidden="1"/>
    <cellStyle name="설명 텍스트 4" xfId="37367" hidden="1"/>
    <cellStyle name="설명 텍스트 4" xfId="37407" hidden="1"/>
    <cellStyle name="설명 텍스트 4" xfId="37447" hidden="1"/>
    <cellStyle name="설명 텍스트 4" xfId="37487" hidden="1"/>
    <cellStyle name="설명 텍스트 4" xfId="37527" hidden="1"/>
    <cellStyle name="설명 텍스트 4" xfId="37567" hidden="1"/>
    <cellStyle name="설명 텍스트 4" xfId="37607" hidden="1"/>
    <cellStyle name="설명 텍스트 4" xfId="37647" hidden="1"/>
    <cellStyle name="설명 텍스트 4" xfId="37731" hidden="1"/>
    <cellStyle name="설명 텍스트 4" xfId="37772" hidden="1"/>
    <cellStyle name="설명 텍스트 4" xfId="37814" hidden="1"/>
    <cellStyle name="설명 텍스트 4" xfId="37856" hidden="1"/>
    <cellStyle name="설명 텍스트 4" xfId="37898" hidden="1"/>
    <cellStyle name="설명 텍스트 4" xfId="37940" hidden="1"/>
    <cellStyle name="설명 텍스트 4" xfId="37982" hidden="1"/>
    <cellStyle name="설명 텍스트 4" xfId="38024" hidden="1"/>
    <cellStyle name="설명 텍스트 4" xfId="38066" hidden="1"/>
    <cellStyle name="설명 텍스트 4" xfId="38108" hidden="1"/>
    <cellStyle name="설명 텍스트 4" xfId="38150" hidden="1"/>
    <cellStyle name="설명 텍스트 4" xfId="38192" hidden="1"/>
    <cellStyle name="설명 텍스트 4" xfId="37688" hidden="1"/>
    <cellStyle name="설명 텍스트 4" xfId="38371" hidden="1"/>
    <cellStyle name="설명 텍스트 4" xfId="38411" hidden="1"/>
    <cellStyle name="설명 텍스트 4" xfId="38451" hidden="1"/>
    <cellStyle name="설명 텍스트 4" xfId="38491" hidden="1"/>
    <cellStyle name="설명 텍스트 4" xfId="38531" hidden="1"/>
    <cellStyle name="설명 텍스트 4" xfId="38571" hidden="1"/>
    <cellStyle name="설명 텍스트 4" xfId="38611" hidden="1"/>
    <cellStyle name="설명 텍스트 4" xfId="38651" hidden="1"/>
    <cellStyle name="설명 텍스트 4" xfId="38691" hidden="1"/>
    <cellStyle name="설명 텍스트 4" xfId="38731" hidden="1"/>
    <cellStyle name="설명 텍스트 4" xfId="38771" hidden="1"/>
    <cellStyle name="설명 텍스트 4" xfId="38811" hidden="1"/>
    <cellStyle name="설명 텍스트 4" xfId="38285" hidden="1"/>
    <cellStyle name="설명 텍스트 4" xfId="38231" hidden="1"/>
    <cellStyle name="설명 텍스트 4" xfId="38853" hidden="1"/>
    <cellStyle name="설명 텍스트 4" xfId="38895" hidden="1"/>
    <cellStyle name="설명 텍스트 4" xfId="38937" hidden="1"/>
    <cellStyle name="설명 텍스트 4" xfId="38979" hidden="1"/>
    <cellStyle name="설명 텍스트 4" xfId="39021" hidden="1"/>
    <cellStyle name="설명 텍스트 4" xfId="39063" hidden="1"/>
    <cellStyle name="설명 텍스트 4" xfId="39105" hidden="1"/>
    <cellStyle name="설명 텍스트 4" xfId="39147" hidden="1"/>
    <cellStyle name="설명 텍스트 4" xfId="39189" hidden="1"/>
    <cellStyle name="설명 텍스트 4" xfId="39231" hidden="1"/>
    <cellStyle name="설명 텍스트 4" xfId="38338" hidden="1"/>
    <cellStyle name="설명 텍스트 4" xfId="39259" hidden="1"/>
    <cellStyle name="설명 텍스트 4" xfId="39299" hidden="1"/>
    <cellStyle name="설명 텍스트 4" xfId="39339" hidden="1"/>
    <cellStyle name="설명 텍스트 4" xfId="39379" hidden="1"/>
    <cellStyle name="설명 텍스트 4" xfId="39419" hidden="1"/>
    <cellStyle name="설명 텍스트 4" xfId="39459" hidden="1"/>
    <cellStyle name="설명 텍스트 4" xfId="39499" hidden="1"/>
    <cellStyle name="설명 텍스트 4" xfId="39539" hidden="1"/>
    <cellStyle name="설명 텍스트 4" xfId="39579" hidden="1"/>
    <cellStyle name="설명 텍스트 4" xfId="39619" hidden="1"/>
    <cellStyle name="설명 텍스트 4" xfId="39659" hidden="1"/>
    <cellStyle name="설명 텍스트 4" xfId="39699" hidden="1"/>
    <cellStyle name="설명 텍스트 4" xfId="34672" hidden="1"/>
    <cellStyle name="설명 텍스트 4" xfId="39749" hidden="1"/>
    <cellStyle name="설명 텍스트 4" xfId="39789" hidden="1"/>
    <cellStyle name="설명 텍스트 4" xfId="39829" hidden="1"/>
    <cellStyle name="설명 텍스트 4" xfId="39869" hidden="1"/>
    <cellStyle name="설명 텍스트 4" xfId="39909" hidden="1"/>
    <cellStyle name="설명 텍스트 4" xfId="39949" hidden="1"/>
    <cellStyle name="설명 텍스트 4" xfId="39989" hidden="1"/>
    <cellStyle name="설명 텍스트 4" xfId="40029" hidden="1"/>
    <cellStyle name="설명 텍스트 4" xfId="40069" hidden="1"/>
    <cellStyle name="설명 텍스트 4" xfId="40109" hidden="1"/>
    <cellStyle name="설명 텍스트 4" xfId="40149" hidden="1"/>
    <cellStyle name="설명 텍스트 4" xfId="40233" hidden="1"/>
    <cellStyle name="설명 텍스트 4" xfId="40274" hidden="1"/>
    <cellStyle name="설명 텍스트 4" xfId="40316" hidden="1"/>
    <cellStyle name="설명 텍스트 4" xfId="40358" hidden="1"/>
    <cellStyle name="설명 텍스트 4" xfId="40400" hidden="1"/>
    <cellStyle name="설명 텍스트 4" xfId="40442" hidden="1"/>
    <cellStyle name="설명 텍스트 4" xfId="40484" hidden="1"/>
    <cellStyle name="설명 텍스트 4" xfId="40526" hidden="1"/>
    <cellStyle name="설명 텍스트 4" xfId="40568" hidden="1"/>
    <cellStyle name="설명 텍스트 4" xfId="40610" hidden="1"/>
    <cellStyle name="설명 텍스트 4" xfId="40652" hidden="1"/>
    <cellStyle name="설명 텍스트 4" xfId="40694" hidden="1"/>
    <cellStyle name="설명 텍스트 4" xfId="40190" hidden="1"/>
    <cellStyle name="설명 텍스트 4" xfId="40873" hidden="1"/>
    <cellStyle name="설명 텍스트 4" xfId="40913" hidden="1"/>
    <cellStyle name="설명 텍스트 4" xfId="40953" hidden="1"/>
    <cellStyle name="설명 텍스트 4" xfId="40993" hidden="1"/>
    <cellStyle name="설명 텍스트 4" xfId="41033" hidden="1"/>
    <cellStyle name="설명 텍스트 4" xfId="41073" hidden="1"/>
    <cellStyle name="설명 텍스트 4" xfId="41113" hidden="1"/>
    <cellStyle name="설명 텍스트 4" xfId="41153" hidden="1"/>
    <cellStyle name="설명 텍스트 4" xfId="41193" hidden="1"/>
    <cellStyle name="설명 텍스트 4" xfId="41233" hidden="1"/>
    <cellStyle name="설명 텍스트 4" xfId="41273" hidden="1"/>
    <cellStyle name="설명 텍스트 4" xfId="41313" hidden="1"/>
    <cellStyle name="설명 텍스트 4" xfId="40787" hidden="1"/>
    <cellStyle name="설명 텍스트 4" xfId="40733" hidden="1"/>
    <cellStyle name="설명 텍스트 4" xfId="41355" hidden="1"/>
    <cellStyle name="설명 텍스트 4" xfId="41397" hidden="1"/>
    <cellStyle name="설명 텍스트 4" xfId="41439" hidden="1"/>
    <cellStyle name="설명 텍스트 4" xfId="41481" hidden="1"/>
    <cellStyle name="설명 텍스트 4" xfId="41523" hidden="1"/>
    <cellStyle name="설명 텍스트 4" xfId="41565" hidden="1"/>
    <cellStyle name="설명 텍스트 4" xfId="41607" hidden="1"/>
    <cellStyle name="설명 텍스트 4" xfId="41649" hidden="1"/>
    <cellStyle name="설명 텍스트 4" xfId="41691" hidden="1"/>
    <cellStyle name="설명 텍스트 4" xfId="41733" hidden="1"/>
    <cellStyle name="설명 텍스트 4" xfId="40840" hidden="1"/>
    <cellStyle name="설명 텍스트 4" xfId="41761" hidden="1"/>
    <cellStyle name="설명 텍스트 4" xfId="41801" hidden="1"/>
    <cellStyle name="설명 텍스트 4" xfId="41841" hidden="1"/>
    <cellStyle name="설명 텍스트 4" xfId="41881" hidden="1"/>
    <cellStyle name="설명 텍스트 4" xfId="41921" hidden="1"/>
    <cellStyle name="설명 텍스트 4" xfId="41961" hidden="1"/>
    <cellStyle name="설명 텍스트 4" xfId="42001" hidden="1"/>
    <cellStyle name="설명 텍스트 4" xfId="42041" hidden="1"/>
    <cellStyle name="설명 텍스트 4" xfId="42081" hidden="1"/>
    <cellStyle name="설명 텍스트 4" xfId="42121" hidden="1"/>
    <cellStyle name="설명 텍스트 4" xfId="42161" hidden="1"/>
    <cellStyle name="설명 텍스트 4" xfId="42201" hidden="1"/>
    <cellStyle name="설명 텍스트 4" xfId="42244" hidden="1"/>
    <cellStyle name="설명 텍스트 4" xfId="42284" hidden="1"/>
    <cellStyle name="설명 텍스트 4" xfId="42324" hidden="1"/>
    <cellStyle name="설명 텍스트 4" xfId="42364" hidden="1"/>
    <cellStyle name="설명 텍스트 4" xfId="42404" hidden="1"/>
    <cellStyle name="설명 텍스트 4" xfId="42444" hidden="1"/>
    <cellStyle name="설명 텍스트 4" xfId="42484" hidden="1"/>
    <cellStyle name="설명 텍스트 4" xfId="42524" hidden="1"/>
    <cellStyle name="설명 텍스트 4" xfId="42564" hidden="1"/>
    <cellStyle name="설명 텍스트 4" xfId="42604" hidden="1"/>
    <cellStyle name="설명 텍스트 4" xfId="42644" hidden="1"/>
    <cellStyle name="설명 텍스트 4" xfId="42684" hidden="1"/>
    <cellStyle name="설명 텍스트 4" xfId="42768" hidden="1"/>
    <cellStyle name="설명 텍스트 4" xfId="42809" hidden="1"/>
    <cellStyle name="설명 텍스트 4" xfId="42851" hidden="1"/>
    <cellStyle name="설명 텍스트 4" xfId="42893" hidden="1"/>
    <cellStyle name="설명 텍스트 4" xfId="42935" hidden="1"/>
    <cellStyle name="설명 텍스트 4" xfId="42977" hidden="1"/>
    <cellStyle name="설명 텍스트 4" xfId="43019" hidden="1"/>
    <cellStyle name="설명 텍스트 4" xfId="43061" hidden="1"/>
    <cellStyle name="설명 텍스트 4" xfId="43103" hidden="1"/>
    <cellStyle name="설명 텍스트 4" xfId="43145" hidden="1"/>
    <cellStyle name="설명 텍스트 4" xfId="43187" hidden="1"/>
    <cellStyle name="설명 텍스트 4" xfId="43229" hidden="1"/>
    <cellStyle name="설명 텍스트 4" xfId="42725" hidden="1"/>
    <cellStyle name="설명 텍스트 4" xfId="43408" hidden="1"/>
    <cellStyle name="설명 텍스트 4" xfId="43448" hidden="1"/>
    <cellStyle name="설명 텍스트 4" xfId="43488" hidden="1"/>
    <cellStyle name="설명 텍스트 4" xfId="43528" hidden="1"/>
    <cellStyle name="설명 텍스트 4" xfId="43568" hidden="1"/>
    <cellStyle name="설명 텍스트 4" xfId="43608" hidden="1"/>
    <cellStyle name="설명 텍스트 4" xfId="43648" hidden="1"/>
    <cellStyle name="설명 텍스트 4" xfId="43688" hidden="1"/>
    <cellStyle name="설명 텍스트 4" xfId="43728" hidden="1"/>
    <cellStyle name="설명 텍스트 4" xfId="43768" hidden="1"/>
    <cellStyle name="설명 텍스트 4" xfId="43808" hidden="1"/>
    <cellStyle name="설명 텍스트 4" xfId="43848" hidden="1"/>
    <cellStyle name="설명 텍스트 4" xfId="43322" hidden="1"/>
    <cellStyle name="설명 텍스트 4" xfId="43268" hidden="1"/>
    <cellStyle name="설명 텍스트 4" xfId="43890" hidden="1"/>
    <cellStyle name="설명 텍스트 4" xfId="43932" hidden="1"/>
    <cellStyle name="설명 텍스트 4" xfId="43974" hidden="1"/>
    <cellStyle name="설명 텍스트 4" xfId="44016" hidden="1"/>
    <cellStyle name="설명 텍스트 4" xfId="44058" hidden="1"/>
    <cellStyle name="설명 텍스트 4" xfId="44100" hidden="1"/>
    <cellStyle name="설명 텍스트 4" xfId="44142" hidden="1"/>
    <cellStyle name="설명 텍스트 4" xfId="44184" hidden="1"/>
    <cellStyle name="설명 텍스트 4" xfId="44226" hidden="1"/>
    <cellStyle name="설명 텍스트 4" xfId="44268" hidden="1"/>
    <cellStyle name="설명 텍스트 4" xfId="43375" hidden="1"/>
    <cellStyle name="설명 텍스트 4" xfId="44296" hidden="1"/>
    <cellStyle name="설명 텍스트 4" xfId="44336" hidden="1"/>
    <cellStyle name="설명 텍스트 4" xfId="44376" hidden="1"/>
    <cellStyle name="설명 텍스트 4" xfId="44416" hidden="1"/>
    <cellStyle name="설명 텍스트 4" xfId="44456" hidden="1"/>
    <cellStyle name="설명 텍스트 4" xfId="44496" hidden="1"/>
    <cellStyle name="설명 텍스트 4" xfId="44536" hidden="1"/>
    <cellStyle name="설명 텍스트 4" xfId="44576" hidden="1"/>
    <cellStyle name="설명 텍스트 4" xfId="44616" hidden="1"/>
    <cellStyle name="설명 텍스트 4" xfId="44656" hidden="1"/>
    <cellStyle name="설명 텍스트 4" xfId="44696" hidden="1"/>
    <cellStyle name="설명 텍스트 4" xfId="44736" hidden="1"/>
    <cellStyle name="설명 텍스트 4" xfId="44832" hidden="1"/>
    <cellStyle name="설명 텍스트 4" xfId="44872" hidden="1"/>
    <cellStyle name="설명 텍스트 4" xfId="44914" hidden="1"/>
    <cellStyle name="설명 텍스트 4" xfId="44955" hidden="1"/>
    <cellStyle name="설명 텍스트 4" xfId="44995" hidden="1"/>
    <cellStyle name="설명 텍스트 4" xfId="45035" hidden="1"/>
    <cellStyle name="설명 텍스트 4" xfId="45075" hidden="1"/>
    <cellStyle name="설명 텍스트 4" xfId="45115" hidden="1"/>
    <cellStyle name="설명 텍스트 4" xfId="45155" hidden="1"/>
    <cellStyle name="설명 텍스트 4" xfId="45195" hidden="1"/>
    <cellStyle name="설명 텍스트 4" xfId="45235" hidden="1"/>
    <cellStyle name="설명 텍스트 4" xfId="45275" hidden="1"/>
    <cellStyle name="설명 텍스트 4" xfId="45359" hidden="1"/>
    <cellStyle name="설명 텍스트 4" xfId="45400" hidden="1"/>
    <cellStyle name="설명 텍스트 4" xfId="45442" hidden="1"/>
    <cellStyle name="설명 텍스트 4" xfId="45484" hidden="1"/>
    <cellStyle name="설명 텍스트 4" xfId="45526" hidden="1"/>
    <cellStyle name="설명 텍스트 4" xfId="45568" hidden="1"/>
    <cellStyle name="설명 텍스트 4" xfId="45610" hidden="1"/>
    <cellStyle name="설명 텍스트 4" xfId="45652" hidden="1"/>
    <cellStyle name="설명 텍스트 4" xfId="45694" hidden="1"/>
    <cellStyle name="설명 텍스트 4" xfId="45736" hidden="1"/>
    <cellStyle name="설명 텍스트 4" xfId="45778" hidden="1"/>
    <cellStyle name="설명 텍스트 4" xfId="45820" hidden="1"/>
    <cellStyle name="설명 텍스트 4" xfId="45316" hidden="1"/>
    <cellStyle name="설명 텍스트 4" xfId="45999" hidden="1"/>
    <cellStyle name="설명 텍스트 4" xfId="46039" hidden="1"/>
    <cellStyle name="설명 텍스트 4" xfId="46079" hidden="1"/>
    <cellStyle name="설명 텍스트 4" xfId="46119" hidden="1"/>
    <cellStyle name="설명 텍스트 4" xfId="46159" hidden="1"/>
    <cellStyle name="설명 텍스트 4" xfId="46199" hidden="1"/>
    <cellStyle name="설명 텍스트 4" xfId="46239" hidden="1"/>
    <cellStyle name="설명 텍스트 4" xfId="46279" hidden="1"/>
    <cellStyle name="설명 텍스트 4" xfId="46319" hidden="1"/>
    <cellStyle name="설명 텍스트 4" xfId="46359" hidden="1"/>
    <cellStyle name="설명 텍스트 4" xfId="46399" hidden="1"/>
    <cellStyle name="설명 텍스트 4" xfId="46439" hidden="1"/>
    <cellStyle name="설명 텍스트 4" xfId="45913" hidden="1"/>
    <cellStyle name="설명 텍스트 4" xfId="45859" hidden="1"/>
    <cellStyle name="설명 텍스트 4" xfId="46481" hidden="1"/>
    <cellStyle name="설명 텍스트 4" xfId="46523" hidden="1"/>
    <cellStyle name="설명 텍스트 4" xfId="46565" hidden="1"/>
    <cellStyle name="설명 텍스트 4" xfId="46607" hidden="1"/>
    <cellStyle name="설명 텍스트 4" xfId="46649" hidden="1"/>
    <cellStyle name="설명 텍스트 4" xfId="46691" hidden="1"/>
    <cellStyle name="설명 텍스트 4" xfId="46733" hidden="1"/>
    <cellStyle name="설명 텍스트 4" xfId="46775" hidden="1"/>
    <cellStyle name="설명 텍스트 4" xfId="46817" hidden="1"/>
    <cellStyle name="설명 텍스트 4" xfId="46859" hidden="1"/>
    <cellStyle name="설명 텍스트 4" xfId="45966" hidden="1"/>
    <cellStyle name="설명 텍스트 4" xfId="46887" hidden="1"/>
    <cellStyle name="설명 텍스트 4" xfId="46927" hidden="1"/>
    <cellStyle name="설명 텍스트 4" xfId="46967" hidden="1"/>
    <cellStyle name="설명 텍스트 4" xfId="47007" hidden="1"/>
    <cellStyle name="설명 텍스트 4" xfId="47047" hidden="1"/>
    <cellStyle name="설명 텍스트 4" xfId="47087" hidden="1"/>
    <cellStyle name="설명 텍스트 4" xfId="47127" hidden="1"/>
    <cellStyle name="설명 텍스트 4" xfId="47167" hidden="1"/>
    <cellStyle name="설명 텍스트 4" xfId="47207" hidden="1"/>
    <cellStyle name="설명 텍스트 4" xfId="47247" hidden="1"/>
    <cellStyle name="설명 텍스트 4" xfId="47287" hidden="1"/>
    <cellStyle name="설명 텍스트 4" xfId="47327" hidden="1"/>
    <cellStyle name="설명 텍스트 4" xfId="44774" hidden="1"/>
    <cellStyle name="설명 텍스트 4" xfId="47378" hidden="1"/>
    <cellStyle name="설명 텍스트 4" xfId="47418" hidden="1"/>
    <cellStyle name="설명 텍스트 4" xfId="47458" hidden="1"/>
    <cellStyle name="설명 텍스트 4" xfId="47498" hidden="1"/>
    <cellStyle name="설명 텍스트 4" xfId="47538" hidden="1"/>
    <cellStyle name="설명 텍스트 4" xfId="47578" hidden="1"/>
    <cellStyle name="설명 텍스트 4" xfId="47618" hidden="1"/>
    <cellStyle name="설명 텍스트 4" xfId="47658" hidden="1"/>
    <cellStyle name="설명 텍스트 4" xfId="47698" hidden="1"/>
    <cellStyle name="설명 텍스트 4" xfId="47738" hidden="1"/>
    <cellStyle name="설명 텍스트 4" xfId="47778" hidden="1"/>
    <cellStyle name="설명 텍스트 4" xfId="47862" hidden="1"/>
    <cellStyle name="설명 텍스트 4" xfId="47903" hidden="1"/>
    <cellStyle name="설명 텍스트 4" xfId="47945" hidden="1"/>
    <cellStyle name="설명 텍스트 4" xfId="47987" hidden="1"/>
    <cellStyle name="설명 텍스트 4" xfId="48029" hidden="1"/>
    <cellStyle name="설명 텍스트 4" xfId="48071" hidden="1"/>
    <cellStyle name="설명 텍스트 4" xfId="48113" hidden="1"/>
    <cellStyle name="설명 텍스트 4" xfId="48155" hidden="1"/>
    <cellStyle name="설명 텍스트 4" xfId="48197" hidden="1"/>
    <cellStyle name="설명 텍스트 4" xfId="48239" hidden="1"/>
    <cellStyle name="설명 텍스트 4" xfId="48281" hidden="1"/>
    <cellStyle name="설명 텍스트 4" xfId="48323" hidden="1"/>
    <cellStyle name="설명 텍스트 4" xfId="47819" hidden="1"/>
    <cellStyle name="설명 텍스트 4" xfId="48502" hidden="1"/>
    <cellStyle name="설명 텍스트 4" xfId="48542" hidden="1"/>
    <cellStyle name="설명 텍스트 4" xfId="48582" hidden="1"/>
    <cellStyle name="설명 텍스트 4" xfId="48622" hidden="1"/>
    <cellStyle name="설명 텍스트 4" xfId="48662" hidden="1"/>
    <cellStyle name="설명 텍스트 4" xfId="48702" hidden="1"/>
    <cellStyle name="설명 텍스트 4" xfId="48742" hidden="1"/>
    <cellStyle name="설명 텍스트 4" xfId="48782" hidden="1"/>
    <cellStyle name="설명 텍스트 4" xfId="48822" hidden="1"/>
    <cellStyle name="설명 텍스트 4" xfId="48862" hidden="1"/>
    <cellStyle name="설명 텍스트 4" xfId="48902" hidden="1"/>
    <cellStyle name="설명 텍스트 4" xfId="48942" hidden="1"/>
    <cellStyle name="설명 텍스트 4" xfId="48416" hidden="1"/>
    <cellStyle name="설명 텍스트 4" xfId="48362" hidden="1"/>
    <cellStyle name="설명 텍스트 4" xfId="48984" hidden="1"/>
    <cellStyle name="설명 텍스트 4" xfId="49026" hidden="1"/>
    <cellStyle name="설명 텍스트 4" xfId="49068" hidden="1"/>
    <cellStyle name="설명 텍스트 4" xfId="49110" hidden="1"/>
    <cellStyle name="설명 텍스트 4" xfId="49152" hidden="1"/>
    <cellStyle name="설명 텍스트 4" xfId="49194" hidden="1"/>
    <cellStyle name="설명 텍스트 4" xfId="49236" hidden="1"/>
    <cellStyle name="설명 텍스트 4" xfId="49278" hidden="1"/>
    <cellStyle name="설명 텍스트 4" xfId="49320" hidden="1"/>
    <cellStyle name="설명 텍스트 4" xfId="49362" hidden="1"/>
    <cellStyle name="설명 텍스트 4" xfId="48469" hidden="1"/>
    <cellStyle name="설명 텍스트 4" xfId="49390" hidden="1"/>
    <cellStyle name="설명 텍스트 4" xfId="49430" hidden="1"/>
    <cellStyle name="설명 텍스트 4" xfId="49470" hidden="1"/>
    <cellStyle name="설명 텍스트 4" xfId="49510" hidden="1"/>
    <cellStyle name="설명 텍스트 4" xfId="49550" hidden="1"/>
    <cellStyle name="설명 텍스트 4" xfId="49590" hidden="1"/>
    <cellStyle name="설명 텍스트 4" xfId="49630" hidden="1"/>
    <cellStyle name="설명 텍스트 4" xfId="49670" hidden="1"/>
    <cellStyle name="설명 텍스트 4" xfId="49710" hidden="1"/>
    <cellStyle name="설명 텍스트 4" xfId="49750" hidden="1"/>
    <cellStyle name="설명 텍스트 4" xfId="49790" hidden="1"/>
    <cellStyle name="설명 텍스트 4" xfId="49830" hidden="1"/>
    <cellStyle name="설명 텍스트 4" xfId="44801" hidden="1"/>
    <cellStyle name="설명 텍스트 4" xfId="49880" hidden="1"/>
    <cellStyle name="설명 텍스트 4" xfId="49920" hidden="1"/>
    <cellStyle name="설명 텍스트 4" xfId="49960" hidden="1"/>
    <cellStyle name="설명 텍스트 4" xfId="50000" hidden="1"/>
    <cellStyle name="설명 텍스트 4" xfId="50040" hidden="1"/>
    <cellStyle name="설명 텍스트 4" xfId="50080" hidden="1"/>
    <cellStyle name="설명 텍스트 4" xfId="50120" hidden="1"/>
    <cellStyle name="설명 텍스트 4" xfId="50160" hidden="1"/>
    <cellStyle name="설명 텍스트 4" xfId="50200" hidden="1"/>
    <cellStyle name="설명 텍스트 4" xfId="50240" hidden="1"/>
    <cellStyle name="설명 텍스트 4" xfId="50280" hidden="1"/>
    <cellStyle name="설명 텍스트 4" xfId="50364" hidden="1"/>
    <cellStyle name="설명 텍스트 4" xfId="50405" hidden="1"/>
    <cellStyle name="설명 텍스트 4" xfId="50447" hidden="1"/>
    <cellStyle name="설명 텍스트 4" xfId="50489" hidden="1"/>
    <cellStyle name="설명 텍스트 4" xfId="50531" hidden="1"/>
    <cellStyle name="설명 텍스트 4" xfId="50573" hidden="1"/>
    <cellStyle name="설명 텍스트 4" xfId="50615" hidden="1"/>
    <cellStyle name="설명 텍스트 4" xfId="50657" hidden="1"/>
    <cellStyle name="설명 텍스트 4" xfId="50699" hidden="1"/>
    <cellStyle name="설명 텍스트 4" xfId="50741" hidden="1"/>
    <cellStyle name="설명 텍스트 4" xfId="50783" hidden="1"/>
    <cellStyle name="설명 텍스트 4" xfId="50825" hidden="1"/>
    <cellStyle name="설명 텍스트 4" xfId="50321" hidden="1"/>
    <cellStyle name="설명 텍스트 4" xfId="51004" hidden="1"/>
    <cellStyle name="설명 텍스트 4" xfId="51044" hidden="1"/>
    <cellStyle name="설명 텍스트 4" xfId="51084" hidden="1"/>
    <cellStyle name="설명 텍스트 4" xfId="51124" hidden="1"/>
    <cellStyle name="설명 텍스트 4" xfId="51164" hidden="1"/>
    <cellStyle name="설명 텍스트 4" xfId="51204" hidden="1"/>
    <cellStyle name="설명 텍스트 4" xfId="51244" hidden="1"/>
    <cellStyle name="설명 텍스트 4" xfId="51284" hidden="1"/>
    <cellStyle name="설명 텍스트 4" xfId="51324" hidden="1"/>
    <cellStyle name="설명 텍스트 4" xfId="51364" hidden="1"/>
    <cellStyle name="설명 텍스트 4" xfId="51404" hidden="1"/>
    <cellStyle name="설명 텍스트 4" xfId="51444" hidden="1"/>
    <cellStyle name="설명 텍스트 4" xfId="50918" hidden="1"/>
    <cellStyle name="설명 텍스트 4" xfId="50864" hidden="1"/>
    <cellStyle name="설명 텍스트 4" xfId="51486" hidden="1"/>
    <cellStyle name="설명 텍스트 4" xfId="51528" hidden="1"/>
    <cellStyle name="설명 텍스트 4" xfId="51570" hidden="1"/>
    <cellStyle name="설명 텍스트 4" xfId="51612" hidden="1"/>
    <cellStyle name="설명 텍스트 4" xfId="51654" hidden="1"/>
    <cellStyle name="설명 텍스트 4" xfId="51696" hidden="1"/>
    <cellStyle name="설명 텍스트 4" xfId="51738" hidden="1"/>
    <cellStyle name="설명 텍스트 4" xfId="51780" hidden="1"/>
    <cellStyle name="설명 텍스트 4" xfId="51822" hidden="1"/>
    <cellStyle name="설명 텍스트 4" xfId="51864" hidden="1"/>
    <cellStyle name="설명 텍스트 4" xfId="50971" hidden="1"/>
    <cellStyle name="설명 텍스트 4" xfId="51892" hidden="1"/>
    <cellStyle name="설명 텍스트 4" xfId="51932" hidden="1"/>
    <cellStyle name="설명 텍스트 4" xfId="51972" hidden="1"/>
    <cellStyle name="설명 텍스트 4" xfId="52012" hidden="1"/>
    <cellStyle name="설명 텍스트 4" xfId="52052" hidden="1"/>
    <cellStyle name="설명 텍스트 4" xfId="52092" hidden="1"/>
    <cellStyle name="설명 텍스트 4" xfId="52132" hidden="1"/>
    <cellStyle name="설명 텍스트 4" xfId="52172" hidden="1"/>
    <cellStyle name="설명 텍스트 4" xfId="52212" hidden="1"/>
    <cellStyle name="설명 텍스트 4" xfId="52252" hidden="1"/>
    <cellStyle name="설명 텍스트 4" xfId="52292" hidden="1"/>
    <cellStyle name="설명 텍스트 4" xfId="52332" hidden="1"/>
    <cellStyle name="설명 텍스트 4 2" xfId="6241"/>
    <cellStyle name="설명 텍스트 4 3" xfId="6242"/>
    <cellStyle name="설명 텍스트 4 4" xfId="6243"/>
    <cellStyle name="설명 텍스트 4 5" xfId="6244"/>
    <cellStyle name="설명 텍스트 40" xfId="6245"/>
    <cellStyle name="설명 텍스트 41" xfId="6246"/>
    <cellStyle name="설명 텍스트 42" xfId="6247"/>
    <cellStyle name="설명 텍스트 43" xfId="6248"/>
    <cellStyle name="설명 텍스트 44" xfId="6249"/>
    <cellStyle name="설명 텍스트 45" xfId="6250"/>
    <cellStyle name="설명 텍스트 46" xfId="6251"/>
    <cellStyle name="설명 텍스트 47" xfId="6252"/>
    <cellStyle name="설명 텍스트 48" xfId="6253"/>
    <cellStyle name="설명 텍스트 49" xfId="6254"/>
    <cellStyle name="설명 텍스트 5" xfId="6255"/>
    <cellStyle name="설명 텍스트 50" xfId="6256"/>
    <cellStyle name="설명 텍스트 51" xfId="6257"/>
    <cellStyle name="설명 텍스트 52" xfId="6258"/>
    <cellStyle name="설명 텍스트 6" xfId="6259"/>
    <cellStyle name="설명 텍스트 7" xfId="6260"/>
    <cellStyle name="설명 텍스트 8" xfId="6261"/>
    <cellStyle name="설명 텍스트 9" xfId="6262"/>
    <cellStyle name="셀 확인 10" xfId="6263"/>
    <cellStyle name="셀 확인 11" xfId="6264"/>
    <cellStyle name="셀 확인 12" xfId="6265"/>
    <cellStyle name="셀 확인 13" xfId="6266"/>
    <cellStyle name="셀 확인 14" xfId="6267"/>
    <cellStyle name="셀 확인 15" xfId="6268"/>
    <cellStyle name="셀 확인 16" xfId="6269"/>
    <cellStyle name="셀 확인 17" xfId="6270"/>
    <cellStyle name="셀 확인 18" xfId="6271"/>
    <cellStyle name="셀 확인 19" xfId="6272"/>
    <cellStyle name="셀 확인 2" xfId="371"/>
    <cellStyle name="셀 확인 2 10" xfId="6273"/>
    <cellStyle name="셀 확인 2 100" xfId="6274"/>
    <cellStyle name="셀 확인 2 101" xfId="6275"/>
    <cellStyle name="셀 확인 2 102" xfId="6276"/>
    <cellStyle name="셀 확인 2 103" xfId="6277"/>
    <cellStyle name="셀 확인 2 104" xfId="6278"/>
    <cellStyle name="셀 확인 2 105" xfId="6279"/>
    <cellStyle name="셀 확인 2 106" xfId="6280"/>
    <cellStyle name="셀 확인 2 107" xfId="6281"/>
    <cellStyle name="셀 확인 2 108" xfId="6282"/>
    <cellStyle name="셀 확인 2 109" xfId="6283"/>
    <cellStyle name="셀 확인 2 11" xfId="6284"/>
    <cellStyle name="셀 확인 2 110" xfId="6285"/>
    <cellStyle name="셀 확인 2 111" xfId="6286"/>
    <cellStyle name="셀 확인 2 112" xfId="6287"/>
    <cellStyle name="셀 확인 2 12" xfId="6288"/>
    <cellStyle name="셀 확인 2 13" xfId="6289"/>
    <cellStyle name="셀 확인 2 14" xfId="6290"/>
    <cellStyle name="셀 확인 2 15" xfId="6291"/>
    <cellStyle name="셀 확인 2 16" xfId="6292"/>
    <cellStyle name="셀 확인 2 17" xfId="6293"/>
    <cellStyle name="셀 확인 2 18" xfId="6294"/>
    <cellStyle name="셀 확인 2 19" xfId="6295"/>
    <cellStyle name="셀 확인 2 2" xfId="6296"/>
    <cellStyle name="셀 확인 2 2 2" xfId="6297"/>
    <cellStyle name="셀 확인 2 2 3" xfId="6298"/>
    <cellStyle name="셀 확인 2 2 4" xfId="6299"/>
    <cellStyle name="셀 확인 2 2 5" xfId="6300"/>
    <cellStyle name="셀 확인 2 20" xfId="6301"/>
    <cellStyle name="셀 확인 2 21" xfId="6302"/>
    <cellStyle name="셀 확인 2 22" xfId="6303"/>
    <cellStyle name="셀 확인 2 23" xfId="6304"/>
    <cellStyle name="셀 확인 2 24" xfId="6305"/>
    <cellStyle name="셀 확인 2 25" xfId="6306"/>
    <cellStyle name="셀 확인 2 26" xfId="6307"/>
    <cellStyle name="셀 확인 2 27" xfId="6308"/>
    <cellStyle name="셀 확인 2 28" xfId="6309"/>
    <cellStyle name="셀 확인 2 29" xfId="6310"/>
    <cellStyle name="셀 확인 2 3" xfId="6311"/>
    <cellStyle name="셀 확인 2 30" xfId="6312"/>
    <cellStyle name="셀 확인 2 31" xfId="6313"/>
    <cellStyle name="셀 확인 2 32" xfId="6314"/>
    <cellStyle name="셀 확인 2 33" xfId="6315"/>
    <cellStyle name="셀 확인 2 34" xfId="6316"/>
    <cellStyle name="셀 확인 2 35" xfId="6317"/>
    <cellStyle name="셀 확인 2 36" xfId="6318"/>
    <cellStyle name="셀 확인 2 37" xfId="6319"/>
    <cellStyle name="셀 확인 2 38" xfId="6320"/>
    <cellStyle name="셀 확인 2 39" xfId="6321"/>
    <cellStyle name="셀 확인 2 4" xfId="6322"/>
    <cellStyle name="셀 확인 2 40" xfId="6323"/>
    <cellStyle name="셀 확인 2 41" xfId="6324"/>
    <cellStyle name="셀 확인 2 42" xfId="6325"/>
    <cellStyle name="셀 확인 2 43" xfId="6326"/>
    <cellStyle name="셀 확인 2 44" xfId="6327"/>
    <cellStyle name="셀 확인 2 45" xfId="6328"/>
    <cellStyle name="셀 확인 2 46" xfId="6329"/>
    <cellStyle name="셀 확인 2 47" xfId="6330"/>
    <cellStyle name="셀 확인 2 48" xfId="6331"/>
    <cellStyle name="셀 확인 2 49" xfId="6332"/>
    <cellStyle name="셀 확인 2 5" xfId="6333"/>
    <cellStyle name="셀 확인 2 50" xfId="6334"/>
    <cellStyle name="셀 확인 2 51" xfId="6335"/>
    <cellStyle name="셀 확인 2 52" xfId="6336"/>
    <cellStyle name="셀 확인 2 53" xfId="6337"/>
    <cellStyle name="셀 확인 2 54" xfId="6338"/>
    <cellStyle name="셀 확인 2 55" xfId="6339"/>
    <cellStyle name="셀 확인 2 56" xfId="6340"/>
    <cellStyle name="셀 확인 2 57" xfId="6341"/>
    <cellStyle name="셀 확인 2 58" xfId="6342"/>
    <cellStyle name="셀 확인 2 59" xfId="6343"/>
    <cellStyle name="셀 확인 2 6" xfId="6344"/>
    <cellStyle name="셀 확인 2 60" xfId="6345"/>
    <cellStyle name="셀 확인 2 61" xfId="6346"/>
    <cellStyle name="셀 확인 2 62" xfId="6347"/>
    <cellStyle name="셀 확인 2 63" xfId="6348"/>
    <cellStyle name="셀 확인 2 64" xfId="6349"/>
    <cellStyle name="셀 확인 2 65" xfId="6350"/>
    <cellStyle name="셀 확인 2 66" xfId="6351"/>
    <cellStyle name="셀 확인 2 67" xfId="6352"/>
    <cellStyle name="셀 확인 2 68" xfId="6353"/>
    <cellStyle name="셀 확인 2 69" xfId="6354"/>
    <cellStyle name="셀 확인 2 7" xfId="6355"/>
    <cellStyle name="셀 확인 2 70" xfId="6356"/>
    <cellStyle name="셀 확인 2 71" xfId="6357"/>
    <cellStyle name="셀 확인 2 72" xfId="6358"/>
    <cellStyle name="셀 확인 2 73" xfId="6359"/>
    <cellStyle name="셀 확인 2 74" xfId="6360"/>
    <cellStyle name="셀 확인 2 75" xfId="6361"/>
    <cellStyle name="셀 확인 2 76" xfId="6362"/>
    <cellStyle name="셀 확인 2 77" xfId="6363"/>
    <cellStyle name="셀 확인 2 78" xfId="6364"/>
    <cellStyle name="셀 확인 2 79" xfId="6365"/>
    <cellStyle name="셀 확인 2 8" xfId="6366"/>
    <cellStyle name="셀 확인 2 80" xfId="6367"/>
    <cellStyle name="셀 확인 2 81" xfId="6368"/>
    <cellStyle name="셀 확인 2 82" xfId="6369"/>
    <cellStyle name="셀 확인 2 83" xfId="6370"/>
    <cellStyle name="셀 확인 2 84" xfId="6371"/>
    <cellStyle name="셀 확인 2 85" xfId="6372"/>
    <cellStyle name="셀 확인 2 86" xfId="6373"/>
    <cellStyle name="셀 확인 2 87" xfId="6374"/>
    <cellStyle name="셀 확인 2 88" xfId="6375"/>
    <cellStyle name="셀 확인 2 89" xfId="6376"/>
    <cellStyle name="셀 확인 2 9" xfId="6377"/>
    <cellStyle name="셀 확인 2 90" xfId="6378"/>
    <cellStyle name="셀 확인 2 91" xfId="6379"/>
    <cellStyle name="셀 확인 2 92" xfId="6380"/>
    <cellStyle name="셀 확인 2 93" xfId="6381"/>
    <cellStyle name="셀 확인 2 94" xfId="6382"/>
    <cellStyle name="셀 확인 2 95" xfId="6383"/>
    <cellStyle name="셀 확인 2 96" xfId="6384"/>
    <cellStyle name="셀 확인 2 97" xfId="6385"/>
    <cellStyle name="셀 확인 2 98" xfId="6386"/>
    <cellStyle name="셀 확인 2 99" xfId="6387"/>
    <cellStyle name="셀 확인 20" xfId="6388"/>
    <cellStyle name="셀 확인 21" xfId="6389"/>
    <cellStyle name="셀 확인 22" xfId="6390"/>
    <cellStyle name="셀 확인 23" xfId="6391"/>
    <cellStyle name="셀 확인 24" xfId="6392"/>
    <cellStyle name="셀 확인 25" xfId="6393"/>
    <cellStyle name="셀 확인 26" xfId="6394"/>
    <cellStyle name="셀 확인 27" xfId="6395"/>
    <cellStyle name="셀 확인 28" xfId="6396"/>
    <cellStyle name="셀 확인 29" xfId="6397"/>
    <cellStyle name="셀 확인 3" xfId="372"/>
    <cellStyle name="셀 확인 30" xfId="6398"/>
    <cellStyle name="셀 확인 31" xfId="6399"/>
    <cellStyle name="셀 확인 32" xfId="6400"/>
    <cellStyle name="셀 확인 33" xfId="6401"/>
    <cellStyle name="셀 확인 34" xfId="6402"/>
    <cellStyle name="셀 확인 35" xfId="6403"/>
    <cellStyle name="셀 확인 36" xfId="6404"/>
    <cellStyle name="셀 확인 37" xfId="6405"/>
    <cellStyle name="셀 확인 38" xfId="6406"/>
    <cellStyle name="셀 확인 39" xfId="6407"/>
    <cellStyle name="셀 확인 4" xfId="11720" hidden="1"/>
    <cellStyle name="셀 확인 4" xfId="11766" hidden="1"/>
    <cellStyle name="셀 확인 4" xfId="11812" hidden="1"/>
    <cellStyle name="셀 확인 4" xfId="11858" hidden="1"/>
    <cellStyle name="셀 확인 4" xfId="11904" hidden="1"/>
    <cellStyle name="셀 확인 4" xfId="11950" hidden="1"/>
    <cellStyle name="셀 확인 4" xfId="11996" hidden="1"/>
    <cellStyle name="셀 확인 4" xfId="12042" hidden="1"/>
    <cellStyle name="셀 확인 4" xfId="12088" hidden="1"/>
    <cellStyle name="셀 확인 4" xfId="12134" hidden="1"/>
    <cellStyle name="셀 확인 4" xfId="12180" hidden="1"/>
    <cellStyle name="셀 확인 4" xfId="12226" hidden="1"/>
    <cellStyle name="셀 확인 4" xfId="12316" hidden="1"/>
    <cellStyle name="셀 확인 4" xfId="12356" hidden="1"/>
    <cellStyle name="셀 확인 4" xfId="12398" hidden="1"/>
    <cellStyle name="셀 확인 4" xfId="12440" hidden="1"/>
    <cellStyle name="셀 확인 4" xfId="12482" hidden="1"/>
    <cellStyle name="셀 확인 4" xfId="12524" hidden="1"/>
    <cellStyle name="셀 확인 4" xfId="12566" hidden="1"/>
    <cellStyle name="셀 확인 4" xfId="12608" hidden="1"/>
    <cellStyle name="셀 확인 4" xfId="12650" hidden="1"/>
    <cellStyle name="셀 확인 4" xfId="12692" hidden="1"/>
    <cellStyle name="셀 확인 4" xfId="12734" hidden="1"/>
    <cellStyle name="셀 확인 4" xfId="12776" hidden="1"/>
    <cellStyle name="셀 확인 4" xfId="12270" hidden="1"/>
    <cellStyle name="셀 확인 4" xfId="12959" hidden="1"/>
    <cellStyle name="셀 확인 4" xfId="12999" hidden="1"/>
    <cellStyle name="셀 확인 4" xfId="13039" hidden="1"/>
    <cellStyle name="셀 확인 4" xfId="13079" hidden="1"/>
    <cellStyle name="셀 확인 4" xfId="13119" hidden="1"/>
    <cellStyle name="셀 확인 4" xfId="13159" hidden="1"/>
    <cellStyle name="셀 확인 4" xfId="13199" hidden="1"/>
    <cellStyle name="셀 확인 4" xfId="13239" hidden="1"/>
    <cellStyle name="셀 확인 4" xfId="13279" hidden="1"/>
    <cellStyle name="셀 확인 4" xfId="13319" hidden="1"/>
    <cellStyle name="셀 확인 4" xfId="13359" hidden="1"/>
    <cellStyle name="셀 확인 4" xfId="13399" hidden="1"/>
    <cellStyle name="셀 확인 4" xfId="12875" hidden="1"/>
    <cellStyle name="셀 확인 4" xfId="12836" hidden="1"/>
    <cellStyle name="셀 확인 4" xfId="13440" hidden="1"/>
    <cellStyle name="셀 확인 4" xfId="13482" hidden="1"/>
    <cellStyle name="셀 확인 4" xfId="13524" hidden="1"/>
    <cellStyle name="셀 확인 4" xfId="13566" hidden="1"/>
    <cellStyle name="셀 확인 4" xfId="13608" hidden="1"/>
    <cellStyle name="셀 확인 4" xfId="13650" hidden="1"/>
    <cellStyle name="셀 확인 4" xfId="13692" hidden="1"/>
    <cellStyle name="셀 확인 4" xfId="13734" hidden="1"/>
    <cellStyle name="셀 확인 4" xfId="13776" hidden="1"/>
    <cellStyle name="셀 확인 4" xfId="13818" hidden="1"/>
    <cellStyle name="셀 확인 4" xfId="12930" hidden="1"/>
    <cellStyle name="셀 확인 4" xfId="12945" hidden="1"/>
    <cellStyle name="셀 확인 4" xfId="13887" hidden="1"/>
    <cellStyle name="셀 확인 4" xfId="13927" hidden="1"/>
    <cellStyle name="셀 확인 4" xfId="13967" hidden="1"/>
    <cellStyle name="셀 확인 4" xfId="14007" hidden="1"/>
    <cellStyle name="셀 확인 4" xfId="14047" hidden="1"/>
    <cellStyle name="셀 확인 4" xfId="14087" hidden="1"/>
    <cellStyle name="셀 확인 4" xfId="14127" hidden="1"/>
    <cellStyle name="셀 확인 4" xfId="14167" hidden="1"/>
    <cellStyle name="셀 확인 4" xfId="14207" hidden="1"/>
    <cellStyle name="셀 확인 4" xfId="14247" hidden="1"/>
    <cellStyle name="셀 확인 4" xfId="14287" hidden="1"/>
    <cellStyle name="셀 확인 4" xfId="14393" hidden="1"/>
    <cellStyle name="셀 확인 4" xfId="14433" hidden="1"/>
    <cellStyle name="셀 확인 4" xfId="14473" hidden="1"/>
    <cellStyle name="셀 확인 4" xfId="14513" hidden="1"/>
    <cellStyle name="셀 확인 4" xfId="14553" hidden="1"/>
    <cellStyle name="셀 확인 4" xfId="14593" hidden="1"/>
    <cellStyle name="셀 확인 4" xfId="14633" hidden="1"/>
    <cellStyle name="셀 확인 4" xfId="14673" hidden="1"/>
    <cellStyle name="셀 확인 4" xfId="14713" hidden="1"/>
    <cellStyle name="셀 확인 4" xfId="14753" hidden="1"/>
    <cellStyle name="셀 확인 4" xfId="14793" hidden="1"/>
    <cellStyle name="셀 확인 4" xfId="14833" hidden="1"/>
    <cellStyle name="셀 확인 4" xfId="14917" hidden="1"/>
    <cellStyle name="셀 확인 4" xfId="14957" hidden="1"/>
    <cellStyle name="셀 확인 4" xfId="14999" hidden="1"/>
    <cellStyle name="셀 확인 4" xfId="15041" hidden="1"/>
    <cellStyle name="셀 확인 4" xfId="15083" hidden="1"/>
    <cellStyle name="셀 확인 4" xfId="15125" hidden="1"/>
    <cellStyle name="셀 확인 4" xfId="15167" hidden="1"/>
    <cellStyle name="셀 확인 4" xfId="15209" hidden="1"/>
    <cellStyle name="셀 확인 4" xfId="15251" hidden="1"/>
    <cellStyle name="셀 확인 4" xfId="15293" hidden="1"/>
    <cellStyle name="셀 확인 4" xfId="15335" hidden="1"/>
    <cellStyle name="셀 확인 4" xfId="15377" hidden="1"/>
    <cellStyle name="셀 확인 4" xfId="14873" hidden="1"/>
    <cellStyle name="셀 확인 4" xfId="15557" hidden="1"/>
    <cellStyle name="셀 확인 4" xfId="15597" hidden="1"/>
    <cellStyle name="셀 확인 4" xfId="15637" hidden="1"/>
    <cellStyle name="셀 확인 4" xfId="15677" hidden="1"/>
    <cellStyle name="셀 확인 4" xfId="15717" hidden="1"/>
    <cellStyle name="셀 확인 4" xfId="15757" hidden="1"/>
    <cellStyle name="셀 확인 4" xfId="15797" hidden="1"/>
    <cellStyle name="셀 확인 4" xfId="15837" hidden="1"/>
    <cellStyle name="셀 확인 4" xfId="15877" hidden="1"/>
    <cellStyle name="셀 확인 4" xfId="15917" hidden="1"/>
    <cellStyle name="셀 확인 4" xfId="15957" hidden="1"/>
    <cellStyle name="셀 확인 4" xfId="15997" hidden="1"/>
    <cellStyle name="셀 확인 4" xfId="15475" hidden="1"/>
    <cellStyle name="셀 확인 4" xfId="15436" hidden="1"/>
    <cellStyle name="셀 확인 4" xfId="16038" hidden="1"/>
    <cellStyle name="셀 확인 4" xfId="16080" hidden="1"/>
    <cellStyle name="셀 확인 4" xfId="16122" hidden="1"/>
    <cellStyle name="셀 확인 4" xfId="16164" hidden="1"/>
    <cellStyle name="셀 확인 4" xfId="16206" hidden="1"/>
    <cellStyle name="셀 확인 4" xfId="16248" hidden="1"/>
    <cellStyle name="셀 확인 4" xfId="16290" hidden="1"/>
    <cellStyle name="셀 확인 4" xfId="16332" hidden="1"/>
    <cellStyle name="셀 확인 4" xfId="16374" hidden="1"/>
    <cellStyle name="셀 확인 4" xfId="16416" hidden="1"/>
    <cellStyle name="셀 확인 4" xfId="15529" hidden="1"/>
    <cellStyle name="셀 확인 4" xfId="15544" hidden="1"/>
    <cellStyle name="셀 확인 4" xfId="16485" hidden="1"/>
    <cellStyle name="셀 확인 4" xfId="16525" hidden="1"/>
    <cellStyle name="셀 확인 4" xfId="16565" hidden="1"/>
    <cellStyle name="셀 확인 4" xfId="16605" hidden="1"/>
    <cellStyle name="셀 확인 4" xfId="16645" hidden="1"/>
    <cellStyle name="셀 확인 4" xfId="16685" hidden="1"/>
    <cellStyle name="셀 확인 4" xfId="16725" hidden="1"/>
    <cellStyle name="셀 확인 4" xfId="16765" hidden="1"/>
    <cellStyle name="셀 확인 4" xfId="16805" hidden="1"/>
    <cellStyle name="셀 확인 4" xfId="16845" hidden="1"/>
    <cellStyle name="셀 확인 4" xfId="16885" hidden="1"/>
    <cellStyle name="셀 확인 4" xfId="14332" hidden="1"/>
    <cellStyle name="셀 확인 4" xfId="16936" hidden="1"/>
    <cellStyle name="셀 확인 4" xfId="16977" hidden="1"/>
    <cellStyle name="셀 확인 4" xfId="17017" hidden="1"/>
    <cellStyle name="셀 확인 4" xfId="17057" hidden="1"/>
    <cellStyle name="셀 확인 4" xfId="17097" hidden="1"/>
    <cellStyle name="셀 확인 4" xfId="17137" hidden="1"/>
    <cellStyle name="셀 확인 4" xfId="17177" hidden="1"/>
    <cellStyle name="셀 확인 4" xfId="17217" hidden="1"/>
    <cellStyle name="셀 확인 4" xfId="17257" hidden="1"/>
    <cellStyle name="셀 확인 4" xfId="17297" hidden="1"/>
    <cellStyle name="셀 확인 4" xfId="17337" hidden="1"/>
    <cellStyle name="셀 확인 4" xfId="17421" hidden="1"/>
    <cellStyle name="셀 확인 4" xfId="17461" hidden="1"/>
    <cellStyle name="셀 확인 4" xfId="17503" hidden="1"/>
    <cellStyle name="셀 확인 4" xfId="17545" hidden="1"/>
    <cellStyle name="셀 확인 4" xfId="17587" hidden="1"/>
    <cellStyle name="셀 확인 4" xfId="17629" hidden="1"/>
    <cellStyle name="셀 확인 4" xfId="17671" hidden="1"/>
    <cellStyle name="셀 확인 4" xfId="17713" hidden="1"/>
    <cellStyle name="셀 확인 4" xfId="17755" hidden="1"/>
    <cellStyle name="셀 확인 4" xfId="17797" hidden="1"/>
    <cellStyle name="셀 확인 4" xfId="17839" hidden="1"/>
    <cellStyle name="셀 확인 4" xfId="17881" hidden="1"/>
    <cellStyle name="셀 확인 4" xfId="17377" hidden="1"/>
    <cellStyle name="셀 확인 4" xfId="18061" hidden="1"/>
    <cellStyle name="셀 확인 4" xfId="18101" hidden="1"/>
    <cellStyle name="셀 확인 4" xfId="18141" hidden="1"/>
    <cellStyle name="셀 확인 4" xfId="18181" hidden="1"/>
    <cellStyle name="셀 확인 4" xfId="18221" hidden="1"/>
    <cellStyle name="셀 확인 4" xfId="18261" hidden="1"/>
    <cellStyle name="셀 확인 4" xfId="18301" hidden="1"/>
    <cellStyle name="셀 확인 4" xfId="18341" hidden="1"/>
    <cellStyle name="셀 확인 4" xfId="18381" hidden="1"/>
    <cellStyle name="셀 확인 4" xfId="18421" hidden="1"/>
    <cellStyle name="셀 확인 4" xfId="18461" hidden="1"/>
    <cellStyle name="셀 확인 4" xfId="18501" hidden="1"/>
    <cellStyle name="셀 확인 4" xfId="17979" hidden="1"/>
    <cellStyle name="셀 확인 4" xfId="17940" hidden="1"/>
    <cellStyle name="셀 확인 4" xfId="18542" hidden="1"/>
    <cellStyle name="셀 확인 4" xfId="18584" hidden="1"/>
    <cellStyle name="셀 확인 4" xfId="18626" hidden="1"/>
    <cellStyle name="셀 확인 4" xfId="18668" hidden="1"/>
    <cellStyle name="셀 확인 4" xfId="18710" hidden="1"/>
    <cellStyle name="셀 확인 4" xfId="18752" hidden="1"/>
    <cellStyle name="셀 확인 4" xfId="18794" hidden="1"/>
    <cellStyle name="셀 확인 4" xfId="18836" hidden="1"/>
    <cellStyle name="셀 확인 4" xfId="18878" hidden="1"/>
    <cellStyle name="셀 확인 4" xfId="18920" hidden="1"/>
    <cellStyle name="셀 확인 4" xfId="18033" hidden="1"/>
    <cellStyle name="셀 확인 4" xfId="18048" hidden="1"/>
    <cellStyle name="셀 확인 4" xfId="18989" hidden="1"/>
    <cellStyle name="셀 확인 4" xfId="19029" hidden="1"/>
    <cellStyle name="셀 확인 4" xfId="19069" hidden="1"/>
    <cellStyle name="셀 확인 4" xfId="19109" hidden="1"/>
    <cellStyle name="셀 확인 4" xfId="19149" hidden="1"/>
    <cellStyle name="셀 확인 4" xfId="19189" hidden="1"/>
    <cellStyle name="셀 확인 4" xfId="19229" hidden="1"/>
    <cellStyle name="셀 확인 4" xfId="19269" hidden="1"/>
    <cellStyle name="셀 확인 4" xfId="19309" hidden="1"/>
    <cellStyle name="셀 확인 4" xfId="19349" hidden="1"/>
    <cellStyle name="셀 확인 4" xfId="19389" hidden="1"/>
    <cellStyle name="셀 확인 4" xfId="14360" hidden="1"/>
    <cellStyle name="셀 확인 4" xfId="19439" hidden="1"/>
    <cellStyle name="셀 확인 4" xfId="19479" hidden="1"/>
    <cellStyle name="셀 확인 4" xfId="19519" hidden="1"/>
    <cellStyle name="셀 확인 4" xfId="19559" hidden="1"/>
    <cellStyle name="셀 확인 4" xfId="19599" hidden="1"/>
    <cellStyle name="셀 확인 4" xfId="19639" hidden="1"/>
    <cellStyle name="셀 확인 4" xfId="19679" hidden="1"/>
    <cellStyle name="셀 확인 4" xfId="19719" hidden="1"/>
    <cellStyle name="셀 확인 4" xfId="19759" hidden="1"/>
    <cellStyle name="셀 확인 4" xfId="19799" hidden="1"/>
    <cellStyle name="셀 확인 4" xfId="19839" hidden="1"/>
    <cellStyle name="셀 확인 4" xfId="19923" hidden="1"/>
    <cellStyle name="셀 확인 4" xfId="19963" hidden="1"/>
    <cellStyle name="셀 확인 4" xfId="20005" hidden="1"/>
    <cellStyle name="셀 확인 4" xfId="20047" hidden="1"/>
    <cellStyle name="셀 확인 4" xfId="20089" hidden="1"/>
    <cellStyle name="셀 확인 4" xfId="20131" hidden="1"/>
    <cellStyle name="셀 확인 4" xfId="20173" hidden="1"/>
    <cellStyle name="셀 확인 4" xfId="20215" hidden="1"/>
    <cellStyle name="셀 확인 4" xfId="20257" hidden="1"/>
    <cellStyle name="셀 확인 4" xfId="20299" hidden="1"/>
    <cellStyle name="셀 확인 4" xfId="20341" hidden="1"/>
    <cellStyle name="셀 확인 4" xfId="20383" hidden="1"/>
    <cellStyle name="셀 확인 4" xfId="19879" hidden="1"/>
    <cellStyle name="셀 확인 4" xfId="20563" hidden="1"/>
    <cellStyle name="셀 확인 4" xfId="20603" hidden="1"/>
    <cellStyle name="셀 확인 4" xfId="20643" hidden="1"/>
    <cellStyle name="셀 확인 4" xfId="20683" hidden="1"/>
    <cellStyle name="셀 확인 4" xfId="20723" hidden="1"/>
    <cellStyle name="셀 확인 4" xfId="20763" hidden="1"/>
    <cellStyle name="셀 확인 4" xfId="20803" hidden="1"/>
    <cellStyle name="셀 확인 4" xfId="20843" hidden="1"/>
    <cellStyle name="셀 확인 4" xfId="20883" hidden="1"/>
    <cellStyle name="셀 확인 4" xfId="20923" hidden="1"/>
    <cellStyle name="셀 확인 4" xfId="20963" hidden="1"/>
    <cellStyle name="셀 확인 4" xfId="21003" hidden="1"/>
    <cellStyle name="셀 확인 4" xfId="20481" hidden="1"/>
    <cellStyle name="셀 확인 4" xfId="20442" hidden="1"/>
    <cellStyle name="셀 확인 4" xfId="21044" hidden="1"/>
    <cellStyle name="셀 확인 4" xfId="21086" hidden="1"/>
    <cellStyle name="셀 확인 4" xfId="21128" hidden="1"/>
    <cellStyle name="셀 확인 4" xfId="21170" hidden="1"/>
    <cellStyle name="셀 확인 4" xfId="21212" hidden="1"/>
    <cellStyle name="셀 확인 4" xfId="21254" hidden="1"/>
    <cellStyle name="셀 확인 4" xfId="21296" hidden="1"/>
    <cellStyle name="셀 확인 4" xfId="21338" hidden="1"/>
    <cellStyle name="셀 확인 4" xfId="21380" hidden="1"/>
    <cellStyle name="셀 확인 4" xfId="21422" hidden="1"/>
    <cellStyle name="셀 확인 4" xfId="20535" hidden="1"/>
    <cellStyle name="셀 확인 4" xfId="20550" hidden="1"/>
    <cellStyle name="셀 확인 4" xfId="21491" hidden="1"/>
    <cellStyle name="셀 확인 4" xfId="21531" hidden="1"/>
    <cellStyle name="셀 확인 4" xfId="21571" hidden="1"/>
    <cellStyle name="셀 확인 4" xfId="21611" hidden="1"/>
    <cellStyle name="셀 확인 4" xfId="21651" hidden="1"/>
    <cellStyle name="셀 확인 4" xfId="21691" hidden="1"/>
    <cellStyle name="셀 확인 4" xfId="21731" hidden="1"/>
    <cellStyle name="셀 확인 4" xfId="21771" hidden="1"/>
    <cellStyle name="셀 확인 4" xfId="21811" hidden="1"/>
    <cellStyle name="셀 확인 4" xfId="21851" hidden="1"/>
    <cellStyle name="셀 확인 4" xfId="21891" hidden="1"/>
    <cellStyle name="셀 확인 4" xfId="21959" hidden="1"/>
    <cellStyle name="셀 확인 4" xfId="21999" hidden="1"/>
    <cellStyle name="셀 확인 4" xfId="22039" hidden="1"/>
    <cellStyle name="셀 확인 4" xfId="22079" hidden="1"/>
    <cellStyle name="셀 확인 4" xfId="22119" hidden="1"/>
    <cellStyle name="셀 확인 4" xfId="22159" hidden="1"/>
    <cellStyle name="셀 확인 4" xfId="22199" hidden="1"/>
    <cellStyle name="셀 확인 4" xfId="22239" hidden="1"/>
    <cellStyle name="셀 확인 4" xfId="22279" hidden="1"/>
    <cellStyle name="셀 확인 4" xfId="22319" hidden="1"/>
    <cellStyle name="셀 확인 4" xfId="22359" hidden="1"/>
    <cellStyle name="셀 확인 4" xfId="22399" hidden="1"/>
    <cellStyle name="셀 확인 4" xfId="22483" hidden="1"/>
    <cellStyle name="셀 확인 4" xfId="22523" hidden="1"/>
    <cellStyle name="셀 확인 4" xfId="22565" hidden="1"/>
    <cellStyle name="셀 확인 4" xfId="22607" hidden="1"/>
    <cellStyle name="셀 확인 4" xfId="22649" hidden="1"/>
    <cellStyle name="셀 확인 4" xfId="22691" hidden="1"/>
    <cellStyle name="셀 확인 4" xfId="22733" hidden="1"/>
    <cellStyle name="셀 확인 4" xfId="22775" hidden="1"/>
    <cellStyle name="셀 확인 4" xfId="22817" hidden="1"/>
    <cellStyle name="셀 확인 4" xfId="22859" hidden="1"/>
    <cellStyle name="셀 확인 4" xfId="22901" hidden="1"/>
    <cellStyle name="셀 확인 4" xfId="22943" hidden="1"/>
    <cellStyle name="셀 확인 4" xfId="22439" hidden="1"/>
    <cellStyle name="셀 확인 4" xfId="23123" hidden="1"/>
    <cellStyle name="셀 확인 4" xfId="23163" hidden="1"/>
    <cellStyle name="셀 확인 4" xfId="23203" hidden="1"/>
    <cellStyle name="셀 확인 4" xfId="23243" hidden="1"/>
    <cellStyle name="셀 확인 4" xfId="23283" hidden="1"/>
    <cellStyle name="셀 확인 4" xfId="23323" hidden="1"/>
    <cellStyle name="셀 확인 4" xfId="23363" hidden="1"/>
    <cellStyle name="셀 확인 4" xfId="23403" hidden="1"/>
    <cellStyle name="셀 확인 4" xfId="23443" hidden="1"/>
    <cellStyle name="셀 확인 4" xfId="23483" hidden="1"/>
    <cellStyle name="셀 확인 4" xfId="23523" hidden="1"/>
    <cellStyle name="셀 확인 4" xfId="23563" hidden="1"/>
    <cellStyle name="셀 확인 4" xfId="23041" hidden="1"/>
    <cellStyle name="셀 확인 4" xfId="23002" hidden="1"/>
    <cellStyle name="셀 확인 4" xfId="23604" hidden="1"/>
    <cellStyle name="셀 확인 4" xfId="23646" hidden="1"/>
    <cellStyle name="셀 확인 4" xfId="23688" hidden="1"/>
    <cellStyle name="셀 확인 4" xfId="23730" hidden="1"/>
    <cellStyle name="셀 확인 4" xfId="23772" hidden="1"/>
    <cellStyle name="셀 확인 4" xfId="23814" hidden="1"/>
    <cellStyle name="셀 확인 4" xfId="23856" hidden="1"/>
    <cellStyle name="셀 확인 4" xfId="23898" hidden="1"/>
    <cellStyle name="셀 확인 4" xfId="23940" hidden="1"/>
    <cellStyle name="셀 확인 4" xfId="23982" hidden="1"/>
    <cellStyle name="셀 확인 4" xfId="23095" hidden="1"/>
    <cellStyle name="셀 확인 4" xfId="23110" hidden="1"/>
    <cellStyle name="셀 확인 4" xfId="24051" hidden="1"/>
    <cellStyle name="셀 확인 4" xfId="24091" hidden="1"/>
    <cellStyle name="셀 확인 4" xfId="24131" hidden="1"/>
    <cellStyle name="셀 확인 4" xfId="24171" hidden="1"/>
    <cellStyle name="셀 확인 4" xfId="24211" hidden="1"/>
    <cellStyle name="셀 확인 4" xfId="24251" hidden="1"/>
    <cellStyle name="셀 확인 4" xfId="24291" hidden="1"/>
    <cellStyle name="셀 확인 4" xfId="24331" hidden="1"/>
    <cellStyle name="셀 확인 4" xfId="24371" hidden="1"/>
    <cellStyle name="셀 확인 4" xfId="24411" hidden="1"/>
    <cellStyle name="셀 확인 4" xfId="24451" hidden="1"/>
    <cellStyle name="셀 확인 4" xfId="24549" hidden="1"/>
    <cellStyle name="셀 확인 4" xfId="24589" hidden="1"/>
    <cellStyle name="셀 확인 4" xfId="24630" hidden="1"/>
    <cellStyle name="셀 확인 4" xfId="24672" hidden="1"/>
    <cellStyle name="셀 확인 4" xfId="24712" hidden="1"/>
    <cellStyle name="셀 확인 4" xfId="24752" hidden="1"/>
    <cellStyle name="셀 확인 4" xfId="24792" hidden="1"/>
    <cellStyle name="셀 확인 4" xfId="24832" hidden="1"/>
    <cellStyle name="셀 확인 4" xfId="24872" hidden="1"/>
    <cellStyle name="셀 확인 4" xfId="24912" hidden="1"/>
    <cellStyle name="셀 확인 4" xfId="24952" hidden="1"/>
    <cellStyle name="셀 확인 4" xfId="24992" hidden="1"/>
    <cellStyle name="셀 확인 4" xfId="25076" hidden="1"/>
    <cellStyle name="셀 확인 4" xfId="25116" hidden="1"/>
    <cellStyle name="셀 확인 4" xfId="25158" hidden="1"/>
    <cellStyle name="셀 확인 4" xfId="25200" hidden="1"/>
    <cellStyle name="셀 확인 4" xfId="25242" hidden="1"/>
    <cellStyle name="셀 확인 4" xfId="25284" hidden="1"/>
    <cellStyle name="셀 확인 4" xfId="25326" hidden="1"/>
    <cellStyle name="셀 확인 4" xfId="25368" hidden="1"/>
    <cellStyle name="셀 확인 4" xfId="25410" hidden="1"/>
    <cellStyle name="셀 확인 4" xfId="25452" hidden="1"/>
    <cellStyle name="셀 확인 4" xfId="25494" hidden="1"/>
    <cellStyle name="셀 확인 4" xfId="25536" hidden="1"/>
    <cellStyle name="셀 확인 4" xfId="25032" hidden="1"/>
    <cellStyle name="셀 확인 4" xfId="25716" hidden="1"/>
    <cellStyle name="셀 확인 4" xfId="25756" hidden="1"/>
    <cellStyle name="셀 확인 4" xfId="25796" hidden="1"/>
    <cellStyle name="셀 확인 4" xfId="25836" hidden="1"/>
    <cellStyle name="셀 확인 4" xfId="25876" hidden="1"/>
    <cellStyle name="셀 확인 4" xfId="25916" hidden="1"/>
    <cellStyle name="셀 확인 4" xfId="25956" hidden="1"/>
    <cellStyle name="셀 확인 4" xfId="25996" hidden="1"/>
    <cellStyle name="셀 확인 4" xfId="26036" hidden="1"/>
    <cellStyle name="셀 확인 4" xfId="26076" hidden="1"/>
    <cellStyle name="셀 확인 4" xfId="26116" hidden="1"/>
    <cellStyle name="셀 확인 4" xfId="26156" hidden="1"/>
    <cellStyle name="셀 확인 4" xfId="25634" hidden="1"/>
    <cellStyle name="셀 확인 4" xfId="25595" hidden="1"/>
    <cellStyle name="셀 확인 4" xfId="26197" hidden="1"/>
    <cellStyle name="셀 확인 4" xfId="26239" hidden="1"/>
    <cellStyle name="셀 확인 4" xfId="26281" hidden="1"/>
    <cellStyle name="셀 확인 4" xfId="26323" hidden="1"/>
    <cellStyle name="셀 확인 4" xfId="26365" hidden="1"/>
    <cellStyle name="셀 확인 4" xfId="26407" hidden="1"/>
    <cellStyle name="셀 확인 4" xfId="26449" hidden="1"/>
    <cellStyle name="셀 확인 4" xfId="26491" hidden="1"/>
    <cellStyle name="셀 확인 4" xfId="26533" hidden="1"/>
    <cellStyle name="셀 확인 4" xfId="26575" hidden="1"/>
    <cellStyle name="셀 확인 4" xfId="25688" hidden="1"/>
    <cellStyle name="셀 확인 4" xfId="25703" hidden="1"/>
    <cellStyle name="셀 확인 4" xfId="26644" hidden="1"/>
    <cellStyle name="셀 확인 4" xfId="26684" hidden="1"/>
    <cellStyle name="셀 확인 4" xfId="26724" hidden="1"/>
    <cellStyle name="셀 확인 4" xfId="26764" hidden="1"/>
    <cellStyle name="셀 확인 4" xfId="26804" hidden="1"/>
    <cellStyle name="셀 확인 4" xfId="26844" hidden="1"/>
    <cellStyle name="셀 확인 4" xfId="26884" hidden="1"/>
    <cellStyle name="셀 확인 4" xfId="26924" hidden="1"/>
    <cellStyle name="셀 확인 4" xfId="26964" hidden="1"/>
    <cellStyle name="셀 확인 4" xfId="27004" hidden="1"/>
    <cellStyle name="셀 확인 4" xfId="27044" hidden="1"/>
    <cellStyle name="셀 확인 4" xfId="24494" hidden="1"/>
    <cellStyle name="셀 확인 4" xfId="27095" hidden="1"/>
    <cellStyle name="셀 확인 4" xfId="27135" hidden="1"/>
    <cellStyle name="셀 확인 4" xfId="27175" hidden="1"/>
    <cellStyle name="셀 확인 4" xfId="27215" hidden="1"/>
    <cellStyle name="셀 확인 4" xfId="27255" hidden="1"/>
    <cellStyle name="셀 확인 4" xfId="27295" hidden="1"/>
    <cellStyle name="셀 확인 4" xfId="27335" hidden="1"/>
    <cellStyle name="셀 확인 4" xfId="27375" hidden="1"/>
    <cellStyle name="셀 확인 4" xfId="27415" hidden="1"/>
    <cellStyle name="셀 확인 4" xfId="27455" hidden="1"/>
    <cellStyle name="셀 확인 4" xfId="27495" hidden="1"/>
    <cellStyle name="셀 확인 4" xfId="27579" hidden="1"/>
    <cellStyle name="셀 확인 4" xfId="27619" hidden="1"/>
    <cellStyle name="셀 확인 4" xfId="27661" hidden="1"/>
    <cellStyle name="셀 확인 4" xfId="27703" hidden="1"/>
    <cellStyle name="셀 확인 4" xfId="27745" hidden="1"/>
    <cellStyle name="셀 확인 4" xfId="27787" hidden="1"/>
    <cellStyle name="셀 확인 4" xfId="27829" hidden="1"/>
    <cellStyle name="셀 확인 4" xfId="27871" hidden="1"/>
    <cellStyle name="셀 확인 4" xfId="27913" hidden="1"/>
    <cellStyle name="셀 확인 4" xfId="27955" hidden="1"/>
    <cellStyle name="셀 확인 4" xfId="27997" hidden="1"/>
    <cellStyle name="셀 확인 4" xfId="28039" hidden="1"/>
    <cellStyle name="셀 확인 4" xfId="27535" hidden="1"/>
    <cellStyle name="셀 확인 4" xfId="28219" hidden="1"/>
    <cellStyle name="셀 확인 4" xfId="28259" hidden="1"/>
    <cellStyle name="셀 확인 4" xfId="28299" hidden="1"/>
    <cellStyle name="셀 확인 4" xfId="28339" hidden="1"/>
    <cellStyle name="셀 확인 4" xfId="28379" hidden="1"/>
    <cellStyle name="셀 확인 4" xfId="28419" hidden="1"/>
    <cellStyle name="셀 확인 4" xfId="28459" hidden="1"/>
    <cellStyle name="셀 확인 4" xfId="28499" hidden="1"/>
    <cellStyle name="셀 확인 4" xfId="28539" hidden="1"/>
    <cellStyle name="셀 확인 4" xfId="28579" hidden="1"/>
    <cellStyle name="셀 확인 4" xfId="28619" hidden="1"/>
    <cellStyle name="셀 확인 4" xfId="28659" hidden="1"/>
    <cellStyle name="셀 확인 4" xfId="28137" hidden="1"/>
    <cellStyle name="셀 확인 4" xfId="28098" hidden="1"/>
    <cellStyle name="셀 확인 4" xfId="28700" hidden="1"/>
    <cellStyle name="셀 확인 4" xfId="28742" hidden="1"/>
    <cellStyle name="셀 확인 4" xfId="28784" hidden="1"/>
    <cellStyle name="셀 확인 4" xfId="28826" hidden="1"/>
    <cellStyle name="셀 확인 4" xfId="28868" hidden="1"/>
    <cellStyle name="셀 확인 4" xfId="28910" hidden="1"/>
    <cellStyle name="셀 확인 4" xfId="28952" hidden="1"/>
    <cellStyle name="셀 확인 4" xfId="28994" hidden="1"/>
    <cellStyle name="셀 확인 4" xfId="29036" hidden="1"/>
    <cellStyle name="셀 확인 4" xfId="29078" hidden="1"/>
    <cellStyle name="셀 확인 4" xfId="28191" hidden="1"/>
    <cellStyle name="셀 확인 4" xfId="28206" hidden="1"/>
    <cellStyle name="셀 확인 4" xfId="29147" hidden="1"/>
    <cellStyle name="셀 확인 4" xfId="29187" hidden="1"/>
    <cellStyle name="셀 확인 4" xfId="29227" hidden="1"/>
    <cellStyle name="셀 확인 4" xfId="29267" hidden="1"/>
    <cellStyle name="셀 확인 4" xfId="29307" hidden="1"/>
    <cellStyle name="셀 확인 4" xfId="29347" hidden="1"/>
    <cellStyle name="셀 확인 4" xfId="29387" hidden="1"/>
    <cellStyle name="셀 확인 4" xfId="29427" hidden="1"/>
    <cellStyle name="셀 확인 4" xfId="29467" hidden="1"/>
    <cellStyle name="셀 확인 4" xfId="29507" hidden="1"/>
    <cellStyle name="셀 확인 4" xfId="29547" hidden="1"/>
    <cellStyle name="셀 확인 4" xfId="24518" hidden="1"/>
    <cellStyle name="셀 확인 4" xfId="29597" hidden="1"/>
    <cellStyle name="셀 확인 4" xfId="29637" hidden="1"/>
    <cellStyle name="셀 확인 4" xfId="29677" hidden="1"/>
    <cellStyle name="셀 확인 4" xfId="29717" hidden="1"/>
    <cellStyle name="셀 확인 4" xfId="29757" hidden="1"/>
    <cellStyle name="셀 확인 4" xfId="29797" hidden="1"/>
    <cellStyle name="셀 확인 4" xfId="29837" hidden="1"/>
    <cellStyle name="셀 확인 4" xfId="29877" hidden="1"/>
    <cellStyle name="셀 확인 4" xfId="29917" hidden="1"/>
    <cellStyle name="셀 확인 4" xfId="29957" hidden="1"/>
    <cellStyle name="셀 확인 4" xfId="29997" hidden="1"/>
    <cellStyle name="셀 확인 4" xfId="30081" hidden="1"/>
    <cellStyle name="셀 확인 4" xfId="30121" hidden="1"/>
    <cellStyle name="셀 확인 4" xfId="30163" hidden="1"/>
    <cellStyle name="셀 확인 4" xfId="30205" hidden="1"/>
    <cellStyle name="셀 확인 4" xfId="30247" hidden="1"/>
    <cellStyle name="셀 확인 4" xfId="30289" hidden="1"/>
    <cellStyle name="셀 확인 4" xfId="30331" hidden="1"/>
    <cellStyle name="셀 확인 4" xfId="30373" hidden="1"/>
    <cellStyle name="셀 확인 4" xfId="30415" hidden="1"/>
    <cellStyle name="셀 확인 4" xfId="30457" hidden="1"/>
    <cellStyle name="셀 확인 4" xfId="30499" hidden="1"/>
    <cellStyle name="셀 확인 4" xfId="30541" hidden="1"/>
    <cellStyle name="셀 확인 4" xfId="30037" hidden="1"/>
    <cellStyle name="셀 확인 4" xfId="30721" hidden="1"/>
    <cellStyle name="셀 확인 4" xfId="30761" hidden="1"/>
    <cellStyle name="셀 확인 4" xfId="30801" hidden="1"/>
    <cellStyle name="셀 확인 4" xfId="30841" hidden="1"/>
    <cellStyle name="셀 확인 4" xfId="30881" hidden="1"/>
    <cellStyle name="셀 확인 4" xfId="30921" hidden="1"/>
    <cellStyle name="셀 확인 4" xfId="30961" hidden="1"/>
    <cellStyle name="셀 확인 4" xfId="31001" hidden="1"/>
    <cellStyle name="셀 확인 4" xfId="31041" hidden="1"/>
    <cellStyle name="셀 확인 4" xfId="31081" hidden="1"/>
    <cellStyle name="셀 확인 4" xfId="31121" hidden="1"/>
    <cellStyle name="셀 확인 4" xfId="31161" hidden="1"/>
    <cellStyle name="셀 확인 4" xfId="30639" hidden="1"/>
    <cellStyle name="셀 확인 4" xfId="30600" hidden="1"/>
    <cellStyle name="셀 확인 4" xfId="31202" hidden="1"/>
    <cellStyle name="셀 확인 4" xfId="31244" hidden="1"/>
    <cellStyle name="셀 확인 4" xfId="31286" hidden="1"/>
    <cellStyle name="셀 확인 4" xfId="31328" hidden="1"/>
    <cellStyle name="셀 확인 4" xfId="31370" hidden="1"/>
    <cellStyle name="셀 확인 4" xfId="31412" hidden="1"/>
    <cellStyle name="셀 확인 4" xfId="31454" hidden="1"/>
    <cellStyle name="셀 확인 4" xfId="31496" hidden="1"/>
    <cellStyle name="셀 확인 4" xfId="31538" hidden="1"/>
    <cellStyle name="셀 확인 4" xfId="31580" hidden="1"/>
    <cellStyle name="셀 확인 4" xfId="30693" hidden="1"/>
    <cellStyle name="셀 확인 4" xfId="30708" hidden="1"/>
    <cellStyle name="셀 확인 4" xfId="31649" hidden="1"/>
    <cellStyle name="셀 확인 4" xfId="31689" hidden="1"/>
    <cellStyle name="셀 확인 4" xfId="31729" hidden="1"/>
    <cellStyle name="셀 확인 4" xfId="31769" hidden="1"/>
    <cellStyle name="셀 확인 4" xfId="31809" hidden="1"/>
    <cellStyle name="셀 확인 4" xfId="31849" hidden="1"/>
    <cellStyle name="셀 확인 4" xfId="31889" hidden="1"/>
    <cellStyle name="셀 확인 4" xfId="31929" hidden="1"/>
    <cellStyle name="셀 확인 4" xfId="31969" hidden="1"/>
    <cellStyle name="셀 확인 4" xfId="32009" hidden="1"/>
    <cellStyle name="셀 확인 4" xfId="32049" hidden="1"/>
    <cellStyle name="셀 확인 4" xfId="32111" hidden="1"/>
    <cellStyle name="셀 확인 4" xfId="32151" hidden="1"/>
    <cellStyle name="셀 확인 4" xfId="32191" hidden="1"/>
    <cellStyle name="셀 확인 4" xfId="32231" hidden="1"/>
    <cellStyle name="셀 확인 4" xfId="32271" hidden="1"/>
    <cellStyle name="셀 확인 4" xfId="32311" hidden="1"/>
    <cellStyle name="셀 확인 4" xfId="32351" hidden="1"/>
    <cellStyle name="셀 확인 4" xfId="32391" hidden="1"/>
    <cellStyle name="셀 확인 4" xfId="32431" hidden="1"/>
    <cellStyle name="셀 확인 4" xfId="32471" hidden="1"/>
    <cellStyle name="셀 확인 4" xfId="32511" hidden="1"/>
    <cellStyle name="셀 확인 4" xfId="32551" hidden="1"/>
    <cellStyle name="셀 확인 4" xfId="32636" hidden="1"/>
    <cellStyle name="셀 확인 4" xfId="32676" hidden="1"/>
    <cellStyle name="셀 확인 4" xfId="32718" hidden="1"/>
    <cellStyle name="셀 확인 4" xfId="32760" hidden="1"/>
    <cellStyle name="셀 확인 4" xfId="32802" hidden="1"/>
    <cellStyle name="셀 확인 4" xfId="32844" hidden="1"/>
    <cellStyle name="셀 확인 4" xfId="32886" hidden="1"/>
    <cellStyle name="셀 확인 4" xfId="32928" hidden="1"/>
    <cellStyle name="셀 확인 4" xfId="32970" hidden="1"/>
    <cellStyle name="셀 확인 4" xfId="33012" hidden="1"/>
    <cellStyle name="셀 확인 4" xfId="33054" hidden="1"/>
    <cellStyle name="셀 확인 4" xfId="33096" hidden="1"/>
    <cellStyle name="셀 확인 4" xfId="32592" hidden="1"/>
    <cellStyle name="셀 확인 4" xfId="33276" hidden="1"/>
    <cellStyle name="셀 확인 4" xfId="33316" hidden="1"/>
    <cellStyle name="셀 확인 4" xfId="33356" hidden="1"/>
    <cellStyle name="셀 확인 4" xfId="33396" hidden="1"/>
    <cellStyle name="셀 확인 4" xfId="33436" hidden="1"/>
    <cellStyle name="셀 확인 4" xfId="33476" hidden="1"/>
    <cellStyle name="셀 확인 4" xfId="33516" hidden="1"/>
    <cellStyle name="셀 확인 4" xfId="33556" hidden="1"/>
    <cellStyle name="셀 확인 4" xfId="33596" hidden="1"/>
    <cellStyle name="셀 확인 4" xfId="33636" hidden="1"/>
    <cellStyle name="셀 확인 4" xfId="33676" hidden="1"/>
    <cellStyle name="셀 확인 4" xfId="33716" hidden="1"/>
    <cellStyle name="셀 확인 4" xfId="33194" hidden="1"/>
    <cellStyle name="셀 확인 4" xfId="33155" hidden="1"/>
    <cellStyle name="셀 확인 4" xfId="33757" hidden="1"/>
    <cellStyle name="셀 확인 4" xfId="33799" hidden="1"/>
    <cellStyle name="셀 확인 4" xfId="33841" hidden="1"/>
    <cellStyle name="셀 확인 4" xfId="33883" hidden="1"/>
    <cellStyle name="셀 확인 4" xfId="33925" hidden="1"/>
    <cellStyle name="셀 확인 4" xfId="33967" hidden="1"/>
    <cellStyle name="셀 확인 4" xfId="34009" hidden="1"/>
    <cellStyle name="셀 확인 4" xfId="34051" hidden="1"/>
    <cellStyle name="셀 확인 4" xfId="34093" hidden="1"/>
    <cellStyle name="셀 확인 4" xfId="34135" hidden="1"/>
    <cellStyle name="셀 확인 4" xfId="33248" hidden="1"/>
    <cellStyle name="셀 확인 4" xfId="33263" hidden="1"/>
    <cellStyle name="셀 확인 4" xfId="34204" hidden="1"/>
    <cellStyle name="셀 확인 4" xfId="34244" hidden="1"/>
    <cellStyle name="셀 확인 4" xfId="34284" hidden="1"/>
    <cellStyle name="셀 확인 4" xfId="34324" hidden="1"/>
    <cellStyle name="셀 확인 4" xfId="34364" hidden="1"/>
    <cellStyle name="셀 확인 4" xfId="34404" hidden="1"/>
    <cellStyle name="셀 확인 4" xfId="34444" hidden="1"/>
    <cellStyle name="셀 확인 4" xfId="34484" hidden="1"/>
    <cellStyle name="셀 확인 4" xfId="34524" hidden="1"/>
    <cellStyle name="셀 확인 4" xfId="34564" hidden="1"/>
    <cellStyle name="셀 확인 4" xfId="34604" hidden="1"/>
    <cellStyle name="셀 확인 4" xfId="34701" hidden="1"/>
    <cellStyle name="셀 확인 4" xfId="34741" hidden="1"/>
    <cellStyle name="셀 확인 4" xfId="34781" hidden="1"/>
    <cellStyle name="셀 확인 4" xfId="34821" hidden="1"/>
    <cellStyle name="셀 확인 4" xfId="34861" hidden="1"/>
    <cellStyle name="셀 확인 4" xfId="34901" hidden="1"/>
    <cellStyle name="셀 확인 4" xfId="34941" hidden="1"/>
    <cellStyle name="셀 확인 4" xfId="34981" hidden="1"/>
    <cellStyle name="셀 확인 4" xfId="35021" hidden="1"/>
    <cellStyle name="셀 확인 4" xfId="35061" hidden="1"/>
    <cellStyle name="셀 확인 4" xfId="35101" hidden="1"/>
    <cellStyle name="셀 확인 4" xfId="35141" hidden="1"/>
    <cellStyle name="셀 확인 4" xfId="35225" hidden="1"/>
    <cellStyle name="셀 확인 4" xfId="35265" hidden="1"/>
    <cellStyle name="셀 확인 4" xfId="35307" hidden="1"/>
    <cellStyle name="셀 확인 4" xfId="35349" hidden="1"/>
    <cellStyle name="셀 확인 4" xfId="35391" hidden="1"/>
    <cellStyle name="셀 확인 4" xfId="35433" hidden="1"/>
    <cellStyle name="셀 확인 4" xfId="35475" hidden="1"/>
    <cellStyle name="셀 확인 4" xfId="35517" hidden="1"/>
    <cellStyle name="셀 확인 4" xfId="35559" hidden="1"/>
    <cellStyle name="셀 확인 4" xfId="35601" hidden="1"/>
    <cellStyle name="셀 확인 4" xfId="35643" hidden="1"/>
    <cellStyle name="셀 확인 4" xfId="35685" hidden="1"/>
    <cellStyle name="셀 확인 4" xfId="35181" hidden="1"/>
    <cellStyle name="셀 확인 4" xfId="35865" hidden="1"/>
    <cellStyle name="셀 확인 4" xfId="35905" hidden="1"/>
    <cellStyle name="셀 확인 4" xfId="35945" hidden="1"/>
    <cellStyle name="셀 확인 4" xfId="35985" hidden="1"/>
    <cellStyle name="셀 확인 4" xfId="36025" hidden="1"/>
    <cellStyle name="셀 확인 4" xfId="36065" hidden="1"/>
    <cellStyle name="셀 확인 4" xfId="36105" hidden="1"/>
    <cellStyle name="셀 확인 4" xfId="36145" hidden="1"/>
    <cellStyle name="셀 확인 4" xfId="36185" hidden="1"/>
    <cellStyle name="셀 확인 4" xfId="36225" hidden="1"/>
    <cellStyle name="셀 확인 4" xfId="36265" hidden="1"/>
    <cellStyle name="셀 확인 4" xfId="36305" hidden="1"/>
    <cellStyle name="셀 확인 4" xfId="35783" hidden="1"/>
    <cellStyle name="셀 확인 4" xfId="35744" hidden="1"/>
    <cellStyle name="셀 확인 4" xfId="36346" hidden="1"/>
    <cellStyle name="셀 확인 4" xfId="36388" hidden="1"/>
    <cellStyle name="셀 확인 4" xfId="36430" hidden="1"/>
    <cellStyle name="셀 확인 4" xfId="36472" hidden="1"/>
    <cellStyle name="셀 확인 4" xfId="36514" hidden="1"/>
    <cellStyle name="셀 확인 4" xfId="36556" hidden="1"/>
    <cellStyle name="셀 확인 4" xfId="36598" hidden="1"/>
    <cellStyle name="셀 확인 4" xfId="36640" hidden="1"/>
    <cellStyle name="셀 확인 4" xfId="36682" hidden="1"/>
    <cellStyle name="셀 확인 4" xfId="36724" hidden="1"/>
    <cellStyle name="셀 확인 4" xfId="35837" hidden="1"/>
    <cellStyle name="셀 확인 4" xfId="35852" hidden="1"/>
    <cellStyle name="셀 확인 4" xfId="36793" hidden="1"/>
    <cellStyle name="셀 확인 4" xfId="36833" hidden="1"/>
    <cellStyle name="셀 확인 4" xfId="36873" hidden="1"/>
    <cellStyle name="셀 확인 4" xfId="36913" hidden="1"/>
    <cellStyle name="셀 확인 4" xfId="36953" hidden="1"/>
    <cellStyle name="셀 확인 4" xfId="36993" hidden="1"/>
    <cellStyle name="셀 확인 4" xfId="37033" hidden="1"/>
    <cellStyle name="셀 확인 4" xfId="37073" hidden="1"/>
    <cellStyle name="셀 확인 4" xfId="37113" hidden="1"/>
    <cellStyle name="셀 확인 4" xfId="37153" hidden="1"/>
    <cellStyle name="셀 확인 4" xfId="37193" hidden="1"/>
    <cellStyle name="셀 확인 4" xfId="34646" hidden="1"/>
    <cellStyle name="셀 확인 4" xfId="37244" hidden="1"/>
    <cellStyle name="셀 확인 4" xfId="37285" hidden="1"/>
    <cellStyle name="셀 확인 4" xfId="37325" hidden="1"/>
    <cellStyle name="셀 확인 4" xfId="37365" hidden="1"/>
    <cellStyle name="셀 확인 4" xfId="37405" hidden="1"/>
    <cellStyle name="셀 확인 4" xfId="37445" hidden="1"/>
    <cellStyle name="셀 확인 4" xfId="37485" hidden="1"/>
    <cellStyle name="셀 확인 4" xfId="37525" hidden="1"/>
    <cellStyle name="셀 확인 4" xfId="37565" hidden="1"/>
    <cellStyle name="셀 확인 4" xfId="37605" hidden="1"/>
    <cellStyle name="셀 확인 4" xfId="37645" hidden="1"/>
    <cellStyle name="셀 확인 4" xfId="37729" hidden="1"/>
    <cellStyle name="셀 확인 4" xfId="37769" hidden="1"/>
    <cellStyle name="셀 확인 4" xfId="37811" hidden="1"/>
    <cellStyle name="셀 확인 4" xfId="37853" hidden="1"/>
    <cellStyle name="셀 확인 4" xfId="37895" hidden="1"/>
    <cellStyle name="셀 확인 4" xfId="37937" hidden="1"/>
    <cellStyle name="셀 확인 4" xfId="37979" hidden="1"/>
    <cellStyle name="셀 확인 4" xfId="38021" hidden="1"/>
    <cellStyle name="셀 확인 4" xfId="38063" hidden="1"/>
    <cellStyle name="셀 확인 4" xfId="38105" hidden="1"/>
    <cellStyle name="셀 확인 4" xfId="38147" hidden="1"/>
    <cellStyle name="셀 확인 4" xfId="38189" hidden="1"/>
    <cellStyle name="셀 확인 4" xfId="37685" hidden="1"/>
    <cellStyle name="셀 확인 4" xfId="38369" hidden="1"/>
    <cellStyle name="셀 확인 4" xfId="38409" hidden="1"/>
    <cellStyle name="셀 확인 4" xfId="38449" hidden="1"/>
    <cellStyle name="셀 확인 4" xfId="38489" hidden="1"/>
    <cellStyle name="셀 확인 4" xfId="38529" hidden="1"/>
    <cellStyle name="셀 확인 4" xfId="38569" hidden="1"/>
    <cellStyle name="셀 확인 4" xfId="38609" hidden="1"/>
    <cellStyle name="셀 확인 4" xfId="38649" hidden="1"/>
    <cellStyle name="셀 확인 4" xfId="38689" hidden="1"/>
    <cellStyle name="셀 확인 4" xfId="38729" hidden="1"/>
    <cellStyle name="셀 확인 4" xfId="38769" hidden="1"/>
    <cellStyle name="셀 확인 4" xfId="38809" hidden="1"/>
    <cellStyle name="셀 확인 4" xfId="38287" hidden="1"/>
    <cellStyle name="셀 확인 4" xfId="38248" hidden="1"/>
    <cellStyle name="셀 확인 4" xfId="38850" hidden="1"/>
    <cellStyle name="셀 확인 4" xfId="38892" hidden="1"/>
    <cellStyle name="셀 확인 4" xfId="38934" hidden="1"/>
    <cellStyle name="셀 확인 4" xfId="38976" hidden="1"/>
    <cellStyle name="셀 확인 4" xfId="39018" hidden="1"/>
    <cellStyle name="셀 확인 4" xfId="39060" hidden="1"/>
    <cellStyle name="셀 확인 4" xfId="39102" hidden="1"/>
    <cellStyle name="셀 확인 4" xfId="39144" hidden="1"/>
    <cellStyle name="셀 확인 4" xfId="39186" hidden="1"/>
    <cellStyle name="셀 확인 4" xfId="39228" hidden="1"/>
    <cellStyle name="셀 확인 4" xfId="38341" hidden="1"/>
    <cellStyle name="셀 확인 4" xfId="38356" hidden="1"/>
    <cellStyle name="셀 확인 4" xfId="39297" hidden="1"/>
    <cellStyle name="셀 확인 4" xfId="39337" hidden="1"/>
    <cellStyle name="셀 확인 4" xfId="39377" hidden="1"/>
    <cellStyle name="셀 확인 4" xfId="39417" hidden="1"/>
    <cellStyle name="셀 확인 4" xfId="39457" hidden="1"/>
    <cellStyle name="셀 확인 4" xfId="39497" hidden="1"/>
    <cellStyle name="셀 확인 4" xfId="39537" hidden="1"/>
    <cellStyle name="셀 확인 4" xfId="39577" hidden="1"/>
    <cellStyle name="셀 확인 4" xfId="39617" hidden="1"/>
    <cellStyle name="셀 확인 4" xfId="39657" hidden="1"/>
    <cellStyle name="셀 확인 4" xfId="39697" hidden="1"/>
    <cellStyle name="셀 확인 4" xfId="34670" hidden="1"/>
    <cellStyle name="셀 확인 4" xfId="39747" hidden="1"/>
    <cellStyle name="셀 확인 4" xfId="39787" hidden="1"/>
    <cellStyle name="셀 확인 4" xfId="39827" hidden="1"/>
    <cellStyle name="셀 확인 4" xfId="39867" hidden="1"/>
    <cellStyle name="셀 확인 4" xfId="39907" hidden="1"/>
    <cellStyle name="셀 확인 4" xfId="39947" hidden="1"/>
    <cellStyle name="셀 확인 4" xfId="39987" hidden="1"/>
    <cellStyle name="셀 확인 4" xfId="40027" hidden="1"/>
    <cellStyle name="셀 확인 4" xfId="40067" hidden="1"/>
    <cellStyle name="셀 확인 4" xfId="40107" hidden="1"/>
    <cellStyle name="셀 확인 4" xfId="40147" hidden="1"/>
    <cellStyle name="셀 확인 4" xfId="40231" hidden="1"/>
    <cellStyle name="셀 확인 4" xfId="40271" hidden="1"/>
    <cellStyle name="셀 확인 4" xfId="40313" hidden="1"/>
    <cellStyle name="셀 확인 4" xfId="40355" hidden="1"/>
    <cellStyle name="셀 확인 4" xfId="40397" hidden="1"/>
    <cellStyle name="셀 확인 4" xfId="40439" hidden="1"/>
    <cellStyle name="셀 확인 4" xfId="40481" hidden="1"/>
    <cellStyle name="셀 확인 4" xfId="40523" hidden="1"/>
    <cellStyle name="셀 확인 4" xfId="40565" hidden="1"/>
    <cellStyle name="셀 확인 4" xfId="40607" hidden="1"/>
    <cellStyle name="셀 확인 4" xfId="40649" hidden="1"/>
    <cellStyle name="셀 확인 4" xfId="40691" hidden="1"/>
    <cellStyle name="셀 확인 4" xfId="40187" hidden="1"/>
    <cellStyle name="셀 확인 4" xfId="40871" hidden="1"/>
    <cellStyle name="셀 확인 4" xfId="40911" hidden="1"/>
    <cellStyle name="셀 확인 4" xfId="40951" hidden="1"/>
    <cellStyle name="셀 확인 4" xfId="40991" hidden="1"/>
    <cellStyle name="셀 확인 4" xfId="41031" hidden="1"/>
    <cellStyle name="셀 확인 4" xfId="41071" hidden="1"/>
    <cellStyle name="셀 확인 4" xfId="41111" hidden="1"/>
    <cellStyle name="셀 확인 4" xfId="41151" hidden="1"/>
    <cellStyle name="셀 확인 4" xfId="41191" hidden="1"/>
    <cellStyle name="셀 확인 4" xfId="41231" hidden="1"/>
    <cellStyle name="셀 확인 4" xfId="41271" hidden="1"/>
    <cellStyle name="셀 확인 4" xfId="41311" hidden="1"/>
    <cellStyle name="셀 확인 4" xfId="40789" hidden="1"/>
    <cellStyle name="셀 확인 4" xfId="40750" hidden="1"/>
    <cellStyle name="셀 확인 4" xfId="41352" hidden="1"/>
    <cellStyle name="셀 확인 4" xfId="41394" hidden="1"/>
    <cellStyle name="셀 확인 4" xfId="41436" hidden="1"/>
    <cellStyle name="셀 확인 4" xfId="41478" hidden="1"/>
    <cellStyle name="셀 확인 4" xfId="41520" hidden="1"/>
    <cellStyle name="셀 확인 4" xfId="41562" hidden="1"/>
    <cellStyle name="셀 확인 4" xfId="41604" hidden="1"/>
    <cellStyle name="셀 확인 4" xfId="41646" hidden="1"/>
    <cellStyle name="셀 확인 4" xfId="41688" hidden="1"/>
    <cellStyle name="셀 확인 4" xfId="41730" hidden="1"/>
    <cellStyle name="셀 확인 4" xfId="40843" hidden="1"/>
    <cellStyle name="셀 확인 4" xfId="40858" hidden="1"/>
    <cellStyle name="셀 확인 4" xfId="41799" hidden="1"/>
    <cellStyle name="셀 확인 4" xfId="41839" hidden="1"/>
    <cellStyle name="셀 확인 4" xfId="41879" hidden="1"/>
    <cellStyle name="셀 확인 4" xfId="41919" hidden="1"/>
    <cellStyle name="셀 확인 4" xfId="41959" hidden="1"/>
    <cellStyle name="셀 확인 4" xfId="41999" hidden="1"/>
    <cellStyle name="셀 확인 4" xfId="42039" hidden="1"/>
    <cellStyle name="셀 확인 4" xfId="42079" hidden="1"/>
    <cellStyle name="셀 확인 4" xfId="42119" hidden="1"/>
    <cellStyle name="셀 확인 4" xfId="42159" hidden="1"/>
    <cellStyle name="셀 확인 4" xfId="42199" hidden="1"/>
    <cellStyle name="셀 확인 4" xfId="42242" hidden="1"/>
    <cellStyle name="셀 확인 4" xfId="42282" hidden="1"/>
    <cellStyle name="셀 확인 4" xfId="42322" hidden="1"/>
    <cellStyle name="셀 확인 4" xfId="42362" hidden="1"/>
    <cellStyle name="셀 확인 4" xfId="42402" hidden="1"/>
    <cellStyle name="셀 확인 4" xfId="42442" hidden="1"/>
    <cellStyle name="셀 확인 4" xfId="42482" hidden="1"/>
    <cellStyle name="셀 확인 4" xfId="42522" hidden="1"/>
    <cellStyle name="셀 확인 4" xfId="42562" hidden="1"/>
    <cellStyle name="셀 확인 4" xfId="42602" hidden="1"/>
    <cellStyle name="셀 확인 4" xfId="42642" hidden="1"/>
    <cellStyle name="셀 확인 4" xfId="42682" hidden="1"/>
    <cellStyle name="셀 확인 4" xfId="42766" hidden="1"/>
    <cellStyle name="셀 확인 4" xfId="42806" hidden="1"/>
    <cellStyle name="셀 확인 4" xfId="42848" hidden="1"/>
    <cellStyle name="셀 확인 4" xfId="42890" hidden="1"/>
    <cellStyle name="셀 확인 4" xfId="42932" hidden="1"/>
    <cellStyle name="셀 확인 4" xfId="42974" hidden="1"/>
    <cellStyle name="셀 확인 4" xfId="43016" hidden="1"/>
    <cellStyle name="셀 확인 4" xfId="43058" hidden="1"/>
    <cellStyle name="셀 확인 4" xfId="43100" hidden="1"/>
    <cellStyle name="셀 확인 4" xfId="43142" hidden="1"/>
    <cellStyle name="셀 확인 4" xfId="43184" hidden="1"/>
    <cellStyle name="셀 확인 4" xfId="43226" hidden="1"/>
    <cellStyle name="셀 확인 4" xfId="42722" hidden="1"/>
    <cellStyle name="셀 확인 4" xfId="43406" hidden="1"/>
    <cellStyle name="셀 확인 4" xfId="43446" hidden="1"/>
    <cellStyle name="셀 확인 4" xfId="43486" hidden="1"/>
    <cellStyle name="셀 확인 4" xfId="43526" hidden="1"/>
    <cellStyle name="셀 확인 4" xfId="43566" hidden="1"/>
    <cellStyle name="셀 확인 4" xfId="43606" hidden="1"/>
    <cellStyle name="셀 확인 4" xfId="43646" hidden="1"/>
    <cellStyle name="셀 확인 4" xfId="43686" hidden="1"/>
    <cellStyle name="셀 확인 4" xfId="43726" hidden="1"/>
    <cellStyle name="셀 확인 4" xfId="43766" hidden="1"/>
    <cellStyle name="셀 확인 4" xfId="43806" hidden="1"/>
    <cellStyle name="셀 확인 4" xfId="43846" hidden="1"/>
    <cellStyle name="셀 확인 4" xfId="43324" hidden="1"/>
    <cellStyle name="셀 확인 4" xfId="43285" hidden="1"/>
    <cellStyle name="셀 확인 4" xfId="43887" hidden="1"/>
    <cellStyle name="셀 확인 4" xfId="43929" hidden="1"/>
    <cellStyle name="셀 확인 4" xfId="43971" hidden="1"/>
    <cellStyle name="셀 확인 4" xfId="44013" hidden="1"/>
    <cellStyle name="셀 확인 4" xfId="44055" hidden="1"/>
    <cellStyle name="셀 확인 4" xfId="44097" hidden="1"/>
    <cellStyle name="셀 확인 4" xfId="44139" hidden="1"/>
    <cellStyle name="셀 확인 4" xfId="44181" hidden="1"/>
    <cellStyle name="셀 확인 4" xfId="44223" hidden="1"/>
    <cellStyle name="셀 확인 4" xfId="44265" hidden="1"/>
    <cellStyle name="셀 확인 4" xfId="43378" hidden="1"/>
    <cellStyle name="셀 확인 4" xfId="43393" hidden="1"/>
    <cellStyle name="셀 확인 4" xfId="44334" hidden="1"/>
    <cellStyle name="셀 확인 4" xfId="44374" hidden="1"/>
    <cellStyle name="셀 확인 4" xfId="44414" hidden="1"/>
    <cellStyle name="셀 확인 4" xfId="44454" hidden="1"/>
    <cellStyle name="셀 확인 4" xfId="44494" hidden="1"/>
    <cellStyle name="셀 확인 4" xfId="44534" hidden="1"/>
    <cellStyle name="셀 확인 4" xfId="44574" hidden="1"/>
    <cellStyle name="셀 확인 4" xfId="44614" hidden="1"/>
    <cellStyle name="셀 확인 4" xfId="44654" hidden="1"/>
    <cellStyle name="셀 확인 4" xfId="44694" hidden="1"/>
    <cellStyle name="셀 확인 4" xfId="44734" hidden="1"/>
    <cellStyle name="셀 확인 4" xfId="44830" hidden="1"/>
    <cellStyle name="셀 확인 4" xfId="44870" hidden="1"/>
    <cellStyle name="셀 확인 4" xfId="44911" hidden="1"/>
    <cellStyle name="셀 확인 4" xfId="44953" hidden="1"/>
    <cellStyle name="셀 확인 4" xfId="44993" hidden="1"/>
    <cellStyle name="셀 확인 4" xfId="45033" hidden="1"/>
    <cellStyle name="셀 확인 4" xfId="45073" hidden="1"/>
    <cellStyle name="셀 확인 4" xfId="45113" hidden="1"/>
    <cellStyle name="셀 확인 4" xfId="45153" hidden="1"/>
    <cellStyle name="셀 확인 4" xfId="45193" hidden="1"/>
    <cellStyle name="셀 확인 4" xfId="45233" hidden="1"/>
    <cellStyle name="셀 확인 4" xfId="45273" hidden="1"/>
    <cellStyle name="셀 확인 4" xfId="45357" hidden="1"/>
    <cellStyle name="셀 확인 4" xfId="45397" hidden="1"/>
    <cellStyle name="셀 확인 4" xfId="45439" hidden="1"/>
    <cellStyle name="셀 확인 4" xfId="45481" hidden="1"/>
    <cellStyle name="셀 확인 4" xfId="45523" hidden="1"/>
    <cellStyle name="셀 확인 4" xfId="45565" hidden="1"/>
    <cellStyle name="셀 확인 4" xfId="45607" hidden="1"/>
    <cellStyle name="셀 확인 4" xfId="45649" hidden="1"/>
    <cellStyle name="셀 확인 4" xfId="45691" hidden="1"/>
    <cellStyle name="셀 확인 4" xfId="45733" hidden="1"/>
    <cellStyle name="셀 확인 4" xfId="45775" hidden="1"/>
    <cellStyle name="셀 확인 4" xfId="45817" hidden="1"/>
    <cellStyle name="셀 확인 4" xfId="45313" hidden="1"/>
    <cellStyle name="셀 확인 4" xfId="45997" hidden="1"/>
    <cellStyle name="셀 확인 4" xfId="46037" hidden="1"/>
    <cellStyle name="셀 확인 4" xfId="46077" hidden="1"/>
    <cellStyle name="셀 확인 4" xfId="46117" hidden="1"/>
    <cellStyle name="셀 확인 4" xfId="46157" hidden="1"/>
    <cellStyle name="셀 확인 4" xfId="46197" hidden="1"/>
    <cellStyle name="셀 확인 4" xfId="46237" hidden="1"/>
    <cellStyle name="셀 확인 4" xfId="46277" hidden="1"/>
    <cellStyle name="셀 확인 4" xfId="46317" hidden="1"/>
    <cellStyle name="셀 확인 4" xfId="46357" hidden="1"/>
    <cellStyle name="셀 확인 4" xfId="46397" hidden="1"/>
    <cellStyle name="셀 확인 4" xfId="46437" hidden="1"/>
    <cellStyle name="셀 확인 4" xfId="45915" hidden="1"/>
    <cellStyle name="셀 확인 4" xfId="45876" hidden="1"/>
    <cellStyle name="셀 확인 4" xfId="46478" hidden="1"/>
    <cellStyle name="셀 확인 4" xfId="46520" hidden="1"/>
    <cellStyle name="셀 확인 4" xfId="46562" hidden="1"/>
    <cellStyle name="셀 확인 4" xfId="46604" hidden="1"/>
    <cellStyle name="셀 확인 4" xfId="46646" hidden="1"/>
    <cellStyle name="셀 확인 4" xfId="46688" hidden="1"/>
    <cellStyle name="셀 확인 4" xfId="46730" hidden="1"/>
    <cellStyle name="셀 확인 4" xfId="46772" hidden="1"/>
    <cellStyle name="셀 확인 4" xfId="46814" hidden="1"/>
    <cellStyle name="셀 확인 4" xfId="46856" hidden="1"/>
    <cellStyle name="셀 확인 4" xfId="45969" hidden="1"/>
    <cellStyle name="셀 확인 4" xfId="45984" hidden="1"/>
    <cellStyle name="셀 확인 4" xfId="46925" hidden="1"/>
    <cellStyle name="셀 확인 4" xfId="46965" hidden="1"/>
    <cellStyle name="셀 확인 4" xfId="47005" hidden="1"/>
    <cellStyle name="셀 확인 4" xfId="47045" hidden="1"/>
    <cellStyle name="셀 확인 4" xfId="47085" hidden="1"/>
    <cellStyle name="셀 확인 4" xfId="47125" hidden="1"/>
    <cellStyle name="셀 확인 4" xfId="47165" hidden="1"/>
    <cellStyle name="셀 확인 4" xfId="47205" hidden="1"/>
    <cellStyle name="셀 확인 4" xfId="47245" hidden="1"/>
    <cellStyle name="셀 확인 4" xfId="47285" hidden="1"/>
    <cellStyle name="셀 확인 4" xfId="47325" hidden="1"/>
    <cellStyle name="셀 확인 4" xfId="44776" hidden="1"/>
    <cellStyle name="셀 확인 4" xfId="47376" hidden="1"/>
    <cellStyle name="셀 확인 4" xfId="47416" hidden="1"/>
    <cellStyle name="셀 확인 4" xfId="47456" hidden="1"/>
    <cellStyle name="셀 확인 4" xfId="47496" hidden="1"/>
    <cellStyle name="셀 확인 4" xfId="47536" hidden="1"/>
    <cellStyle name="셀 확인 4" xfId="47576" hidden="1"/>
    <cellStyle name="셀 확인 4" xfId="47616" hidden="1"/>
    <cellStyle name="셀 확인 4" xfId="47656" hidden="1"/>
    <cellStyle name="셀 확인 4" xfId="47696" hidden="1"/>
    <cellStyle name="셀 확인 4" xfId="47736" hidden="1"/>
    <cellStyle name="셀 확인 4" xfId="47776" hidden="1"/>
    <cellStyle name="셀 확인 4" xfId="47860" hidden="1"/>
    <cellStyle name="셀 확인 4" xfId="47900" hidden="1"/>
    <cellStyle name="셀 확인 4" xfId="47942" hidden="1"/>
    <cellStyle name="셀 확인 4" xfId="47984" hidden="1"/>
    <cellStyle name="셀 확인 4" xfId="48026" hidden="1"/>
    <cellStyle name="셀 확인 4" xfId="48068" hidden="1"/>
    <cellStyle name="셀 확인 4" xfId="48110" hidden="1"/>
    <cellStyle name="셀 확인 4" xfId="48152" hidden="1"/>
    <cellStyle name="셀 확인 4" xfId="48194" hidden="1"/>
    <cellStyle name="셀 확인 4" xfId="48236" hidden="1"/>
    <cellStyle name="셀 확인 4" xfId="48278" hidden="1"/>
    <cellStyle name="셀 확인 4" xfId="48320" hidden="1"/>
    <cellStyle name="셀 확인 4" xfId="47816" hidden="1"/>
    <cellStyle name="셀 확인 4" xfId="48500" hidden="1"/>
    <cellStyle name="셀 확인 4" xfId="48540" hidden="1"/>
    <cellStyle name="셀 확인 4" xfId="48580" hidden="1"/>
    <cellStyle name="셀 확인 4" xfId="48620" hidden="1"/>
    <cellStyle name="셀 확인 4" xfId="48660" hidden="1"/>
    <cellStyle name="셀 확인 4" xfId="48700" hidden="1"/>
    <cellStyle name="셀 확인 4" xfId="48740" hidden="1"/>
    <cellStyle name="셀 확인 4" xfId="48780" hidden="1"/>
    <cellStyle name="셀 확인 4" xfId="48820" hidden="1"/>
    <cellStyle name="셀 확인 4" xfId="48860" hidden="1"/>
    <cellStyle name="셀 확인 4" xfId="48900" hidden="1"/>
    <cellStyle name="셀 확인 4" xfId="48940" hidden="1"/>
    <cellStyle name="셀 확인 4" xfId="48418" hidden="1"/>
    <cellStyle name="셀 확인 4" xfId="48379" hidden="1"/>
    <cellStyle name="셀 확인 4" xfId="48981" hidden="1"/>
    <cellStyle name="셀 확인 4" xfId="49023" hidden="1"/>
    <cellStyle name="셀 확인 4" xfId="49065" hidden="1"/>
    <cellStyle name="셀 확인 4" xfId="49107" hidden="1"/>
    <cellStyle name="셀 확인 4" xfId="49149" hidden="1"/>
    <cellStyle name="셀 확인 4" xfId="49191" hidden="1"/>
    <cellStyle name="셀 확인 4" xfId="49233" hidden="1"/>
    <cellStyle name="셀 확인 4" xfId="49275" hidden="1"/>
    <cellStyle name="셀 확인 4" xfId="49317" hidden="1"/>
    <cellStyle name="셀 확인 4" xfId="49359" hidden="1"/>
    <cellStyle name="셀 확인 4" xfId="48472" hidden="1"/>
    <cellStyle name="셀 확인 4" xfId="48487" hidden="1"/>
    <cellStyle name="셀 확인 4" xfId="49428" hidden="1"/>
    <cellStyle name="셀 확인 4" xfId="49468" hidden="1"/>
    <cellStyle name="셀 확인 4" xfId="49508" hidden="1"/>
    <cellStyle name="셀 확인 4" xfId="49548" hidden="1"/>
    <cellStyle name="셀 확인 4" xfId="49588" hidden="1"/>
    <cellStyle name="셀 확인 4" xfId="49628" hidden="1"/>
    <cellStyle name="셀 확인 4" xfId="49668" hidden="1"/>
    <cellStyle name="셀 확인 4" xfId="49708" hidden="1"/>
    <cellStyle name="셀 확인 4" xfId="49748" hidden="1"/>
    <cellStyle name="셀 확인 4" xfId="49788" hidden="1"/>
    <cellStyle name="셀 확인 4" xfId="49828" hidden="1"/>
    <cellStyle name="셀 확인 4" xfId="44799" hidden="1"/>
    <cellStyle name="셀 확인 4" xfId="49878" hidden="1"/>
    <cellStyle name="셀 확인 4" xfId="49918" hidden="1"/>
    <cellStyle name="셀 확인 4" xfId="49958" hidden="1"/>
    <cellStyle name="셀 확인 4" xfId="49998" hidden="1"/>
    <cellStyle name="셀 확인 4" xfId="50038" hidden="1"/>
    <cellStyle name="셀 확인 4" xfId="50078" hidden="1"/>
    <cellStyle name="셀 확인 4" xfId="50118" hidden="1"/>
    <cellStyle name="셀 확인 4" xfId="50158" hidden="1"/>
    <cellStyle name="셀 확인 4" xfId="50198" hidden="1"/>
    <cellStyle name="셀 확인 4" xfId="50238" hidden="1"/>
    <cellStyle name="셀 확인 4" xfId="50278" hidden="1"/>
    <cellStyle name="셀 확인 4" xfId="50362" hidden="1"/>
    <cellStyle name="셀 확인 4" xfId="50402" hidden="1"/>
    <cellStyle name="셀 확인 4" xfId="50444" hidden="1"/>
    <cellStyle name="셀 확인 4" xfId="50486" hidden="1"/>
    <cellStyle name="셀 확인 4" xfId="50528" hidden="1"/>
    <cellStyle name="셀 확인 4" xfId="50570" hidden="1"/>
    <cellStyle name="셀 확인 4" xfId="50612" hidden="1"/>
    <cellStyle name="셀 확인 4" xfId="50654" hidden="1"/>
    <cellStyle name="셀 확인 4" xfId="50696" hidden="1"/>
    <cellStyle name="셀 확인 4" xfId="50738" hidden="1"/>
    <cellStyle name="셀 확인 4" xfId="50780" hidden="1"/>
    <cellStyle name="셀 확인 4" xfId="50822" hidden="1"/>
    <cellStyle name="셀 확인 4" xfId="50318" hidden="1"/>
    <cellStyle name="셀 확인 4" xfId="51002" hidden="1"/>
    <cellStyle name="셀 확인 4" xfId="51042" hidden="1"/>
    <cellStyle name="셀 확인 4" xfId="51082" hidden="1"/>
    <cellStyle name="셀 확인 4" xfId="51122" hidden="1"/>
    <cellStyle name="셀 확인 4" xfId="51162" hidden="1"/>
    <cellStyle name="셀 확인 4" xfId="51202" hidden="1"/>
    <cellStyle name="셀 확인 4" xfId="51242" hidden="1"/>
    <cellStyle name="셀 확인 4" xfId="51282" hidden="1"/>
    <cellStyle name="셀 확인 4" xfId="51322" hidden="1"/>
    <cellStyle name="셀 확인 4" xfId="51362" hidden="1"/>
    <cellStyle name="셀 확인 4" xfId="51402" hidden="1"/>
    <cellStyle name="셀 확인 4" xfId="51442" hidden="1"/>
    <cellStyle name="셀 확인 4" xfId="50920" hidden="1"/>
    <cellStyle name="셀 확인 4" xfId="50881" hidden="1"/>
    <cellStyle name="셀 확인 4" xfId="51483" hidden="1"/>
    <cellStyle name="셀 확인 4" xfId="51525" hidden="1"/>
    <cellStyle name="셀 확인 4" xfId="51567" hidden="1"/>
    <cellStyle name="셀 확인 4" xfId="51609" hidden="1"/>
    <cellStyle name="셀 확인 4" xfId="51651" hidden="1"/>
    <cellStyle name="셀 확인 4" xfId="51693" hidden="1"/>
    <cellStyle name="셀 확인 4" xfId="51735" hidden="1"/>
    <cellStyle name="셀 확인 4" xfId="51777" hidden="1"/>
    <cellStyle name="셀 확인 4" xfId="51819" hidden="1"/>
    <cellStyle name="셀 확인 4" xfId="51861" hidden="1"/>
    <cellStyle name="셀 확인 4" xfId="50974" hidden="1"/>
    <cellStyle name="셀 확인 4" xfId="50989" hidden="1"/>
    <cellStyle name="셀 확인 4" xfId="51930" hidden="1"/>
    <cellStyle name="셀 확인 4" xfId="51970" hidden="1"/>
    <cellStyle name="셀 확인 4" xfId="52010" hidden="1"/>
    <cellStyle name="셀 확인 4" xfId="52050" hidden="1"/>
    <cellStyle name="셀 확인 4" xfId="52090" hidden="1"/>
    <cellStyle name="셀 확인 4" xfId="52130" hidden="1"/>
    <cellStyle name="셀 확인 4" xfId="52170" hidden="1"/>
    <cellStyle name="셀 확인 4" xfId="52210" hidden="1"/>
    <cellStyle name="셀 확인 4" xfId="52250" hidden="1"/>
    <cellStyle name="셀 확인 4" xfId="52290" hidden="1"/>
    <cellStyle name="셀 확인 4" xfId="52330" hidden="1"/>
    <cellStyle name="셀 확인 4 2" xfId="6408"/>
    <cellStyle name="셀 확인 4 3" xfId="6409"/>
    <cellStyle name="셀 확인 4 4" xfId="6410"/>
    <cellStyle name="셀 확인 4 5" xfId="6411"/>
    <cellStyle name="셀 확인 40" xfId="6412"/>
    <cellStyle name="셀 확인 41" xfId="6413"/>
    <cellStyle name="셀 확인 42" xfId="6414"/>
    <cellStyle name="셀 확인 43" xfId="6415"/>
    <cellStyle name="셀 확인 44" xfId="6416"/>
    <cellStyle name="셀 확인 45" xfId="6417"/>
    <cellStyle name="셀 확인 46" xfId="6418"/>
    <cellStyle name="셀 확인 47" xfId="6419"/>
    <cellStyle name="셀 확인 48" xfId="6420"/>
    <cellStyle name="셀 확인 49" xfId="6421"/>
    <cellStyle name="셀 확인 5" xfId="6422"/>
    <cellStyle name="셀 확인 50" xfId="6423"/>
    <cellStyle name="셀 확인 51" xfId="6424"/>
    <cellStyle name="셀 확인 52" xfId="6425"/>
    <cellStyle name="셀 확인 6" xfId="6426"/>
    <cellStyle name="셀 확인 7" xfId="6427"/>
    <cellStyle name="셀 확인 8" xfId="6428"/>
    <cellStyle name="셀 확인 9" xfId="6429"/>
    <cellStyle name="쉼표 [0] 10" xfId="6430"/>
    <cellStyle name="쉼표 [0] 100" xfId="6431"/>
    <cellStyle name="쉼표 [0] 101" xfId="6432"/>
    <cellStyle name="쉼표 [0] 102" xfId="6433"/>
    <cellStyle name="쉼표 [0] 103" xfId="6434"/>
    <cellStyle name="쉼표 [0] 104" xfId="6435"/>
    <cellStyle name="쉼표 [0] 105" xfId="6436"/>
    <cellStyle name="쉼표 [0] 106" xfId="6437"/>
    <cellStyle name="쉼표 [0] 107" xfId="6438"/>
    <cellStyle name="쉼표 [0] 108" xfId="6439"/>
    <cellStyle name="쉼표 [0] 109" xfId="6440"/>
    <cellStyle name="쉼표 [0] 11" xfId="6441"/>
    <cellStyle name="쉼표 [0] 110" xfId="6442"/>
    <cellStyle name="쉼표 [0] 111" xfId="6443"/>
    <cellStyle name="쉼표 [0] 112" xfId="6444"/>
    <cellStyle name="쉼표 [0] 113" xfId="6445"/>
    <cellStyle name="쉼표 [0] 114" xfId="6446"/>
    <cellStyle name="쉼표 [0] 115" xfId="6447"/>
    <cellStyle name="쉼표 [0] 116" xfId="88"/>
    <cellStyle name="쉼표 [0] 117" xfId="65"/>
    <cellStyle name="쉼표 [0] 117 2" xfId="32095"/>
    <cellStyle name="쉼표 [0] 12" xfId="6448"/>
    <cellStyle name="쉼표 [0] 127" xfId="11691"/>
    <cellStyle name="쉼표 [0] 128" xfId="11689"/>
    <cellStyle name="쉼표 [0] 129" xfId="11693"/>
    <cellStyle name="쉼표 [0] 13" xfId="6449"/>
    <cellStyle name="쉼표 [0] 133" xfId="11695"/>
    <cellStyle name="쉼표 [0] 134" xfId="11697"/>
    <cellStyle name="쉼표 [0] 137" xfId="11701"/>
    <cellStyle name="쉼표 [0] 138" xfId="11699"/>
    <cellStyle name="쉼표 [0] 14" xfId="6450"/>
    <cellStyle name="쉼표 [0] 15" xfId="6451"/>
    <cellStyle name="쉼표 [0] 16" xfId="6452"/>
    <cellStyle name="쉼표 [0] 17" xfId="6453"/>
    <cellStyle name="쉼표 [0] 18" xfId="6454"/>
    <cellStyle name="쉼표 [0] 19" xfId="6455"/>
    <cellStyle name="쉼표 [0] 2" xfId="373"/>
    <cellStyle name="쉼표 [0] 2 10" xfId="6456"/>
    <cellStyle name="쉼표 [0] 2 100" xfId="6457"/>
    <cellStyle name="쉼표 [0] 2 101" xfId="6458"/>
    <cellStyle name="쉼표 [0] 2 102" xfId="6459"/>
    <cellStyle name="쉼표 [0] 2 103" xfId="6460"/>
    <cellStyle name="쉼표 [0] 2 103 2" xfId="6461"/>
    <cellStyle name="쉼표 [0] 2 104" xfId="6462"/>
    <cellStyle name="쉼표 [0] 2 105" xfId="6463"/>
    <cellStyle name="쉼표 [0] 2 106" xfId="6464"/>
    <cellStyle name="쉼표 [0] 2 107" xfId="6465"/>
    <cellStyle name="쉼표 [0] 2 108" xfId="6466"/>
    <cellStyle name="쉼표 [0] 2 109" xfId="6467"/>
    <cellStyle name="쉼표 [0] 2 11" xfId="6468"/>
    <cellStyle name="쉼표 [0] 2 110" xfId="6469"/>
    <cellStyle name="쉼표 [0] 2 111" xfId="6470"/>
    <cellStyle name="쉼표 [0] 2 112" xfId="6471"/>
    <cellStyle name="쉼표 [0] 2 113" xfId="6472"/>
    <cellStyle name="쉼표 [0] 2 114" xfId="6473"/>
    <cellStyle name="쉼표 [0] 2 115" xfId="6474"/>
    <cellStyle name="쉼표 [0] 2 116" xfId="6475"/>
    <cellStyle name="쉼표 [0] 2 117" xfId="6476"/>
    <cellStyle name="쉼표 [0] 2 118" xfId="6477"/>
    <cellStyle name="쉼표 [0] 2 119" xfId="6478"/>
    <cellStyle name="쉼표 [0] 2 12" xfId="6479"/>
    <cellStyle name="쉼표 [0] 2 120" xfId="6480"/>
    <cellStyle name="쉼표 [0] 2 121" xfId="6481"/>
    <cellStyle name="쉼표 [0] 2 122" xfId="6482"/>
    <cellStyle name="쉼표 [0] 2 123" xfId="6483"/>
    <cellStyle name="쉼표 [0] 2 124" xfId="6484"/>
    <cellStyle name="쉼표 [0] 2 125" xfId="6485"/>
    <cellStyle name="쉼표 [0] 2 126" xfId="6486"/>
    <cellStyle name="쉼표 [0] 2 13" xfId="6487"/>
    <cellStyle name="쉼표 [0] 2 14" xfId="6488"/>
    <cellStyle name="쉼표 [0] 2 15" xfId="6489"/>
    <cellStyle name="쉼표 [0] 2 16" xfId="6490"/>
    <cellStyle name="쉼표 [0] 2 17" xfId="6491"/>
    <cellStyle name="쉼표 [0] 2 18" xfId="6492"/>
    <cellStyle name="쉼표 [0] 2 19" xfId="6493"/>
    <cellStyle name="쉼표 [0] 2 2" xfId="6494"/>
    <cellStyle name="쉼표 [0] 2 2 2" xfId="6495"/>
    <cellStyle name="쉼표 [0] 2 2 3" xfId="6496"/>
    <cellStyle name="쉼표 [0] 2 2 4" xfId="6497"/>
    <cellStyle name="쉼표 [0] 2 2 5" xfId="6498"/>
    <cellStyle name="쉼표 [0] 2 20" xfId="6499"/>
    <cellStyle name="쉼표 [0] 2 21" xfId="6500"/>
    <cellStyle name="쉼표 [0] 2 22" xfId="6501"/>
    <cellStyle name="쉼표 [0] 2 23" xfId="6502"/>
    <cellStyle name="쉼표 [0] 2 24" xfId="6503"/>
    <cellStyle name="쉼표 [0] 2 25" xfId="6504"/>
    <cellStyle name="쉼표 [0] 2 26" xfId="6505"/>
    <cellStyle name="쉼표 [0] 2 27" xfId="6506"/>
    <cellStyle name="쉼표 [0] 2 28" xfId="6507"/>
    <cellStyle name="쉼표 [0] 2 29" xfId="6508"/>
    <cellStyle name="쉼표 [0] 2 3" xfId="6509"/>
    <cellStyle name="쉼표 [0] 2 30" xfId="6510"/>
    <cellStyle name="쉼표 [0] 2 31" xfId="6511"/>
    <cellStyle name="쉼표 [0] 2 32" xfId="6512"/>
    <cellStyle name="쉼표 [0] 2 33" xfId="6513"/>
    <cellStyle name="쉼표 [0] 2 34" xfId="6514"/>
    <cellStyle name="쉼표 [0] 2 35" xfId="6515"/>
    <cellStyle name="쉼표 [0] 2 36" xfId="6516"/>
    <cellStyle name="쉼표 [0] 2 37" xfId="6517"/>
    <cellStyle name="쉼표 [0] 2 38" xfId="6518"/>
    <cellStyle name="쉼표 [0] 2 39" xfId="6519"/>
    <cellStyle name="쉼표 [0] 2 4" xfId="6520"/>
    <cellStyle name="쉼표 [0] 2 40" xfId="6521"/>
    <cellStyle name="쉼표 [0] 2 41" xfId="6522"/>
    <cellStyle name="쉼표 [0] 2 42" xfId="6523"/>
    <cellStyle name="쉼표 [0] 2 43" xfId="6524"/>
    <cellStyle name="쉼표 [0] 2 44" xfId="6525"/>
    <cellStyle name="쉼표 [0] 2 45" xfId="6526"/>
    <cellStyle name="쉼표 [0] 2 46" xfId="6527"/>
    <cellStyle name="쉼표 [0] 2 47" xfId="6528"/>
    <cellStyle name="쉼표 [0] 2 48" xfId="6529"/>
    <cellStyle name="쉼표 [0] 2 49" xfId="6530"/>
    <cellStyle name="쉼표 [0] 2 5" xfId="6531"/>
    <cellStyle name="쉼표 [0] 2 50" xfId="6532"/>
    <cellStyle name="쉼표 [0] 2 51" xfId="6533"/>
    <cellStyle name="쉼표 [0] 2 52" xfId="6534"/>
    <cellStyle name="쉼표 [0] 2 53" xfId="6535"/>
    <cellStyle name="쉼표 [0] 2 54" xfId="6536"/>
    <cellStyle name="쉼표 [0] 2 55" xfId="6537"/>
    <cellStyle name="쉼표 [0] 2 56" xfId="6538"/>
    <cellStyle name="쉼표 [0] 2 57" xfId="6539"/>
    <cellStyle name="쉼표 [0] 2 58" xfId="6540"/>
    <cellStyle name="쉼표 [0] 2 59" xfId="6541"/>
    <cellStyle name="쉼표 [0] 2 6" xfId="6542"/>
    <cellStyle name="쉼표 [0] 2 60" xfId="6543"/>
    <cellStyle name="쉼표 [0] 2 61" xfId="6544"/>
    <cellStyle name="쉼표 [0] 2 62" xfId="6545"/>
    <cellStyle name="쉼표 [0] 2 63" xfId="6546"/>
    <cellStyle name="쉼표 [0] 2 64" xfId="6547"/>
    <cellStyle name="쉼표 [0] 2 65" xfId="6548"/>
    <cellStyle name="쉼표 [0] 2 66" xfId="6549"/>
    <cellStyle name="쉼표 [0] 2 67" xfId="6550"/>
    <cellStyle name="쉼표 [0] 2 68" xfId="6551"/>
    <cellStyle name="쉼표 [0] 2 69" xfId="6552"/>
    <cellStyle name="쉼표 [0] 2 7" xfId="6553"/>
    <cellStyle name="쉼표 [0] 2 70" xfId="6554"/>
    <cellStyle name="쉼표 [0] 2 71" xfId="6555"/>
    <cellStyle name="쉼표 [0] 2 72" xfId="6556"/>
    <cellStyle name="쉼표 [0] 2 73" xfId="6557"/>
    <cellStyle name="쉼표 [0] 2 74" xfId="6558"/>
    <cellStyle name="쉼표 [0] 2 75" xfId="6559"/>
    <cellStyle name="쉼표 [0] 2 76" xfId="6560"/>
    <cellStyle name="쉼표 [0] 2 77" xfId="6561"/>
    <cellStyle name="쉼표 [0] 2 78" xfId="6562"/>
    <cellStyle name="쉼표 [0] 2 79" xfId="6563"/>
    <cellStyle name="쉼표 [0] 2 8" xfId="6564"/>
    <cellStyle name="쉼표 [0] 2 80" xfId="6565"/>
    <cellStyle name="쉼표 [0] 2 81" xfId="6566"/>
    <cellStyle name="쉼표 [0] 2 82" xfId="6567"/>
    <cellStyle name="쉼표 [0] 2 83" xfId="6568"/>
    <cellStyle name="쉼표 [0] 2 84" xfId="6569"/>
    <cellStyle name="쉼표 [0] 2 85" xfId="6570"/>
    <cellStyle name="쉼표 [0] 2 86" xfId="6571"/>
    <cellStyle name="쉼표 [0] 2 87" xfId="6572"/>
    <cellStyle name="쉼표 [0] 2 88" xfId="6573"/>
    <cellStyle name="쉼표 [0] 2 89" xfId="6574"/>
    <cellStyle name="쉼표 [0] 2 9" xfId="6575"/>
    <cellStyle name="쉼표 [0] 2 90" xfId="6576"/>
    <cellStyle name="쉼표 [0] 2 91" xfId="6577"/>
    <cellStyle name="쉼표 [0] 2 92" xfId="6578"/>
    <cellStyle name="쉼표 [0] 2 93" xfId="6579"/>
    <cellStyle name="쉼표 [0] 2 94" xfId="6580"/>
    <cellStyle name="쉼표 [0] 2 95" xfId="6581"/>
    <cellStyle name="쉼표 [0] 2 96" xfId="6582"/>
    <cellStyle name="쉼표 [0] 2 97" xfId="6583"/>
    <cellStyle name="쉼표 [0] 2 98" xfId="6584"/>
    <cellStyle name="쉼표 [0] 2 99" xfId="6585"/>
    <cellStyle name="쉼표 [0] 20" xfId="6586"/>
    <cellStyle name="쉼표 [0] 21" xfId="6587"/>
    <cellStyle name="쉼표 [0] 22" xfId="6588"/>
    <cellStyle name="쉼표 [0] 23" xfId="6589"/>
    <cellStyle name="쉼표 [0] 24" xfId="6590"/>
    <cellStyle name="쉼표 [0] 25" xfId="6591"/>
    <cellStyle name="쉼표 [0] 26" xfId="6592"/>
    <cellStyle name="쉼표 [0] 27" xfId="6593"/>
    <cellStyle name="쉼표 [0] 28" xfId="6594"/>
    <cellStyle name="쉼표 [0] 29" xfId="6595"/>
    <cellStyle name="쉼표 [0] 3" xfId="374"/>
    <cellStyle name="쉼표 [0] 3 10" xfId="6596"/>
    <cellStyle name="쉼표 [0] 3 11" xfId="6597"/>
    <cellStyle name="쉼표 [0] 3 12" xfId="6598"/>
    <cellStyle name="쉼표 [0] 3 13" xfId="6599"/>
    <cellStyle name="쉼표 [0] 3 14" xfId="6600"/>
    <cellStyle name="쉼표 [0] 3 15" xfId="6601"/>
    <cellStyle name="쉼표 [0] 3 16" xfId="6602"/>
    <cellStyle name="쉼표 [0] 3 17" xfId="6603"/>
    <cellStyle name="쉼표 [0] 3 18" xfId="6604"/>
    <cellStyle name="쉼표 [0] 3 19" xfId="6605"/>
    <cellStyle name="쉼표 [0] 3 2" xfId="375"/>
    <cellStyle name="쉼표 [0] 3 2 10" xfId="6606"/>
    <cellStyle name="쉼표 [0] 3 2 11" xfId="6607"/>
    <cellStyle name="쉼표 [0] 3 2 2" xfId="6608"/>
    <cellStyle name="쉼표 [0] 3 2 2 2" xfId="6609"/>
    <cellStyle name="쉼표 [0] 3 2 2 3" xfId="6610"/>
    <cellStyle name="쉼표 [0] 3 2 2 4" xfId="6611"/>
    <cellStyle name="쉼표 [0] 3 2 2 5" xfId="6612"/>
    <cellStyle name="쉼표 [0] 3 2 3" xfId="6613"/>
    <cellStyle name="쉼표 [0] 3 2 4" xfId="6614"/>
    <cellStyle name="쉼표 [0] 3 2 5" xfId="6615"/>
    <cellStyle name="쉼표 [0] 3 2 6" xfId="6616"/>
    <cellStyle name="쉼표 [0] 3 2 7" xfId="6617"/>
    <cellStyle name="쉼표 [0] 3 2 8" xfId="6618"/>
    <cellStyle name="쉼표 [0] 3 2 9" xfId="6619"/>
    <cellStyle name="쉼표 [0] 3 20" xfId="6620"/>
    <cellStyle name="쉼표 [0] 3 21" xfId="6621"/>
    <cellStyle name="쉼표 [0] 3 22" xfId="6622"/>
    <cellStyle name="쉼표 [0] 3 23" xfId="6623"/>
    <cellStyle name="쉼표 [0] 3 24" xfId="6624"/>
    <cellStyle name="쉼표 [0] 3 3" xfId="6625"/>
    <cellStyle name="쉼표 [0] 3 4" xfId="6626"/>
    <cellStyle name="쉼표 [0] 3 5" xfId="6627"/>
    <cellStyle name="쉼표 [0] 3 6" xfId="6628"/>
    <cellStyle name="쉼표 [0] 3 7" xfId="6629"/>
    <cellStyle name="쉼표 [0] 3 8" xfId="6630"/>
    <cellStyle name="쉼표 [0] 3 9" xfId="6631"/>
    <cellStyle name="쉼표 [0] 30" xfId="6632"/>
    <cellStyle name="쉼표 [0] 31" xfId="6633"/>
    <cellStyle name="쉼표 [0] 32" xfId="6634"/>
    <cellStyle name="쉼표 [0] 33" xfId="6635"/>
    <cellStyle name="쉼표 [0] 34" xfId="6636"/>
    <cellStyle name="쉼표 [0] 35" xfId="6637"/>
    <cellStyle name="쉼표 [0] 36" xfId="6638"/>
    <cellStyle name="쉼표 [0] 37" xfId="6639"/>
    <cellStyle name="쉼표 [0] 38" xfId="6640"/>
    <cellStyle name="쉼표 [0] 39" xfId="6641"/>
    <cellStyle name="쉼표 [0] 4" xfId="376"/>
    <cellStyle name="쉼표 [0] 4 10" xfId="6642"/>
    <cellStyle name="쉼표 [0] 4 11" xfId="6643"/>
    <cellStyle name="쉼표 [0] 4 12" xfId="6644"/>
    <cellStyle name="쉼표 [0] 4 13" xfId="6645"/>
    <cellStyle name="쉼표 [0] 4 14" xfId="6646"/>
    <cellStyle name="쉼표 [0] 4 15" xfId="6647"/>
    <cellStyle name="쉼표 [0] 4 16" xfId="6648"/>
    <cellStyle name="쉼표 [0] 4 17" xfId="6649"/>
    <cellStyle name="쉼표 [0] 4 18" xfId="6650"/>
    <cellStyle name="쉼표 [0] 4 19" xfId="6651"/>
    <cellStyle name="쉼표 [0] 4 2" xfId="6652"/>
    <cellStyle name="쉼표 [0] 4 20" xfId="6653"/>
    <cellStyle name="쉼표 [0] 4 21" xfId="6654"/>
    <cellStyle name="쉼표 [0] 4 22" xfId="6655"/>
    <cellStyle name="쉼표 [0] 4 23" xfId="6656"/>
    <cellStyle name="쉼표 [0] 4 24" xfId="6657"/>
    <cellStyle name="쉼표 [0] 4 3" xfId="6658"/>
    <cellStyle name="쉼표 [0] 4 4" xfId="6659"/>
    <cellStyle name="쉼표 [0] 4 5" xfId="6660"/>
    <cellStyle name="쉼표 [0] 4 6" xfId="6661"/>
    <cellStyle name="쉼표 [0] 4 7" xfId="6662"/>
    <cellStyle name="쉼표 [0] 4 8" xfId="6663"/>
    <cellStyle name="쉼표 [0] 4 9" xfId="6664"/>
    <cellStyle name="쉼표 [0] 40" xfId="6665"/>
    <cellStyle name="쉼표 [0] 41" xfId="6666"/>
    <cellStyle name="쉼표 [0] 42" xfId="6667"/>
    <cellStyle name="쉼표 [0] 43" xfId="6668"/>
    <cellStyle name="쉼표 [0] 44" xfId="6669"/>
    <cellStyle name="쉼표 [0] 45" xfId="6670"/>
    <cellStyle name="쉼표 [0] 46" xfId="6671"/>
    <cellStyle name="쉼표 [0] 47" xfId="6672"/>
    <cellStyle name="쉼표 [0] 48" xfId="6673"/>
    <cellStyle name="쉼표 [0] 49" xfId="6674"/>
    <cellStyle name="쉼표 [0] 5" xfId="377"/>
    <cellStyle name="쉼표 [0] 5 10" xfId="6675"/>
    <cellStyle name="쉼표 [0] 5 11" xfId="6676"/>
    <cellStyle name="쉼표 [0] 5 2" xfId="6677"/>
    <cellStyle name="쉼표 [0] 5 2 2" xfId="6678"/>
    <cellStyle name="쉼표 [0] 5 2 3" xfId="6679"/>
    <cellStyle name="쉼표 [0] 5 2 4" xfId="6680"/>
    <cellStyle name="쉼표 [0] 5 2 5" xfId="6681"/>
    <cellStyle name="쉼표 [0] 5 3" xfId="6682"/>
    <cellStyle name="쉼표 [0] 5 4" xfId="6683"/>
    <cellStyle name="쉼표 [0] 5 5" xfId="6684"/>
    <cellStyle name="쉼표 [0] 5 6" xfId="6685"/>
    <cellStyle name="쉼표 [0] 5 7" xfId="6686"/>
    <cellStyle name="쉼표 [0] 5 8" xfId="6687"/>
    <cellStyle name="쉼표 [0] 5 9" xfId="6688"/>
    <cellStyle name="쉼표 [0] 50" xfId="6689"/>
    <cellStyle name="쉼표 [0] 51" xfId="6690"/>
    <cellStyle name="쉼표 [0] 52" xfId="6691"/>
    <cellStyle name="쉼표 [0] 53" xfId="6692"/>
    <cellStyle name="쉼표 [0] 54" xfId="6693"/>
    <cellStyle name="쉼표 [0] 55" xfId="6694"/>
    <cellStyle name="쉼표 [0] 56" xfId="6695"/>
    <cellStyle name="쉼표 [0] 57" xfId="6696"/>
    <cellStyle name="쉼표 [0] 58" xfId="6697"/>
    <cellStyle name="쉼표 [0] 59" xfId="6698"/>
    <cellStyle name="쉼표 [0] 6" xfId="378"/>
    <cellStyle name="쉼표 [0] 60" xfId="6699"/>
    <cellStyle name="쉼표 [0] 61" xfId="6700"/>
    <cellStyle name="쉼표 [0] 62" xfId="6701"/>
    <cellStyle name="쉼표 [0] 63" xfId="6702"/>
    <cellStyle name="쉼표 [0] 64" xfId="6703"/>
    <cellStyle name="쉼표 [0] 65" xfId="6704"/>
    <cellStyle name="쉼표 [0] 66" xfId="6705"/>
    <cellStyle name="쉼표 [0] 67" xfId="6706"/>
    <cellStyle name="쉼표 [0] 68" xfId="6707"/>
    <cellStyle name="쉼표 [0] 69" xfId="6708"/>
    <cellStyle name="쉼표 [0] 7" xfId="12257"/>
    <cellStyle name="쉼표 [0] 7 2" xfId="6709"/>
    <cellStyle name="쉼표 [0] 7 3" xfId="6710"/>
    <cellStyle name="쉼표 [0] 7 4" xfId="6711"/>
    <cellStyle name="쉼표 [0] 7 5" xfId="6712"/>
    <cellStyle name="쉼표 [0] 70" xfId="6713"/>
    <cellStyle name="쉼표 [0] 71" xfId="6714"/>
    <cellStyle name="쉼표 [0] 72" xfId="6715"/>
    <cellStyle name="쉼표 [0] 73" xfId="6716"/>
    <cellStyle name="쉼표 [0] 74" xfId="6717"/>
    <cellStyle name="쉼표 [0] 75" xfId="6718"/>
    <cellStyle name="쉼표 [0] 76" xfId="6719"/>
    <cellStyle name="쉼표 [0] 77" xfId="6720"/>
    <cellStyle name="쉼표 [0] 78" xfId="6721"/>
    <cellStyle name="쉼표 [0] 79" xfId="6722"/>
    <cellStyle name="쉼표 [0] 8" xfId="6723"/>
    <cellStyle name="쉼표 [0] 80" xfId="6724"/>
    <cellStyle name="쉼표 [0] 81" xfId="6725"/>
    <cellStyle name="쉼표 [0] 82" xfId="6726"/>
    <cellStyle name="쉼표 [0] 83" xfId="6727"/>
    <cellStyle name="쉼표 [0] 84" xfId="6728"/>
    <cellStyle name="쉼표 [0] 85" xfId="6729"/>
    <cellStyle name="쉼표 [0] 86" xfId="6730"/>
    <cellStyle name="쉼표 [0] 87" xfId="6731"/>
    <cellStyle name="쉼표 [0] 88" xfId="6732"/>
    <cellStyle name="쉼표 [0] 89" xfId="6733"/>
    <cellStyle name="쉼표 [0] 9" xfId="6734"/>
    <cellStyle name="쉼표 [0] 90" xfId="6735"/>
    <cellStyle name="쉼표 [0] 91" xfId="6736"/>
    <cellStyle name="쉼표 [0] 92" xfId="6737"/>
    <cellStyle name="쉼표 [0] 93" xfId="6738"/>
    <cellStyle name="쉼표 [0] 94" xfId="6739"/>
    <cellStyle name="쉼표 [0] 95" xfId="6740"/>
    <cellStyle name="쉼표 [0] 96" xfId="6741"/>
    <cellStyle name="쉼표 [0] 97" xfId="6742"/>
    <cellStyle name="쉼표 [0] 98" xfId="6743"/>
    <cellStyle name="쉼표 [0] 99" xfId="6744"/>
    <cellStyle name="스타일 1" xfId="379"/>
    <cellStyle name="연결된 셀 10" xfId="6745"/>
    <cellStyle name="연결된 셀 11" xfId="6746"/>
    <cellStyle name="연결된 셀 12" xfId="6747"/>
    <cellStyle name="연결된 셀 13" xfId="6748"/>
    <cellStyle name="연결된 셀 14" xfId="6749"/>
    <cellStyle name="연결된 셀 15" xfId="6750"/>
    <cellStyle name="연결된 셀 16" xfId="6751"/>
    <cellStyle name="연결된 셀 17" xfId="6752"/>
    <cellStyle name="연결된 셀 18" xfId="6753"/>
    <cellStyle name="연결된 셀 19" xfId="6754"/>
    <cellStyle name="연결된 셀 2" xfId="380"/>
    <cellStyle name="연결된 셀 2 10" xfId="6755"/>
    <cellStyle name="연결된 셀 2 100" xfId="6756"/>
    <cellStyle name="연결된 셀 2 101" xfId="6757"/>
    <cellStyle name="연결된 셀 2 102" xfId="6758"/>
    <cellStyle name="연결된 셀 2 103" xfId="6759"/>
    <cellStyle name="연결된 셀 2 104" xfId="6760"/>
    <cellStyle name="연결된 셀 2 105" xfId="6761"/>
    <cellStyle name="연결된 셀 2 106" xfId="6762"/>
    <cellStyle name="연결된 셀 2 107" xfId="6763"/>
    <cellStyle name="연결된 셀 2 108" xfId="6764"/>
    <cellStyle name="연결된 셀 2 109" xfId="6765"/>
    <cellStyle name="연결된 셀 2 11" xfId="6766"/>
    <cellStyle name="연결된 셀 2 110" xfId="6767"/>
    <cellStyle name="연결된 셀 2 111" xfId="6768"/>
    <cellStyle name="연결된 셀 2 112" xfId="6769"/>
    <cellStyle name="연결된 셀 2 12" xfId="6770"/>
    <cellStyle name="연결된 셀 2 13" xfId="6771"/>
    <cellStyle name="연결된 셀 2 14" xfId="6772"/>
    <cellStyle name="연결된 셀 2 15" xfId="6773"/>
    <cellStyle name="연결된 셀 2 16" xfId="6774"/>
    <cellStyle name="연결된 셀 2 17" xfId="6775"/>
    <cellStyle name="연결된 셀 2 18" xfId="6776"/>
    <cellStyle name="연결된 셀 2 19" xfId="6777"/>
    <cellStyle name="연결된 셀 2 2" xfId="6778"/>
    <cellStyle name="연결된 셀 2 2 2" xfId="6779"/>
    <cellStyle name="연결된 셀 2 2 3" xfId="6780"/>
    <cellStyle name="연결된 셀 2 2 4" xfId="6781"/>
    <cellStyle name="연결된 셀 2 2 5" xfId="6782"/>
    <cellStyle name="연결된 셀 2 20" xfId="6783"/>
    <cellStyle name="연결된 셀 2 21" xfId="6784"/>
    <cellStyle name="연결된 셀 2 22" xfId="6785"/>
    <cellStyle name="연결된 셀 2 23" xfId="6786"/>
    <cellStyle name="연결된 셀 2 24" xfId="6787"/>
    <cellStyle name="연결된 셀 2 25" xfId="6788"/>
    <cellStyle name="연결된 셀 2 26" xfId="6789"/>
    <cellStyle name="연결된 셀 2 27" xfId="6790"/>
    <cellStyle name="연결된 셀 2 28" xfId="6791"/>
    <cellStyle name="연결된 셀 2 29" xfId="6792"/>
    <cellStyle name="연결된 셀 2 3" xfId="6793"/>
    <cellStyle name="연결된 셀 2 30" xfId="6794"/>
    <cellStyle name="연결된 셀 2 31" xfId="6795"/>
    <cellStyle name="연결된 셀 2 32" xfId="6796"/>
    <cellStyle name="연결된 셀 2 33" xfId="6797"/>
    <cellStyle name="연결된 셀 2 34" xfId="6798"/>
    <cellStyle name="연결된 셀 2 35" xfId="6799"/>
    <cellStyle name="연결된 셀 2 36" xfId="6800"/>
    <cellStyle name="연결된 셀 2 37" xfId="6801"/>
    <cellStyle name="연결된 셀 2 38" xfId="6802"/>
    <cellStyle name="연결된 셀 2 39" xfId="6803"/>
    <cellStyle name="연결된 셀 2 4" xfId="6804"/>
    <cellStyle name="연결된 셀 2 40" xfId="6805"/>
    <cellStyle name="연결된 셀 2 41" xfId="6806"/>
    <cellStyle name="연결된 셀 2 42" xfId="6807"/>
    <cellStyle name="연결된 셀 2 43" xfId="6808"/>
    <cellStyle name="연결된 셀 2 44" xfId="6809"/>
    <cellStyle name="연결된 셀 2 45" xfId="6810"/>
    <cellStyle name="연결된 셀 2 46" xfId="6811"/>
    <cellStyle name="연결된 셀 2 47" xfId="6812"/>
    <cellStyle name="연결된 셀 2 48" xfId="6813"/>
    <cellStyle name="연결된 셀 2 49" xfId="6814"/>
    <cellStyle name="연결된 셀 2 5" xfId="6815"/>
    <cellStyle name="연결된 셀 2 50" xfId="6816"/>
    <cellStyle name="연결된 셀 2 51" xfId="6817"/>
    <cellStyle name="연결된 셀 2 52" xfId="6818"/>
    <cellStyle name="연결된 셀 2 53" xfId="6819"/>
    <cellStyle name="연결된 셀 2 54" xfId="6820"/>
    <cellStyle name="연결된 셀 2 55" xfId="6821"/>
    <cellStyle name="연결된 셀 2 56" xfId="6822"/>
    <cellStyle name="연결된 셀 2 57" xfId="6823"/>
    <cellStyle name="연결된 셀 2 58" xfId="6824"/>
    <cellStyle name="연결된 셀 2 59" xfId="6825"/>
    <cellStyle name="연결된 셀 2 6" xfId="6826"/>
    <cellStyle name="연결된 셀 2 60" xfId="6827"/>
    <cellStyle name="연결된 셀 2 61" xfId="6828"/>
    <cellStyle name="연결된 셀 2 62" xfId="6829"/>
    <cellStyle name="연결된 셀 2 63" xfId="6830"/>
    <cellStyle name="연결된 셀 2 64" xfId="6831"/>
    <cellStyle name="연결된 셀 2 65" xfId="6832"/>
    <cellStyle name="연결된 셀 2 66" xfId="6833"/>
    <cellStyle name="연결된 셀 2 67" xfId="6834"/>
    <cellStyle name="연결된 셀 2 68" xfId="6835"/>
    <cellStyle name="연결된 셀 2 69" xfId="6836"/>
    <cellStyle name="연결된 셀 2 7" xfId="6837"/>
    <cellStyle name="연결된 셀 2 70" xfId="6838"/>
    <cellStyle name="연결된 셀 2 71" xfId="6839"/>
    <cellStyle name="연결된 셀 2 72" xfId="6840"/>
    <cellStyle name="연결된 셀 2 73" xfId="6841"/>
    <cellStyle name="연결된 셀 2 74" xfId="6842"/>
    <cellStyle name="연결된 셀 2 75" xfId="6843"/>
    <cellStyle name="연결된 셀 2 76" xfId="6844"/>
    <cellStyle name="연결된 셀 2 77" xfId="6845"/>
    <cellStyle name="연결된 셀 2 78" xfId="6846"/>
    <cellStyle name="연결된 셀 2 79" xfId="6847"/>
    <cellStyle name="연결된 셀 2 8" xfId="6848"/>
    <cellStyle name="연결된 셀 2 80" xfId="6849"/>
    <cellStyle name="연결된 셀 2 81" xfId="6850"/>
    <cellStyle name="연결된 셀 2 82" xfId="6851"/>
    <cellStyle name="연결된 셀 2 83" xfId="6852"/>
    <cellStyle name="연결된 셀 2 84" xfId="6853"/>
    <cellStyle name="연결된 셀 2 85" xfId="6854"/>
    <cellStyle name="연결된 셀 2 86" xfId="6855"/>
    <cellStyle name="연결된 셀 2 87" xfId="6856"/>
    <cellStyle name="연결된 셀 2 88" xfId="6857"/>
    <cellStyle name="연결된 셀 2 89" xfId="6858"/>
    <cellStyle name="연결된 셀 2 9" xfId="6859"/>
    <cellStyle name="연결된 셀 2 90" xfId="6860"/>
    <cellStyle name="연결된 셀 2 91" xfId="6861"/>
    <cellStyle name="연결된 셀 2 92" xfId="6862"/>
    <cellStyle name="연결된 셀 2 93" xfId="6863"/>
    <cellStyle name="연결된 셀 2 94" xfId="6864"/>
    <cellStyle name="연결된 셀 2 95" xfId="6865"/>
    <cellStyle name="연결된 셀 2 96" xfId="6866"/>
    <cellStyle name="연결된 셀 2 97" xfId="6867"/>
    <cellStyle name="연결된 셀 2 98" xfId="6868"/>
    <cellStyle name="연결된 셀 2 99" xfId="6869"/>
    <cellStyle name="연결된 셀 20" xfId="6870"/>
    <cellStyle name="연결된 셀 21" xfId="6871"/>
    <cellStyle name="연결된 셀 22" xfId="6872"/>
    <cellStyle name="연결된 셀 23" xfId="6873"/>
    <cellStyle name="연결된 셀 24" xfId="6874"/>
    <cellStyle name="연결된 셀 25" xfId="6875"/>
    <cellStyle name="연결된 셀 26" xfId="6876"/>
    <cellStyle name="연결된 셀 27" xfId="6877"/>
    <cellStyle name="연결된 셀 28" xfId="6878"/>
    <cellStyle name="연결된 셀 29" xfId="6879"/>
    <cellStyle name="연결된 셀 3" xfId="381"/>
    <cellStyle name="연결된 셀 30" xfId="6880"/>
    <cellStyle name="연결된 셀 31" xfId="6881"/>
    <cellStyle name="연결된 셀 32" xfId="6882"/>
    <cellStyle name="연결된 셀 33" xfId="6883"/>
    <cellStyle name="연결된 셀 34" xfId="6884"/>
    <cellStyle name="연결된 셀 35" xfId="6885"/>
    <cellStyle name="연결된 셀 36" xfId="6886"/>
    <cellStyle name="연결된 셀 37" xfId="6887"/>
    <cellStyle name="연결된 셀 38" xfId="6888"/>
    <cellStyle name="연결된 셀 39" xfId="6889"/>
    <cellStyle name="연결된 셀 4" xfId="11719" hidden="1"/>
    <cellStyle name="연결된 셀 4" xfId="11765" hidden="1"/>
    <cellStyle name="연결된 셀 4" xfId="11811" hidden="1"/>
    <cellStyle name="연결된 셀 4" xfId="11857" hidden="1"/>
    <cellStyle name="연결된 셀 4" xfId="11903" hidden="1"/>
    <cellStyle name="연결된 셀 4" xfId="11949" hidden="1"/>
    <cellStyle name="연결된 셀 4" xfId="11995" hidden="1"/>
    <cellStyle name="연결된 셀 4" xfId="12041" hidden="1"/>
    <cellStyle name="연결된 셀 4" xfId="12087" hidden="1"/>
    <cellStyle name="연결된 셀 4" xfId="12133" hidden="1"/>
    <cellStyle name="연결된 셀 4" xfId="12179" hidden="1"/>
    <cellStyle name="연결된 셀 4" xfId="12225" hidden="1"/>
    <cellStyle name="연결된 셀 4" xfId="12315" hidden="1"/>
    <cellStyle name="연결된 셀 4" xfId="12355" hidden="1"/>
    <cellStyle name="연결된 셀 4" xfId="12397" hidden="1"/>
    <cellStyle name="연결된 셀 4" xfId="12439" hidden="1"/>
    <cellStyle name="연결된 셀 4" xfId="12481" hidden="1"/>
    <cellStyle name="연결된 셀 4" xfId="12523" hidden="1"/>
    <cellStyle name="연결된 셀 4" xfId="12565" hidden="1"/>
    <cellStyle name="연결된 셀 4" xfId="12607" hidden="1"/>
    <cellStyle name="연결된 셀 4" xfId="12649" hidden="1"/>
    <cellStyle name="연결된 셀 4" xfId="12691" hidden="1"/>
    <cellStyle name="연결된 셀 4" xfId="12733" hidden="1"/>
    <cellStyle name="연결된 셀 4" xfId="12775" hidden="1"/>
    <cellStyle name="연결된 셀 4" xfId="12269" hidden="1"/>
    <cellStyle name="연결된 셀 4" xfId="12958" hidden="1"/>
    <cellStyle name="연결된 셀 4" xfId="12998" hidden="1"/>
    <cellStyle name="연결된 셀 4" xfId="13038" hidden="1"/>
    <cellStyle name="연결된 셀 4" xfId="13078" hidden="1"/>
    <cellStyle name="연결된 셀 4" xfId="13118" hidden="1"/>
    <cellStyle name="연결된 셀 4" xfId="13158" hidden="1"/>
    <cellStyle name="연결된 셀 4" xfId="13198" hidden="1"/>
    <cellStyle name="연결된 셀 4" xfId="13238" hidden="1"/>
    <cellStyle name="연결된 셀 4" xfId="13278" hidden="1"/>
    <cellStyle name="연결된 셀 4" xfId="13318" hidden="1"/>
    <cellStyle name="연결된 셀 4" xfId="13358" hidden="1"/>
    <cellStyle name="연결된 셀 4" xfId="13398" hidden="1"/>
    <cellStyle name="연결된 셀 4" xfId="12876" hidden="1"/>
    <cellStyle name="연결된 셀 4" xfId="12837" hidden="1"/>
    <cellStyle name="연결된 셀 4" xfId="13439" hidden="1"/>
    <cellStyle name="연결된 셀 4" xfId="13481" hidden="1"/>
    <cellStyle name="연결된 셀 4" xfId="13523" hidden="1"/>
    <cellStyle name="연결된 셀 4" xfId="13565" hidden="1"/>
    <cellStyle name="연결된 셀 4" xfId="13607" hidden="1"/>
    <cellStyle name="연결된 셀 4" xfId="13649" hidden="1"/>
    <cellStyle name="연결된 셀 4" xfId="13691" hidden="1"/>
    <cellStyle name="연결된 셀 4" xfId="13733" hidden="1"/>
    <cellStyle name="연결된 셀 4" xfId="13775" hidden="1"/>
    <cellStyle name="연결된 셀 4" xfId="13817" hidden="1"/>
    <cellStyle name="연결된 셀 4" xfId="12931" hidden="1"/>
    <cellStyle name="연결된 셀 4" xfId="12891" hidden="1"/>
    <cellStyle name="연결된 셀 4" xfId="13886" hidden="1"/>
    <cellStyle name="연결된 셀 4" xfId="13926" hidden="1"/>
    <cellStyle name="연결된 셀 4" xfId="13966" hidden="1"/>
    <cellStyle name="연결된 셀 4" xfId="14006" hidden="1"/>
    <cellStyle name="연결된 셀 4" xfId="14046" hidden="1"/>
    <cellStyle name="연결된 셀 4" xfId="14086" hidden="1"/>
    <cellStyle name="연결된 셀 4" xfId="14126" hidden="1"/>
    <cellStyle name="연결된 셀 4" xfId="14166" hidden="1"/>
    <cellStyle name="연결된 셀 4" xfId="14206" hidden="1"/>
    <cellStyle name="연결된 셀 4" xfId="14246" hidden="1"/>
    <cellStyle name="연결된 셀 4" xfId="14286" hidden="1"/>
    <cellStyle name="연결된 셀 4" xfId="14392" hidden="1"/>
    <cellStyle name="연결된 셀 4" xfId="14432" hidden="1"/>
    <cellStyle name="연결된 셀 4" xfId="14472" hidden="1"/>
    <cellStyle name="연결된 셀 4" xfId="14512" hidden="1"/>
    <cellStyle name="연결된 셀 4" xfId="14552" hidden="1"/>
    <cellStyle name="연결된 셀 4" xfId="14592" hidden="1"/>
    <cellStyle name="연결된 셀 4" xfId="14632" hidden="1"/>
    <cellStyle name="연결된 셀 4" xfId="14672" hidden="1"/>
    <cellStyle name="연결된 셀 4" xfId="14712" hidden="1"/>
    <cellStyle name="연결된 셀 4" xfId="14752" hidden="1"/>
    <cellStyle name="연결된 셀 4" xfId="14792" hidden="1"/>
    <cellStyle name="연결된 셀 4" xfId="14832" hidden="1"/>
    <cellStyle name="연결된 셀 4" xfId="14916" hidden="1"/>
    <cellStyle name="연결된 셀 4" xfId="14956" hidden="1"/>
    <cellStyle name="연결된 셀 4" xfId="14998" hidden="1"/>
    <cellStyle name="연결된 셀 4" xfId="15040" hidden="1"/>
    <cellStyle name="연결된 셀 4" xfId="15082" hidden="1"/>
    <cellStyle name="연결된 셀 4" xfId="15124" hidden="1"/>
    <cellStyle name="연결된 셀 4" xfId="15166" hidden="1"/>
    <cellStyle name="연결된 셀 4" xfId="15208" hidden="1"/>
    <cellStyle name="연결된 셀 4" xfId="15250" hidden="1"/>
    <cellStyle name="연결된 셀 4" xfId="15292" hidden="1"/>
    <cellStyle name="연결된 셀 4" xfId="15334" hidden="1"/>
    <cellStyle name="연결된 셀 4" xfId="15376" hidden="1"/>
    <cellStyle name="연결된 셀 4" xfId="14872" hidden="1"/>
    <cellStyle name="연결된 셀 4" xfId="15556" hidden="1"/>
    <cellStyle name="연결된 셀 4" xfId="15596" hidden="1"/>
    <cellStyle name="연결된 셀 4" xfId="15636" hidden="1"/>
    <cellStyle name="연결된 셀 4" xfId="15676" hidden="1"/>
    <cellStyle name="연결된 셀 4" xfId="15716" hidden="1"/>
    <cellStyle name="연결된 셀 4" xfId="15756" hidden="1"/>
    <cellStyle name="연결된 셀 4" xfId="15796" hidden="1"/>
    <cellStyle name="연결된 셀 4" xfId="15836" hidden="1"/>
    <cellStyle name="연결된 셀 4" xfId="15876" hidden="1"/>
    <cellStyle name="연결된 셀 4" xfId="15916" hidden="1"/>
    <cellStyle name="연결된 셀 4" xfId="15956" hidden="1"/>
    <cellStyle name="연결된 셀 4" xfId="15996" hidden="1"/>
    <cellStyle name="연결된 셀 4" xfId="15476" hidden="1"/>
    <cellStyle name="연결된 셀 4" xfId="15437" hidden="1"/>
    <cellStyle name="연결된 셀 4" xfId="16037" hidden="1"/>
    <cellStyle name="연결된 셀 4" xfId="16079" hidden="1"/>
    <cellStyle name="연결된 셀 4" xfId="16121" hidden="1"/>
    <cellStyle name="연결된 셀 4" xfId="16163" hidden="1"/>
    <cellStyle name="연결된 셀 4" xfId="16205" hidden="1"/>
    <cellStyle name="연결된 셀 4" xfId="16247" hidden="1"/>
    <cellStyle name="연결된 셀 4" xfId="16289" hidden="1"/>
    <cellStyle name="연결된 셀 4" xfId="16331" hidden="1"/>
    <cellStyle name="연결된 셀 4" xfId="16373" hidden="1"/>
    <cellStyle name="연결된 셀 4" xfId="16415" hidden="1"/>
    <cellStyle name="연결된 셀 4" xfId="15530" hidden="1"/>
    <cellStyle name="연결된 셀 4" xfId="15490" hidden="1"/>
    <cellStyle name="연결된 셀 4" xfId="16484" hidden="1"/>
    <cellStyle name="연결된 셀 4" xfId="16524" hidden="1"/>
    <cellStyle name="연결된 셀 4" xfId="16564" hidden="1"/>
    <cellStyle name="연결된 셀 4" xfId="16604" hidden="1"/>
    <cellStyle name="연결된 셀 4" xfId="16644" hidden="1"/>
    <cellStyle name="연결된 셀 4" xfId="16684" hidden="1"/>
    <cellStyle name="연결된 셀 4" xfId="16724" hidden="1"/>
    <cellStyle name="연결된 셀 4" xfId="16764" hidden="1"/>
    <cellStyle name="연결된 셀 4" xfId="16804" hidden="1"/>
    <cellStyle name="연결된 셀 4" xfId="16844" hidden="1"/>
    <cellStyle name="연결된 셀 4" xfId="16884" hidden="1"/>
    <cellStyle name="연결된 셀 4" xfId="14333" hidden="1"/>
    <cellStyle name="연결된 셀 4" xfId="16935" hidden="1"/>
    <cellStyle name="연결된 셀 4" xfId="16976" hidden="1"/>
    <cellStyle name="연결된 셀 4" xfId="17016" hidden="1"/>
    <cellStyle name="연결된 셀 4" xfId="17056" hidden="1"/>
    <cellStyle name="연결된 셀 4" xfId="17096" hidden="1"/>
    <cellStyle name="연결된 셀 4" xfId="17136" hidden="1"/>
    <cellStyle name="연결된 셀 4" xfId="17176" hidden="1"/>
    <cellStyle name="연결된 셀 4" xfId="17216" hidden="1"/>
    <cellStyle name="연결된 셀 4" xfId="17256" hidden="1"/>
    <cellStyle name="연결된 셀 4" xfId="17296" hidden="1"/>
    <cellStyle name="연결된 셀 4" xfId="17336" hidden="1"/>
    <cellStyle name="연결된 셀 4" xfId="17420" hidden="1"/>
    <cellStyle name="연결된 셀 4" xfId="17460" hidden="1"/>
    <cellStyle name="연결된 셀 4" xfId="17502" hidden="1"/>
    <cellStyle name="연결된 셀 4" xfId="17544" hidden="1"/>
    <cellStyle name="연결된 셀 4" xfId="17586" hidden="1"/>
    <cellStyle name="연결된 셀 4" xfId="17628" hidden="1"/>
    <cellStyle name="연결된 셀 4" xfId="17670" hidden="1"/>
    <cellStyle name="연결된 셀 4" xfId="17712" hidden="1"/>
    <cellStyle name="연결된 셀 4" xfId="17754" hidden="1"/>
    <cellStyle name="연결된 셀 4" xfId="17796" hidden="1"/>
    <cellStyle name="연결된 셀 4" xfId="17838" hidden="1"/>
    <cellStyle name="연결된 셀 4" xfId="17880" hidden="1"/>
    <cellStyle name="연결된 셀 4" xfId="17376" hidden="1"/>
    <cellStyle name="연결된 셀 4" xfId="18060" hidden="1"/>
    <cellStyle name="연결된 셀 4" xfId="18100" hidden="1"/>
    <cellStyle name="연결된 셀 4" xfId="18140" hidden="1"/>
    <cellStyle name="연결된 셀 4" xfId="18180" hidden="1"/>
    <cellStyle name="연결된 셀 4" xfId="18220" hidden="1"/>
    <cellStyle name="연결된 셀 4" xfId="18260" hidden="1"/>
    <cellStyle name="연결된 셀 4" xfId="18300" hidden="1"/>
    <cellStyle name="연결된 셀 4" xfId="18340" hidden="1"/>
    <cellStyle name="연결된 셀 4" xfId="18380" hidden="1"/>
    <cellStyle name="연결된 셀 4" xfId="18420" hidden="1"/>
    <cellStyle name="연결된 셀 4" xfId="18460" hidden="1"/>
    <cellStyle name="연결된 셀 4" xfId="18500" hidden="1"/>
    <cellStyle name="연결된 셀 4" xfId="17980" hidden="1"/>
    <cellStyle name="연결된 셀 4" xfId="17941" hidden="1"/>
    <cellStyle name="연결된 셀 4" xfId="18541" hidden="1"/>
    <cellStyle name="연결된 셀 4" xfId="18583" hidden="1"/>
    <cellStyle name="연결된 셀 4" xfId="18625" hidden="1"/>
    <cellStyle name="연결된 셀 4" xfId="18667" hidden="1"/>
    <cellStyle name="연결된 셀 4" xfId="18709" hidden="1"/>
    <cellStyle name="연결된 셀 4" xfId="18751" hidden="1"/>
    <cellStyle name="연결된 셀 4" xfId="18793" hidden="1"/>
    <cellStyle name="연결된 셀 4" xfId="18835" hidden="1"/>
    <cellStyle name="연결된 셀 4" xfId="18877" hidden="1"/>
    <cellStyle name="연결된 셀 4" xfId="18919" hidden="1"/>
    <cellStyle name="연결된 셀 4" xfId="18034" hidden="1"/>
    <cellStyle name="연결된 셀 4" xfId="17994" hidden="1"/>
    <cellStyle name="연결된 셀 4" xfId="18988" hidden="1"/>
    <cellStyle name="연결된 셀 4" xfId="19028" hidden="1"/>
    <cellStyle name="연결된 셀 4" xfId="19068" hidden="1"/>
    <cellStyle name="연결된 셀 4" xfId="19108" hidden="1"/>
    <cellStyle name="연결된 셀 4" xfId="19148" hidden="1"/>
    <cellStyle name="연결된 셀 4" xfId="19188" hidden="1"/>
    <cellStyle name="연결된 셀 4" xfId="19228" hidden="1"/>
    <cellStyle name="연결된 셀 4" xfId="19268" hidden="1"/>
    <cellStyle name="연결된 셀 4" xfId="19308" hidden="1"/>
    <cellStyle name="연결된 셀 4" xfId="19348" hidden="1"/>
    <cellStyle name="연결된 셀 4" xfId="19388" hidden="1"/>
    <cellStyle name="연결된 셀 4" xfId="14359" hidden="1"/>
    <cellStyle name="연결된 셀 4" xfId="19438" hidden="1"/>
    <cellStyle name="연결된 셀 4" xfId="19478" hidden="1"/>
    <cellStyle name="연결된 셀 4" xfId="19518" hidden="1"/>
    <cellStyle name="연결된 셀 4" xfId="19558" hidden="1"/>
    <cellStyle name="연결된 셀 4" xfId="19598" hidden="1"/>
    <cellStyle name="연결된 셀 4" xfId="19638" hidden="1"/>
    <cellStyle name="연결된 셀 4" xfId="19678" hidden="1"/>
    <cellStyle name="연결된 셀 4" xfId="19718" hidden="1"/>
    <cellStyle name="연결된 셀 4" xfId="19758" hidden="1"/>
    <cellStyle name="연결된 셀 4" xfId="19798" hidden="1"/>
    <cellStyle name="연결된 셀 4" xfId="19838" hidden="1"/>
    <cellStyle name="연결된 셀 4" xfId="19922" hidden="1"/>
    <cellStyle name="연결된 셀 4" xfId="19962" hidden="1"/>
    <cellStyle name="연결된 셀 4" xfId="20004" hidden="1"/>
    <cellStyle name="연결된 셀 4" xfId="20046" hidden="1"/>
    <cellStyle name="연결된 셀 4" xfId="20088" hidden="1"/>
    <cellStyle name="연결된 셀 4" xfId="20130" hidden="1"/>
    <cellStyle name="연결된 셀 4" xfId="20172" hidden="1"/>
    <cellStyle name="연결된 셀 4" xfId="20214" hidden="1"/>
    <cellStyle name="연결된 셀 4" xfId="20256" hidden="1"/>
    <cellStyle name="연결된 셀 4" xfId="20298" hidden="1"/>
    <cellStyle name="연결된 셀 4" xfId="20340" hidden="1"/>
    <cellStyle name="연결된 셀 4" xfId="20382" hidden="1"/>
    <cellStyle name="연결된 셀 4" xfId="19878" hidden="1"/>
    <cellStyle name="연결된 셀 4" xfId="20562" hidden="1"/>
    <cellStyle name="연결된 셀 4" xfId="20602" hidden="1"/>
    <cellStyle name="연결된 셀 4" xfId="20642" hidden="1"/>
    <cellStyle name="연결된 셀 4" xfId="20682" hidden="1"/>
    <cellStyle name="연결된 셀 4" xfId="20722" hidden="1"/>
    <cellStyle name="연결된 셀 4" xfId="20762" hidden="1"/>
    <cellStyle name="연결된 셀 4" xfId="20802" hidden="1"/>
    <cellStyle name="연결된 셀 4" xfId="20842" hidden="1"/>
    <cellStyle name="연결된 셀 4" xfId="20882" hidden="1"/>
    <cellStyle name="연결된 셀 4" xfId="20922" hidden="1"/>
    <cellStyle name="연결된 셀 4" xfId="20962" hidden="1"/>
    <cellStyle name="연결된 셀 4" xfId="21002" hidden="1"/>
    <cellStyle name="연결된 셀 4" xfId="20482" hidden="1"/>
    <cellStyle name="연결된 셀 4" xfId="20443" hidden="1"/>
    <cellStyle name="연결된 셀 4" xfId="21043" hidden="1"/>
    <cellStyle name="연결된 셀 4" xfId="21085" hidden="1"/>
    <cellStyle name="연결된 셀 4" xfId="21127" hidden="1"/>
    <cellStyle name="연결된 셀 4" xfId="21169" hidden="1"/>
    <cellStyle name="연결된 셀 4" xfId="21211" hidden="1"/>
    <cellStyle name="연결된 셀 4" xfId="21253" hidden="1"/>
    <cellStyle name="연결된 셀 4" xfId="21295" hidden="1"/>
    <cellStyle name="연결된 셀 4" xfId="21337" hidden="1"/>
    <cellStyle name="연결된 셀 4" xfId="21379" hidden="1"/>
    <cellStyle name="연결된 셀 4" xfId="21421" hidden="1"/>
    <cellStyle name="연결된 셀 4" xfId="20536" hidden="1"/>
    <cellStyle name="연결된 셀 4" xfId="20496" hidden="1"/>
    <cellStyle name="연결된 셀 4" xfId="21490" hidden="1"/>
    <cellStyle name="연결된 셀 4" xfId="21530" hidden="1"/>
    <cellStyle name="연결된 셀 4" xfId="21570" hidden="1"/>
    <cellStyle name="연결된 셀 4" xfId="21610" hidden="1"/>
    <cellStyle name="연결된 셀 4" xfId="21650" hidden="1"/>
    <cellStyle name="연결된 셀 4" xfId="21690" hidden="1"/>
    <cellStyle name="연결된 셀 4" xfId="21730" hidden="1"/>
    <cellStyle name="연결된 셀 4" xfId="21770" hidden="1"/>
    <cellStyle name="연결된 셀 4" xfId="21810" hidden="1"/>
    <cellStyle name="연결된 셀 4" xfId="21850" hidden="1"/>
    <cellStyle name="연결된 셀 4" xfId="21890" hidden="1"/>
    <cellStyle name="연결된 셀 4" xfId="21958" hidden="1"/>
    <cellStyle name="연결된 셀 4" xfId="21998" hidden="1"/>
    <cellStyle name="연결된 셀 4" xfId="22038" hidden="1"/>
    <cellStyle name="연결된 셀 4" xfId="22078" hidden="1"/>
    <cellStyle name="연결된 셀 4" xfId="22118" hidden="1"/>
    <cellStyle name="연결된 셀 4" xfId="22158" hidden="1"/>
    <cellStyle name="연결된 셀 4" xfId="22198" hidden="1"/>
    <cellStyle name="연결된 셀 4" xfId="22238" hidden="1"/>
    <cellStyle name="연결된 셀 4" xfId="22278" hidden="1"/>
    <cellStyle name="연결된 셀 4" xfId="22318" hidden="1"/>
    <cellStyle name="연결된 셀 4" xfId="22358" hidden="1"/>
    <cellStyle name="연결된 셀 4" xfId="22398" hidden="1"/>
    <cellStyle name="연결된 셀 4" xfId="22482" hidden="1"/>
    <cellStyle name="연결된 셀 4" xfId="22522" hidden="1"/>
    <cellStyle name="연결된 셀 4" xfId="22564" hidden="1"/>
    <cellStyle name="연결된 셀 4" xfId="22606" hidden="1"/>
    <cellStyle name="연결된 셀 4" xfId="22648" hidden="1"/>
    <cellStyle name="연결된 셀 4" xfId="22690" hidden="1"/>
    <cellStyle name="연결된 셀 4" xfId="22732" hidden="1"/>
    <cellStyle name="연결된 셀 4" xfId="22774" hidden="1"/>
    <cellStyle name="연결된 셀 4" xfId="22816" hidden="1"/>
    <cellStyle name="연결된 셀 4" xfId="22858" hidden="1"/>
    <cellStyle name="연결된 셀 4" xfId="22900" hidden="1"/>
    <cellStyle name="연결된 셀 4" xfId="22942" hidden="1"/>
    <cellStyle name="연결된 셀 4" xfId="22438" hidden="1"/>
    <cellStyle name="연결된 셀 4" xfId="23122" hidden="1"/>
    <cellStyle name="연결된 셀 4" xfId="23162" hidden="1"/>
    <cellStyle name="연결된 셀 4" xfId="23202" hidden="1"/>
    <cellStyle name="연결된 셀 4" xfId="23242" hidden="1"/>
    <cellStyle name="연결된 셀 4" xfId="23282" hidden="1"/>
    <cellStyle name="연결된 셀 4" xfId="23322" hidden="1"/>
    <cellStyle name="연결된 셀 4" xfId="23362" hidden="1"/>
    <cellStyle name="연결된 셀 4" xfId="23402" hidden="1"/>
    <cellStyle name="연결된 셀 4" xfId="23442" hidden="1"/>
    <cellStyle name="연결된 셀 4" xfId="23482" hidden="1"/>
    <cellStyle name="연결된 셀 4" xfId="23522" hidden="1"/>
    <cellStyle name="연결된 셀 4" xfId="23562" hidden="1"/>
    <cellStyle name="연결된 셀 4" xfId="23042" hidden="1"/>
    <cellStyle name="연결된 셀 4" xfId="23003" hidden="1"/>
    <cellStyle name="연결된 셀 4" xfId="23603" hidden="1"/>
    <cellStyle name="연결된 셀 4" xfId="23645" hidden="1"/>
    <cellStyle name="연결된 셀 4" xfId="23687" hidden="1"/>
    <cellStyle name="연결된 셀 4" xfId="23729" hidden="1"/>
    <cellStyle name="연결된 셀 4" xfId="23771" hidden="1"/>
    <cellStyle name="연결된 셀 4" xfId="23813" hidden="1"/>
    <cellStyle name="연결된 셀 4" xfId="23855" hidden="1"/>
    <cellStyle name="연결된 셀 4" xfId="23897" hidden="1"/>
    <cellStyle name="연결된 셀 4" xfId="23939" hidden="1"/>
    <cellStyle name="연결된 셀 4" xfId="23981" hidden="1"/>
    <cellStyle name="연결된 셀 4" xfId="23096" hidden="1"/>
    <cellStyle name="연결된 셀 4" xfId="23056" hidden="1"/>
    <cellStyle name="연결된 셀 4" xfId="24050" hidden="1"/>
    <cellStyle name="연결된 셀 4" xfId="24090" hidden="1"/>
    <cellStyle name="연결된 셀 4" xfId="24130" hidden="1"/>
    <cellStyle name="연결된 셀 4" xfId="24170" hidden="1"/>
    <cellStyle name="연결된 셀 4" xfId="24210" hidden="1"/>
    <cellStyle name="연결된 셀 4" xfId="24250" hidden="1"/>
    <cellStyle name="연결된 셀 4" xfId="24290" hidden="1"/>
    <cellStyle name="연결된 셀 4" xfId="24330" hidden="1"/>
    <cellStyle name="연결된 셀 4" xfId="24370" hidden="1"/>
    <cellStyle name="연결된 셀 4" xfId="24410" hidden="1"/>
    <cellStyle name="연결된 셀 4" xfId="24450" hidden="1"/>
    <cellStyle name="연결된 셀 4" xfId="24548" hidden="1"/>
    <cellStyle name="연결된 셀 4" xfId="24588" hidden="1"/>
    <cellStyle name="연결된 셀 4" xfId="24629" hidden="1"/>
    <cellStyle name="연결된 셀 4" xfId="24671" hidden="1"/>
    <cellStyle name="연결된 셀 4" xfId="24711" hidden="1"/>
    <cellStyle name="연결된 셀 4" xfId="24751" hidden="1"/>
    <cellStyle name="연결된 셀 4" xfId="24791" hidden="1"/>
    <cellStyle name="연결된 셀 4" xfId="24831" hidden="1"/>
    <cellStyle name="연결된 셀 4" xfId="24871" hidden="1"/>
    <cellStyle name="연결된 셀 4" xfId="24911" hidden="1"/>
    <cellStyle name="연결된 셀 4" xfId="24951" hidden="1"/>
    <cellStyle name="연결된 셀 4" xfId="24991" hidden="1"/>
    <cellStyle name="연결된 셀 4" xfId="25075" hidden="1"/>
    <cellStyle name="연결된 셀 4" xfId="25115" hidden="1"/>
    <cellStyle name="연결된 셀 4" xfId="25157" hidden="1"/>
    <cellStyle name="연결된 셀 4" xfId="25199" hidden="1"/>
    <cellStyle name="연결된 셀 4" xfId="25241" hidden="1"/>
    <cellStyle name="연결된 셀 4" xfId="25283" hidden="1"/>
    <cellStyle name="연결된 셀 4" xfId="25325" hidden="1"/>
    <cellStyle name="연결된 셀 4" xfId="25367" hidden="1"/>
    <cellStyle name="연결된 셀 4" xfId="25409" hidden="1"/>
    <cellStyle name="연결된 셀 4" xfId="25451" hidden="1"/>
    <cellStyle name="연결된 셀 4" xfId="25493" hidden="1"/>
    <cellStyle name="연결된 셀 4" xfId="25535" hidden="1"/>
    <cellStyle name="연결된 셀 4" xfId="25031" hidden="1"/>
    <cellStyle name="연결된 셀 4" xfId="25715" hidden="1"/>
    <cellStyle name="연결된 셀 4" xfId="25755" hidden="1"/>
    <cellStyle name="연결된 셀 4" xfId="25795" hidden="1"/>
    <cellStyle name="연결된 셀 4" xfId="25835" hidden="1"/>
    <cellStyle name="연결된 셀 4" xfId="25875" hidden="1"/>
    <cellStyle name="연결된 셀 4" xfId="25915" hidden="1"/>
    <cellStyle name="연결된 셀 4" xfId="25955" hidden="1"/>
    <cellStyle name="연결된 셀 4" xfId="25995" hidden="1"/>
    <cellStyle name="연결된 셀 4" xfId="26035" hidden="1"/>
    <cellStyle name="연결된 셀 4" xfId="26075" hidden="1"/>
    <cellStyle name="연결된 셀 4" xfId="26115" hidden="1"/>
    <cellStyle name="연결된 셀 4" xfId="26155" hidden="1"/>
    <cellStyle name="연결된 셀 4" xfId="25635" hidden="1"/>
    <cellStyle name="연결된 셀 4" xfId="25596" hidden="1"/>
    <cellStyle name="연결된 셀 4" xfId="26196" hidden="1"/>
    <cellStyle name="연결된 셀 4" xfId="26238" hidden="1"/>
    <cellStyle name="연결된 셀 4" xfId="26280" hidden="1"/>
    <cellStyle name="연결된 셀 4" xfId="26322" hidden="1"/>
    <cellStyle name="연결된 셀 4" xfId="26364" hidden="1"/>
    <cellStyle name="연결된 셀 4" xfId="26406" hidden="1"/>
    <cellStyle name="연결된 셀 4" xfId="26448" hidden="1"/>
    <cellStyle name="연결된 셀 4" xfId="26490" hidden="1"/>
    <cellStyle name="연결된 셀 4" xfId="26532" hidden="1"/>
    <cellStyle name="연결된 셀 4" xfId="26574" hidden="1"/>
    <cellStyle name="연결된 셀 4" xfId="25689" hidden="1"/>
    <cellStyle name="연결된 셀 4" xfId="25649" hidden="1"/>
    <cellStyle name="연결된 셀 4" xfId="26643" hidden="1"/>
    <cellStyle name="연결된 셀 4" xfId="26683" hidden="1"/>
    <cellStyle name="연결된 셀 4" xfId="26723" hidden="1"/>
    <cellStyle name="연결된 셀 4" xfId="26763" hidden="1"/>
    <cellStyle name="연결된 셀 4" xfId="26803" hidden="1"/>
    <cellStyle name="연결된 셀 4" xfId="26843" hidden="1"/>
    <cellStyle name="연결된 셀 4" xfId="26883" hidden="1"/>
    <cellStyle name="연결된 셀 4" xfId="26923" hidden="1"/>
    <cellStyle name="연결된 셀 4" xfId="26963" hidden="1"/>
    <cellStyle name="연결된 셀 4" xfId="27003" hidden="1"/>
    <cellStyle name="연결된 셀 4" xfId="27043" hidden="1"/>
    <cellStyle name="연결된 셀 4" xfId="24495" hidden="1"/>
    <cellStyle name="연결된 셀 4" xfId="27094" hidden="1"/>
    <cellStyle name="연결된 셀 4" xfId="27134" hidden="1"/>
    <cellStyle name="연결된 셀 4" xfId="27174" hidden="1"/>
    <cellStyle name="연결된 셀 4" xfId="27214" hidden="1"/>
    <cellStyle name="연결된 셀 4" xfId="27254" hidden="1"/>
    <cellStyle name="연결된 셀 4" xfId="27294" hidden="1"/>
    <cellStyle name="연결된 셀 4" xfId="27334" hidden="1"/>
    <cellStyle name="연결된 셀 4" xfId="27374" hidden="1"/>
    <cellStyle name="연결된 셀 4" xfId="27414" hidden="1"/>
    <cellStyle name="연결된 셀 4" xfId="27454" hidden="1"/>
    <cellStyle name="연결된 셀 4" xfId="27494" hidden="1"/>
    <cellStyle name="연결된 셀 4" xfId="27578" hidden="1"/>
    <cellStyle name="연결된 셀 4" xfId="27618" hidden="1"/>
    <cellStyle name="연결된 셀 4" xfId="27660" hidden="1"/>
    <cellStyle name="연결된 셀 4" xfId="27702" hidden="1"/>
    <cellStyle name="연결된 셀 4" xfId="27744" hidden="1"/>
    <cellStyle name="연결된 셀 4" xfId="27786" hidden="1"/>
    <cellStyle name="연결된 셀 4" xfId="27828" hidden="1"/>
    <cellStyle name="연결된 셀 4" xfId="27870" hidden="1"/>
    <cellStyle name="연결된 셀 4" xfId="27912" hidden="1"/>
    <cellStyle name="연결된 셀 4" xfId="27954" hidden="1"/>
    <cellStyle name="연결된 셀 4" xfId="27996" hidden="1"/>
    <cellStyle name="연결된 셀 4" xfId="28038" hidden="1"/>
    <cellStyle name="연결된 셀 4" xfId="27534" hidden="1"/>
    <cellStyle name="연결된 셀 4" xfId="28218" hidden="1"/>
    <cellStyle name="연결된 셀 4" xfId="28258" hidden="1"/>
    <cellStyle name="연결된 셀 4" xfId="28298" hidden="1"/>
    <cellStyle name="연결된 셀 4" xfId="28338" hidden="1"/>
    <cellStyle name="연결된 셀 4" xfId="28378" hidden="1"/>
    <cellStyle name="연결된 셀 4" xfId="28418" hidden="1"/>
    <cellStyle name="연결된 셀 4" xfId="28458" hidden="1"/>
    <cellStyle name="연결된 셀 4" xfId="28498" hidden="1"/>
    <cellStyle name="연결된 셀 4" xfId="28538" hidden="1"/>
    <cellStyle name="연결된 셀 4" xfId="28578" hidden="1"/>
    <cellStyle name="연결된 셀 4" xfId="28618" hidden="1"/>
    <cellStyle name="연결된 셀 4" xfId="28658" hidden="1"/>
    <cellStyle name="연결된 셀 4" xfId="28138" hidden="1"/>
    <cellStyle name="연결된 셀 4" xfId="28099" hidden="1"/>
    <cellStyle name="연결된 셀 4" xfId="28699" hidden="1"/>
    <cellStyle name="연결된 셀 4" xfId="28741" hidden="1"/>
    <cellStyle name="연결된 셀 4" xfId="28783" hidden="1"/>
    <cellStyle name="연결된 셀 4" xfId="28825" hidden="1"/>
    <cellStyle name="연결된 셀 4" xfId="28867" hidden="1"/>
    <cellStyle name="연결된 셀 4" xfId="28909" hidden="1"/>
    <cellStyle name="연결된 셀 4" xfId="28951" hidden="1"/>
    <cellStyle name="연결된 셀 4" xfId="28993" hidden="1"/>
    <cellStyle name="연결된 셀 4" xfId="29035" hidden="1"/>
    <cellStyle name="연결된 셀 4" xfId="29077" hidden="1"/>
    <cellStyle name="연결된 셀 4" xfId="28192" hidden="1"/>
    <cellStyle name="연결된 셀 4" xfId="28152" hidden="1"/>
    <cellStyle name="연결된 셀 4" xfId="29146" hidden="1"/>
    <cellStyle name="연결된 셀 4" xfId="29186" hidden="1"/>
    <cellStyle name="연결된 셀 4" xfId="29226" hidden="1"/>
    <cellStyle name="연결된 셀 4" xfId="29266" hidden="1"/>
    <cellStyle name="연결된 셀 4" xfId="29306" hidden="1"/>
    <cellStyle name="연결된 셀 4" xfId="29346" hidden="1"/>
    <cellStyle name="연결된 셀 4" xfId="29386" hidden="1"/>
    <cellStyle name="연결된 셀 4" xfId="29426" hidden="1"/>
    <cellStyle name="연결된 셀 4" xfId="29466" hidden="1"/>
    <cellStyle name="연결된 셀 4" xfId="29506" hidden="1"/>
    <cellStyle name="연결된 셀 4" xfId="29546" hidden="1"/>
    <cellStyle name="연결된 셀 4" xfId="24517" hidden="1"/>
    <cellStyle name="연결된 셀 4" xfId="29596" hidden="1"/>
    <cellStyle name="연결된 셀 4" xfId="29636" hidden="1"/>
    <cellStyle name="연결된 셀 4" xfId="29676" hidden="1"/>
    <cellStyle name="연결된 셀 4" xfId="29716" hidden="1"/>
    <cellStyle name="연결된 셀 4" xfId="29756" hidden="1"/>
    <cellStyle name="연결된 셀 4" xfId="29796" hidden="1"/>
    <cellStyle name="연결된 셀 4" xfId="29836" hidden="1"/>
    <cellStyle name="연결된 셀 4" xfId="29876" hidden="1"/>
    <cellStyle name="연결된 셀 4" xfId="29916" hidden="1"/>
    <cellStyle name="연결된 셀 4" xfId="29956" hidden="1"/>
    <cellStyle name="연결된 셀 4" xfId="29996" hidden="1"/>
    <cellStyle name="연결된 셀 4" xfId="30080" hidden="1"/>
    <cellStyle name="연결된 셀 4" xfId="30120" hidden="1"/>
    <cellStyle name="연결된 셀 4" xfId="30162" hidden="1"/>
    <cellStyle name="연결된 셀 4" xfId="30204" hidden="1"/>
    <cellStyle name="연결된 셀 4" xfId="30246" hidden="1"/>
    <cellStyle name="연결된 셀 4" xfId="30288" hidden="1"/>
    <cellStyle name="연결된 셀 4" xfId="30330" hidden="1"/>
    <cellStyle name="연결된 셀 4" xfId="30372" hidden="1"/>
    <cellStyle name="연결된 셀 4" xfId="30414" hidden="1"/>
    <cellStyle name="연결된 셀 4" xfId="30456" hidden="1"/>
    <cellStyle name="연결된 셀 4" xfId="30498" hidden="1"/>
    <cellStyle name="연결된 셀 4" xfId="30540" hidden="1"/>
    <cellStyle name="연결된 셀 4" xfId="30036" hidden="1"/>
    <cellStyle name="연결된 셀 4" xfId="30720" hidden="1"/>
    <cellStyle name="연결된 셀 4" xfId="30760" hidden="1"/>
    <cellStyle name="연결된 셀 4" xfId="30800" hidden="1"/>
    <cellStyle name="연결된 셀 4" xfId="30840" hidden="1"/>
    <cellStyle name="연결된 셀 4" xfId="30880" hidden="1"/>
    <cellStyle name="연결된 셀 4" xfId="30920" hidden="1"/>
    <cellStyle name="연결된 셀 4" xfId="30960" hidden="1"/>
    <cellStyle name="연결된 셀 4" xfId="31000" hidden="1"/>
    <cellStyle name="연결된 셀 4" xfId="31040" hidden="1"/>
    <cellStyle name="연결된 셀 4" xfId="31080" hidden="1"/>
    <cellStyle name="연결된 셀 4" xfId="31120" hidden="1"/>
    <cellStyle name="연결된 셀 4" xfId="31160" hidden="1"/>
    <cellStyle name="연결된 셀 4" xfId="30640" hidden="1"/>
    <cellStyle name="연결된 셀 4" xfId="30601" hidden="1"/>
    <cellStyle name="연결된 셀 4" xfId="31201" hidden="1"/>
    <cellStyle name="연결된 셀 4" xfId="31243" hidden="1"/>
    <cellStyle name="연결된 셀 4" xfId="31285" hidden="1"/>
    <cellStyle name="연결된 셀 4" xfId="31327" hidden="1"/>
    <cellStyle name="연결된 셀 4" xfId="31369" hidden="1"/>
    <cellStyle name="연결된 셀 4" xfId="31411" hidden="1"/>
    <cellStyle name="연결된 셀 4" xfId="31453" hidden="1"/>
    <cellStyle name="연결된 셀 4" xfId="31495" hidden="1"/>
    <cellStyle name="연결된 셀 4" xfId="31537" hidden="1"/>
    <cellStyle name="연결된 셀 4" xfId="31579" hidden="1"/>
    <cellStyle name="연결된 셀 4" xfId="30694" hidden="1"/>
    <cellStyle name="연결된 셀 4" xfId="30654" hidden="1"/>
    <cellStyle name="연결된 셀 4" xfId="31648" hidden="1"/>
    <cellStyle name="연결된 셀 4" xfId="31688" hidden="1"/>
    <cellStyle name="연결된 셀 4" xfId="31728" hidden="1"/>
    <cellStyle name="연결된 셀 4" xfId="31768" hidden="1"/>
    <cellStyle name="연결된 셀 4" xfId="31808" hidden="1"/>
    <cellStyle name="연결된 셀 4" xfId="31848" hidden="1"/>
    <cellStyle name="연결된 셀 4" xfId="31888" hidden="1"/>
    <cellStyle name="연결된 셀 4" xfId="31928" hidden="1"/>
    <cellStyle name="연결된 셀 4" xfId="31968" hidden="1"/>
    <cellStyle name="연결된 셀 4" xfId="32008" hidden="1"/>
    <cellStyle name="연결된 셀 4" xfId="32048" hidden="1"/>
    <cellStyle name="연결된 셀 4" xfId="32110" hidden="1"/>
    <cellStyle name="연결된 셀 4" xfId="32150" hidden="1"/>
    <cellStyle name="연결된 셀 4" xfId="32190" hidden="1"/>
    <cellStyle name="연결된 셀 4" xfId="32230" hidden="1"/>
    <cellStyle name="연결된 셀 4" xfId="32270" hidden="1"/>
    <cellStyle name="연결된 셀 4" xfId="32310" hidden="1"/>
    <cellStyle name="연결된 셀 4" xfId="32350" hidden="1"/>
    <cellStyle name="연결된 셀 4" xfId="32390" hidden="1"/>
    <cellStyle name="연결된 셀 4" xfId="32430" hidden="1"/>
    <cellStyle name="연결된 셀 4" xfId="32470" hidden="1"/>
    <cellStyle name="연결된 셀 4" xfId="32510" hidden="1"/>
    <cellStyle name="연결된 셀 4" xfId="32550" hidden="1"/>
    <cellStyle name="연결된 셀 4" xfId="32635" hidden="1"/>
    <cellStyle name="연결된 셀 4" xfId="32675" hidden="1"/>
    <cellStyle name="연결된 셀 4" xfId="32717" hidden="1"/>
    <cellStyle name="연결된 셀 4" xfId="32759" hidden="1"/>
    <cellStyle name="연결된 셀 4" xfId="32801" hidden="1"/>
    <cellStyle name="연결된 셀 4" xfId="32843" hidden="1"/>
    <cellStyle name="연결된 셀 4" xfId="32885" hidden="1"/>
    <cellStyle name="연결된 셀 4" xfId="32927" hidden="1"/>
    <cellStyle name="연결된 셀 4" xfId="32969" hidden="1"/>
    <cellStyle name="연결된 셀 4" xfId="33011" hidden="1"/>
    <cellStyle name="연결된 셀 4" xfId="33053" hidden="1"/>
    <cellStyle name="연결된 셀 4" xfId="33095" hidden="1"/>
    <cellStyle name="연결된 셀 4" xfId="32591" hidden="1"/>
    <cellStyle name="연결된 셀 4" xfId="33275" hidden="1"/>
    <cellStyle name="연결된 셀 4" xfId="33315" hidden="1"/>
    <cellStyle name="연결된 셀 4" xfId="33355" hidden="1"/>
    <cellStyle name="연결된 셀 4" xfId="33395" hidden="1"/>
    <cellStyle name="연결된 셀 4" xfId="33435" hidden="1"/>
    <cellStyle name="연결된 셀 4" xfId="33475" hidden="1"/>
    <cellStyle name="연결된 셀 4" xfId="33515" hidden="1"/>
    <cellStyle name="연결된 셀 4" xfId="33555" hidden="1"/>
    <cellStyle name="연결된 셀 4" xfId="33595" hidden="1"/>
    <cellStyle name="연결된 셀 4" xfId="33635" hidden="1"/>
    <cellStyle name="연결된 셀 4" xfId="33675" hidden="1"/>
    <cellStyle name="연결된 셀 4" xfId="33715" hidden="1"/>
    <cellStyle name="연결된 셀 4" xfId="33195" hidden="1"/>
    <cellStyle name="연결된 셀 4" xfId="33156" hidden="1"/>
    <cellStyle name="연결된 셀 4" xfId="33756" hidden="1"/>
    <cellStyle name="연결된 셀 4" xfId="33798" hidden="1"/>
    <cellStyle name="연결된 셀 4" xfId="33840" hidden="1"/>
    <cellStyle name="연결된 셀 4" xfId="33882" hidden="1"/>
    <cellStyle name="연결된 셀 4" xfId="33924" hidden="1"/>
    <cellStyle name="연결된 셀 4" xfId="33966" hidden="1"/>
    <cellStyle name="연결된 셀 4" xfId="34008" hidden="1"/>
    <cellStyle name="연결된 셀 4" xfId="34050" hidden="1"/>
    <cellStyle name="연결된 셀 4" xfId="34092" hidden="1"/>
    <cellStyle name="연결된 셀 4" xfId="34134" hidden="1"/>
    <cellStyle name="연결된 셀 4" xfId="33249" hidden="1"/>
    <cellStyle name="연결된 셀 4" xfId="33209" hidden="1"/>
    <cellStyle name="연결된 셀 4" xfId="34203" hidden="1"/>
    <cellStyle name="연결된 셀 4" xfId="34243" hidden="1"/>
    <cellStyle name="연결된 셀 4" xfId="34283" hidden="1"/>
    <cellStyle name="연결된 셀 4" xfId="34323" hidden="1"/>
    <cellStyle name="연결된 셀 4" xfId="34363" hidden="1"/>
    <cellStyle name="연결된 셀 4" xfId="34403" hidden="1"/>
    <cellStyle name="연결된 셀 4" xfId="34443" hidden="1"/>
    <cellStyle name="연결된 셀 4" xfId="34483" hidden="1"/>
    <cellStyle name="연결된 셀 4" xfId="34523" hidden="1"/>
    <cellStyle name="연결된 셀 4" xfId="34563" hidden="1"/>
    <cellStyle name="연결된 셀 4" xfId="34603" hidden="1"/>
    <cellStyle name="연결된 셀 4" xfId="34700" hidden="1"/>
    <cellStyle name="연결된 셀 4" xfId="34740" hidden="1"/>
    <cellStyle name="연결된 셀 4" xfId="34780" hidden="1"/>
    <cellStyle name="연결된 셀 4" xfId="34820" hidden="1"/>
    <cellStyle name="연결된 셀 4" xfId="34860" hidden="1"/>
    <cellStyle name="연결된 셀 4" xfId="34900" hidden="1"/>
    <cellStyle name="연결된 셀 4" xfId="34940" hidden="1"/>
    <cellStyle name="연결된 셀 4" xfId="34980" hidden="1"/>
    <cellStyle name="연결된 셀 4" xfId="35020" hidden="1"/>
    <cellStyle name="연결된 셀 4" xfId="35060" hidden="1"/>
    <cellStyle name="연결된 셀 4" xfId="35100" hidden="1"/>
    <cellStyle name="연결된 셀 4" xfId="35140" hidden="1"/>
    <cellStyle name="연결된 셀 4" xfId="35224" hidden="1"/>
    <cellStyle name="연결된 셀 4" xfId="35264" hidden="1"/>
    <cellStyle name="연결된 셀 4" xfId="35306" hidden="1"/>
    <cellStyle name="연결된 셀 4" xfId="35348" hidden="1"/>
    <cellStyle name="연결된 셀 4" xfId="35390" hidden="1"/>
    <cellStyle name="연결된 셀 4" xfId="35432" hidden="1"/>
    <cellStyle name="연결된 셀 4" xfId="35474" hidden="1"/>
    <cellStyle name="연결된 셀 4" xfId="35516" hidden="1"/>
    <cellStyle name="연결된 셀 4" xfId="35558" hidden="1"/>
    <cellStyle name="연결된 셀 4" xfId="35600" hidden="1"/>
    <cellStyle name="연결된 셀 4" xfId="35642" hidden="1"/>
    <cellStyle name="연결된 셀 4" xfId="35684" hidden="1"/>
    <cellStyle name="연결된 셀 4" xfId="35180" hidden="1"/>
    <cellStyle name="연결된 셀 4" xfId="35864" hidden="1"/>
    <cellStyle name="연결된 셀 4" xfId="35904" hidden="1"/>
    <cellStyle name="연결된 셀 4" xfId="35944" hidden="1"/>
    <cellStyle name="연결된 셀 4" xfId="35984" hidden="1"/>
    <cellStyle name="연결된 셀 4" xfId="36024" hidden="1"/>
    <cellStyle name="연결된 셀 4" xfId="36064" hidden="1"/>
    <cellStyle name="연결된 셀 4" xfId="36104" hidden="1"/>
    <cellStyle name="연결된 셀 4" xfId="36144" hidden="1"/>
    <cellStyle name="연결된 셀 4" xfId="36184" hidden="1"/>
    <cellStyle name="연결된 셀 4" xfId="36224" hidden="1"/>
    <cellStyle name="연결된 셀 4" xfId="36264" hidden="1"/>
    <cellStyle name="연결된 셀 4" xfId="36304" hidden="1"/>
    <cellStyle name="연결된 셀 4" xfId="35784" hidden="1"/>
    <cellStyle name="연결된 셀 4" xfId="35745" hidden="1"/>
    <cellStyle name="연결된 셀 4" xfId="36345" hidden="1"/>
    <cellStyle name="연결된 셀 4" xfId="36387" hidden="1"/>
    <cellStyle name="연결된 셀 4" xfId="36429" hidden="1"/>
    <cellStyle name="연결된 셀 4" xfId="36471" hidden="1"/>
    <cellStyle name="연결된 셀 4" xfId="36513" hidden="1"/>
    <cellStyle name="연결된 셀 4" xfId="36555" hidden="1"/>
    <cellStyle name="연결된 셀 4" xfId="36597" hidden="1"/>
    <cellStyle name="연결된 셀 4" xfId="36639" hidden="1"/>
    <cellStyle name="연결된 셀 4" xfId="36681" hidden="1"/>
    <cellStyle name="연결된 셀 4" xfId="36723" hidden="1"/>
    <cellStyle name="연결된 셀 4" xfId="35838" hidden="1"/>
    <cellStyle name="연결된 셀 4" xfId="35798" hidden="1"/>
    <cellStyle name="연결된 셀 4" xfId="36792" hidden="1"/>
    <cellStyle name="연결된 셀 4" xfId="36832" hidden="1"/>
    <cellStyle name="연결된 셀 4" xfId="36872" hidden="1"/>
    <cellStyle name="연결된 셀 4" xfId="36912" hidden="1"/>
    <cellStyle name="연결된 셀 4" xfId="36952" hidden="1"/>
    <cellStyle name="연결된 셀 4" xfId="36992" hidden="1"/>
    <cellStyle name="연결된 셀 4" xfId="37032" hidden="1"/>
    <cellStyle name="연결된 셀 4" xfId="37072" hidden="1"/>
    <cellStyle name="연결된 셀 4" xfId="37112" hidden="1"/>
    <cellStyle name="연결된 셀 4" xfId="37152" hidden="1"/>
    <cellStyle name="연결된 셀 4" xfId="37192" hidden="1"/>
    <cellStyle name="연결된 셀 4" xfId="34647" hidden="1"/>
    <cellStyle name="연결된 셀 4" xfId="37243" hidden="1"/>
    <cellStyle name="연결된 셀 4" xfId="37284" hidden="1"/>
    <cellStyle name="연결된 셀 4" xfId="37324" hidden="1"/>
    <cellStyle name="연결된 셀 4" xfId="37364" hidden="1"/>
    <cellStyle name="연결된 셀 4" xfId="37404" hidden="1"/>
    <cellStyle name="연결된 셀 4" xfId="37444" hidden="1"/>
    <cellStyle name="연결된 셀 4" xfId="37484" hidden="1"/>
    <cellStyle name="연결된 셀 4" xfId="37524" hidden="1"/>
    <cellStyle name="연결된 셀 4" xfId="37564" hidden="1"/>
    <cellStyle name="연결된 셀 4" xfId="37604" hidden="1"/>
    <cellStyle name="연결된 셀 4" xfId="37644" hidden="1"/>
    <cellStyle name="연결된 셀 4" xfId="37728" hidden="1"/>
    <cellStyle name="연결된 셀 4" xfId="37768" hidden="1"/>
    <cellStyle name="연결된 셀 4" xfId="37810" hidden="1"/>
    <cellStyle name="연결된 셀 4" xfId="37852" hidden="1"/>
    <cellStyle name="연결된 셀 4" xfId="37894" hidden="1"/>
    <cellStyle name="연결된 셀 4" xfId="37936" hidden="1"/>
    <cellStyle name="연결된 셀 4" xfId="37978" hidden="1"/>
    <cellStyle name="연결된 셀 4" xfId="38020" hidden="1"/>
    <cellStyle name="연결된 셀 4" xfId="38062" hidden="1"/>
    <cellStyle name="연결된 셀 4" xfId="38104" hidden="1"/>
    <cellStyle name="연결된 셀 4" xfId="38146" hidden="1"/>
    <cellStyle name="연결된 셀 4" xfId="38188" hidden="1"/>
    <cellStyle name="연결된 셀 4" xfId="37684" hidden="1"/>
    <cellStyle name="연결된 셀 4" xfId="38368" hidden="1"/>
    <cellStyle name="연결된 셀 4" xfId="38408" hidden="1"/>
    <cellStyle name="연결된 셀 4" xfId="38448" hidden="1"/>
    <cellStyle name="연결된 셀 4" xfId="38488" hidden="1"/>
    <cellStyle name="연결된 셀 4" xfId="38528" hidden="1"/>
    <cellStyle name="연결된 셀 4" xfId="38568" hidden="1"/>
    <cellStyle name="연결된 셀 4" xfId="38608" hidden="1"/>
    <cellStyle name="연결된 셀 4" xfId="38648" hidden="1"/>
    <cellStyle name="연결된 셀 4" xfId="38688" hidden="1"/>
    <cellStyle name="연결된 셀 4" xfId="38728" hidden="1"/>
    <cellStyle name="연결된 셀 4" xfId="38768" hidden="1"/>
    <cellStyle name="연결된 셀 4" xfId="38808" hidden="1"/>
    <cellStyle name="연결된 셀 4" xfId="38288" hidden="1"/>
    <cellStyle name="연결된 셀 4" xfId="38249" hidden="1"/>
    <cellStyle name="연결된 셀 4" xfId="38849" hidden="1"/>
    <cellStyle name="연결된 셀 4" xfId="38891" hidden="1"/>
    <cellStyle name="연결된 셀 4" xfId="38933" hidden="1"/>
    <cellStyle name="연결된 셀 4" xfId="38975" hidden="1"/>
    <cellStyle name="연결된 셀 4" xfId="39017" hidden="1"/>
    <cellStyle name="연결된 셀 4" xfId="39059" hidden="1"/>
    <cellStyle name="연결된 셀 4" xfId="39101" hidden="1"/>
    <cellStyle name="연결된 셀 4" xfId="39143" hidden="1"/>
    <cellStyle name="연결된 셀 4" xfId="39185" hidden="1"/>
    <cellStyle name="연결된 셀 4" xfId="39227" hidden="1"/>
    <cellStyle name="연결된 셀 4" xfId="38342" hidden="1"/>
    <cellStyle name="연결된 셀 4" xfId="38302" hidden="1"/>
    <cellStyle name="연결된 셀 4" xfId="39296" hidden="1"/>
    <cellStyle name="연결된 셀 4" xfId="39336" hidden="1"/>
    <cellStyle name="연결된 셀 4" xfId="39376" hidden="1"/>
    <cellStyle name="연결된 셀 4" xfId="39416" hidden="1"/>
    <cellStyle name="연결된 셀 4" xfId="39456" hidden="1"/>
    <cellStyle name="연결된 셀 4" xfId="39496" hidden="1"/>
    <cellStyle name="연결된 셀 4" xfId="39536" hidden="1"/>
    <cellStyle name="연결된 셀 4" xfId="39576" hidden="1"/>
    <cellStyle name="연결된 셀 4" xfId="39616" hidden="1"/>
    <cellStyle name="연결된 셀 4" xfId="39656" hidden="1"/>
    <cellStyle name="연결된 셀 4" xfId="39696" hidden="1"/>
    <cellStyle name="연결된 셀 4" xfId="34669" hidden="1"/>
    <cellStyle name="연결된 셀 4" xfId="39746" hidden="1"/>
    <cellStyle name="연결된 셀 4" xfId="39786" hidden="1"/>
    <cellStyle name="연결된 셀 4" xfId="39826" hidden="1"/>
    <cellStyle name="연결된 셀 4" xfId="39866" hidden="1"/>
    <cellStyle name="연결된 셀 4" xfId="39906" hidden="1"/>
    <cellStyle name="연결된 셀 4" xfId="39946" hidden="1"/>
    <cellStyle name="연결된 셀 4" xfId="39986" hidden="1"/>
    <cellStyle name="연결된 셀 4" xfId="40026" hidden="1"/>
    <cellStyle name="연결된 셀 4" xfId="40066" hidden="1"/>
    <cellStyle name="연결된 셀 4" xfId="40106" hidden="1"/>
    <cellStyle name="연결된 셀 4" xfId="40146" hidden="1"/>
    <cellStyle name="연결된 셀 4" xfId="40230" hidden="1"/>
    <cellStyle name="연결된 셀 4" xfId="40270" hidden="1"/>
    <cellStyle name="연결된 셀 4" xfId="40312" hidden="1"/>
    <cellStyle name="연결된 셀 4" xfId="40354" hidden="1"/>
    <cellStyle name="연결된 셀 4" xfId="40396" hidden="1"/>
    <cellStyle name="연결된 셀 4" xfId="40438" hidden="1"/>
    <cellStyle name="연결된 셀 4" xfId="40480" hidden="1"/>
    <cellStyle name="연결된 셀 4" xfId="40522" hidden="1"/>
    <cellStyle name="연결된 셀 4" xfId="40564" hidden="1"/>
    <cellStyle name="연결된 셀 4" xfId="40606" hidden="1"/>
    <cellStyle name="연결된 셀 4" xfId="40648" hidden="1"/>
    <cellStyle name="연결된 셀 4" xfId="40690" hidden="1"/>
    <cellStyle name="연결된 셀 4" xfId="40186" hidden="1"/>
    <cellStyle name="연결된 셀 4" xfId="40870" hidden="1"/>
    <cellStyle name="연결된 셀 4" xfId="40910" hidden="1"/>
    <cellStyle name="연결된 셀 4" xfId="40950" hidden="1"/>
    <cellStyle name="연결된 셀 4" xfId="40990" hidden="1"/>
    <cellStyle name="연결된 셀 4" xfId="41030" hidden="1"/>
    <cellStyle name="연결된 셀 4" xfId="41070" hidden="1"/>
    <cellStyle name="연결된 셀 4" xfId="41110" hidden="1"/>
    <cellStyle name="연결된 셀 4" xfId="41150" hidden="1"/>
    <cellStyle name="연결된 셀 4" xfId="41190" hidden="1"/>
    <cellStyle name="연결된 셀 4" xfId="41230" hidden="1"/>
    <cellStyle name="연결된 셀 4" xfId="41270" hidden="1"/>
    <cellStyle name="연결된 셀 4" xfId="41310" hidden="1"/>
    <cellStyle name="연결된 셀 4" xfId="40790" hidden="1"/>
    <cellStyle name="연결된 셀 4" xfId="40751" hidden="1"/>
    <cellStyle name="연결된 셀 4" xfId="41351" hidden="1"/>
    <cellStyle name="연결된 셀 4" xfId="41393" hidden="1"/>
    <cellStyle name="연결된 셀 4" xfId="41435" hidden="1"/>
    <cellStyle name="연결된 셀 4" xfId="41477" hidden="1"/>
    <cellStyle name="연결된 셀 4" xfId="41519" hidden="1"/>
    <cellStyle name="연결된 셀 4" xfId="41561" hidden="1"/>
    <cellStyle name="연결된 셀 4" xfId="41603" hidden="1"/>
    <cellStyle name="연결된 셀 4" xfId="41645" hidden="1"/>
    <cellStyle name="연결된 셀 4" xfId="41687" hidden="1"/>
    <cellStyle name="연결된 셀 4" xfId="41729" hidden="1"/>
    <cellStyle name="연결된 셀 4" xfId="40844" hidden="1"/>
    <cellStyle name="연결된 셀 4" xfId="40804" hidden="1"/>
    <cellStyle name="연결된 셀 4" xfId="41798" hidden="1"/>
    <cellStyle name="연결된 셀 4" xfId="41838" hidden="1"/>
    <cellStyle name="연결된 셀 4" xfId="41878" hidden="1"/>
    <cellStyle name="연결된 셀 4" xfId="41918" hidden="1"/>
    <cellStyle name="연결된 셀 4" xfId="41958" hidden="1"/>
    <cellStyle name="연결된 셀 4" xfId="41998" hidden="1"/>
    <cellStyle name="연결된 셀 4" xfId="42038" hidden="1"/>
    <cellStyle name="연결된 셀 4" xfId="42078" hidden="1"/>
    <cellStyle name="연결된 셀 4" xfId="42118" hidden="1"/>
    <cellStyle name="연결된 셀 4" xfId="42158" hidden="1"/>
    <cellStyle name="연결된 셀 4" xfId="42198" hidden="1"/>
    <cellStyle name="연결된 셀 4" xfId="42241" hidden="1"/>
    <cellStyle name="연결된 셀 4" xfId="42281" hidden="1"/>
    <cellStyle name="연결된 셀 4" xfId="42321" hidden="1"/>
    <cellStyle name="연결된 셀 4" xfId="42361" hidden="1"/>
    <cellStyle name="연결된 셀 4" xfId="42401" hidden="1"/>
    <cellStyle name="연결된 셀 4" xfId="42441" hidden="1"/>
    <cellStyle name="연결된 셀 4" xfId="42481" hidden="1"/>
    <cellStyle name="연결된 셀 4" xfId="42521" hidden="1"/>
    <cellStyle name="연결된 셀 4" xfId="42561" hidden="1"/>
    <cellStyle name="연결된 셀 4" xfId="42601" hidden="1"/>
    <cellStyle name="연결된 셀 4" xfId="42641" hidden="1"/>
    <cellStyle name="연결된 셀 4" xfId="42681" hidden="1"/>
    <cellStyle name="연결된 셀 4" xfId="42765" hidden="1"/>
    <cellStyle name="연결된 셀 4" xfId="42805" hidden="1"/>
    <cellStyle name="연결된 셀 4" xfId="42847" hidden="1"/>
    <cellStyle name="연결된 셀 4" xfId="42889" hidden="1"/>
    <cellStyle name="연결된 셀 4" xfId="42931" hidden="1"/>
    <cellStyle name="연결된 셀 4" xfId="42973" hidden="1"/>
    <cellStyle name="연결된 셀 4" xfId="43015" hidden="1"/>
    <cellStyle name="연결된 셀 4" xfId="43057" hidden="1"/>
    <cellStyle name="연결된 셀 4" xfId="43099" hidden="1"/>
    <cellStyle name="연결된 셀 4" xfId="43141" hidden="1"/>
    <cellStyle name="연결된 셀 4" xfId="43183" hidden="1"/>
    <cellStyle name="연결된 셀 4" xfId="43225" hidden="1"/>
    <cellStyle name="연결된 셀 4" xfId="42721" hidden="1"/>
    <cellStyle name="연결된 셀 4" xfId="43405" hidden="1"/>
    <cellStyle name="연결된 셀 4" xfId="43445" hidden="1"/>
    <cellStyle name="연결된 셀 4" xfId="43485" hidden="1"/>
    <cellStyle name="연결된 셀 4" xfId="43525" hidden="1"/>
    <cellStyle name="연결된 셀 4" xfId="43565" hidden="1"/>
    <cellStyle name="연결된 셀 4" xfId="43605" hidden="1"/>
    <cellStyle name="연결된 셀 4" xfId="43645" hidden="1"/>
    <cellStyle name="연결된 셀 4" xfId="43685" hidden="1"/>
    <cellStyle name="연결된 셀 4" xfId="43725" hidden="1"/>
    <cellStyle name="연결된 셀 4" xfId="43765" hidden="1"/>
    <cellStyle name="연결된 셀 4" xfId="43805" hidden="1"/>
    <cellStyle name="연결된 셀 4" xfId="43845" hidden="1"/>
    <cellStyle name="연결된 셀 4" xfId="43325" hidden="1"/>
    <cellStyle name="연결된 셀 4" xfId="43286" hidden="1"/>
    <cellStyle name="연결된 셀 4" xfId="43886" hidden="1"/>
    <cellStyle name="연결된 셀 4" xfId="43928" hidden="1"/>
    <cellStyle name="연결된 셀 4" xfId="43970" hidden="1"/>
    <cellStyle name="연결된 셀 4" xfId="44012" hidden="1"/>
    <cellStyle name="연결된 셀 4" xfId="44054" hidden="1"/>
    <cellStyle name="연결된 셀 4" xfId="44096" hidden="1"/>
    <cellStyle name="연결된 셀 4" xfId="44138" hidden="1"/>
    <cellStyle name="연결된 셀 4" xfId="44180" hidden="1"/>
    <cellStyle name="연결된 셀 4" xfId="44222" hidden="1"/>
    <cellStyle name="연결된 셀 4" xfId="44264" hidden="1"/>
    <cellStyle name="연결된 셀 4" xfId="43379" hidden="1"/>
    <cellStyle name="연결된 셀 4" xfId="43339" hidden="1"/>
    <cellStyle name="연결된 셀 4" xfId="44333" hidden="1"/>
    <cellStyle name="연결된 셀 4" xfId="44373" hidden="1"/>
    <cellStyle name="연결된 셀 4" xfId="44413" hidden="1"/>
    <cellStyle name="연결된 셀 4" xfId="44453" hidden="1"/>
    <cellStyle name="연결된 셀 4" xfId="44493" hidden="1"/>
    <cellStyle name="연결된 셀 4" xfId="44533" hidden="1"/>
    <cellStyle name="연결된 셀 4" xfId="44573" hidden="1"/>
    <cellStyle name="연결된 셀 4" xfId="44613" hidden="1"/>
    <cellStyle name="연결된 셀 4" xfId="44653" hidden="1"/>
    <cellStyle name="연결된 셀 4" xfId="44693" hidden="1"/>
    <cellStyle name="연결된 셀 4" xfId="44733" hidden="1"/>
    <cellStyle name="연결된 셀 4" xfId="44829" hidden="1"/>
    <cellStyle name="연결된 셀 4" xfId="44869" hidden="1"/>
    <cellStyle name="연결된 셀 4" xfId="44910" hidden="1"/>
    <cellStyle name="연결된 셀 4" xfId="44952" hidden="1"/>
    <cellStyle name="연결된 셀 4" xfId="44992" hidden="1"/>
    <cellStyle name="연결된 셀 4" xfId="45032" hidden="1"/>
    <cellStyle name="연결된 셀 4" xfId="45072" hidden="1"/>
    <cellStyle name="연결된 셀 4" xfId="45112" hidden="1"/>
    <cellStyle name="연결된 셀 4" xfId="45152" hidden="1"/>
    <cellStyle name="연결된 셀 4" xfId="45192" hidden="1"/>
    <cellStyle name="연결된 셀 4" xfId="45232" hidden="1"/>
    <cellStyle name="연결된 셀 4" xfId="45272" hidden="1"/>
    <cellStyle name="연결된 셀 4" xfId="45356" hidden="1"/>
    <cellStyle name="연결된 셀 4" xfId="45396" hidden="1"/>
    <cellStyle name="연결된 셀 4" xfId="45438" hidden="1"/>
    <cellStyle name="연결된 셀 4" xfId="45480" hidden="1"/>
    <cellStyle name="연결된 셀 4" xfId="45522" hidden="1"/>
    <cellStyle name="연결된 셀 4" xfId="45564" hidden="1"/>
    <cellStyle name="연결된 셀 4" xfId="45606" hidden="1"/>
    <cellStyle name="연결된 셀 4" xfId="45648" hidden="1"/>
    <cellStyle name="연결된 셀 4" xfId="45690" hidden="1"/>
    <cellStyle name="연결된 셀 4" xfId="45732" hidden="1"/>
    <cellStyle name="연결된 셀 4" xfId="45774" hidden="1"/>
    <cellStyle name="연결된 셀 4" xfId="45816" hidden="1"/>
    <cellStyle name="연결된 셀 4" xfId="45312" hidden="1"/>
    <cellStyle name="연결된 셀 4" xfId="45996" hidden="1"/>
    <cellStyle name="연결된 셀 4" xfId="46036" hidden="1"/>
    <cellStyle name="연결된 셀 4" xfId="46076" hidden="1"/>
    <cellStyle name="연결된 셀 4" xfId="46116" hidden="1"/>
    <cellStyle name="연결된 셀 4" xfId="46156" hidden="1"/>
    <cellStyle name="연결된 셀 4" xfId="46196" hidden="1"/>
    <cellStyle name="연결된 셀 4" xfId="46236" hidden="1"/>
    <cellStyle name="연결된 셀 4" xfId="46276" hidden="1"/>
    <cellStyle name="연결된 셀 4" xfId="46316" hidden="1"/>
    <cellStyle name="연결된 셀 4" xfId="46356" hidden="1"/>
    <cellStyle name="연결된 셀 4" xfId="46396" hidden="1"/>
    <cellStyle name="연결된 셀 4" xfId="46436" hidden="1"/>
    <cellStyle name="연결된 셀 4" xfId="45916" hidden="1"/>
    <cellStyle name="연결된 셀 4" xfId="45877" hidden="1"/>
    <cellStyle name="연결된 셀 4" xfId="46477" hidden="1"/>
    <cellStyle name="연결된 셀 4" xfId="46519" hidden="1"/>
    <cellStyle name="연결된 셀 4" xfId="46561" hidden="1"/>
    <cellStyle name="연결된 셀 4" xfId="46603" hidden="1"/>
    <cellStyle name="연결된 셀 4" xfId="46645" hidden="1"/>
    <cellStyle name="연결된 셀 4" xfId="46687" hidden="1"/>
    <cellStyle name="연결된 셀 4" xfId="46729" hidden="1"/>
    <cellStyle name="연결된 셀 4" xfId="46771" hidden="1"/>
    <cellStyle name="연결된 셀 4" xfId="46813" hidden="1"/>
    <cellStyle name="연결된 셀 4" xfId="46855" hidden="1"/>
    <cellStyle name="연결된 셀 4" xfId="45970" hidden="1"/>
    <cellStyle name="연결된 셀 4" xfId="45930" hidden="1"/>
    <cellStyle name="연결된 셀 4" xfId="46924" hidden="1"/>
    <cellStyle name="연결된 셀 4" xfId="46964" hidden="1"/>
    <cellStyle name="연결된 셀 4" xfId="47004" hidden="1"/>
    <cellStyle name="연결된 셀 4" xfId="47044" hidden="1"/>
    <cellStyle name="연결된 셀 4" xfId="47084" hidden="1"/>
    <cellStyle name="연결된 셀 4" xfId="47124" hidden="1"/>
    <cellStyle name="연결된 셀 4" xfId="47164" hidden="1"/>
    <cellStyle name="연결된 셀 4" xfId="47204" hidden="1"/>
    <cellStyle name="연결된 셀 4" xfId="47244" hidden="1"/>
    <cellStyle name="연결된 셀 4" xfId="47284" hidden="1"/>
    <cellStyle name="연결된 셀 4" xfId="47324" hidden="1"/>
    <cellStyle name="연결된 셀 4" xfId="44777" hidden="1"/>
    <cellStyle name="연결된 셀 4" xfId="47375" hidden="1"/>
    <cellStyle name="연결된 셀 4" xfId="47415" hidden="1"/>
    <cellStyle name="연결된 셀 4" xfId="47455" hidden="1"/>
    <cellStyle name="연결된 셀 4" xfId="47495" hidden="1"/>
    <cellStyle name="연결된 셀 4" xfId="47535" hidden="1"/>
    <cellStyle name="연결된 셀 4" xfId="47575" hidden="1"/>
    <cellStyle name="연결된 셀 4" xfId="47615" hidden="1"/>
    <cellStyle name="연결된 셀 4" xfId="47655" hidden="1"/>
    <cellStyle name="연결된 셀 4" xfId="47695" hidden="1"/>
    <cellStyle name="연결된 셀 4" xfId="47735" hidden="1"/>
    <cellStyle name="연결된 셀 4" xfId="47775" hidden="1"/>
    <cellStyle name="연결된 셀 4" xfId="47859" hidden="1"/>
    <cellStyle name="연결된 셀 4" xfId="47899" hidden="1"/>
    <cellStyle name="연결된 셀 4" xfId="47941" hidden="1"/>
    <cellStyle name="연결된 셀 4" xfId="47983" hidden="1"/>
    <cellStyle name="연결된 셀 4" xfId="48025" hidden="1"/>
    <cellStyle name="연결된 셀 4" xfId="48067" hidden="1"/>
    <cellStyle name="연결된 셀 4" xfId="48109" hidden="1"/>
    <cellStyle name="연결된 셀 4" xfId="48151" hidden="1"/>
    <cellStyle name="연결된 셀 4" xfId="48193" hidden="1"/>
    <cellStyle name="연결된 셀 4" xfId="48235" hidden="1"/>
    <cellStyle name="연결된 셀 4" xfId="48277" hidden="1"/>
    <cellStyle name="연결된 셀 4" xfId="48319" hidden="1"/>
    <cellStyle name="연결된 셀 4" xfId="47815" hidden="1"/>
    <cellStyle name="연결된 셀 4" xfId="48499" hidden="1"/>
    <cellStyle name="연결된 셀 4" xfId="48539" hidden="1"/>
    <cellStyle name="연결된 셀 4" xfId="48579" hidden="1"/>
    <cellStyle name="연결된 셀 4" xfId="48619" hidden="1"/>
    <cellStyle name="연결된 셀 4" xfId="48659" hidden="1"/>
    <cellStyle name="연결된 셀 4" xfId="48699" hidden="1"/>
    <cellStyle name="연결된 셀 4" xfId="48739" hidden="1"/>
    <cellStyle name="연결된 셀 4" xfId="48779" hidden="1"/>
    <cellStyle name="연결된 셀 4" xfId="48819" hidden="1"/>
    <cellStyle name="연결된 셀 4" xfId="48859" hidden="1"/>
    <cellStyle name="연결된 셀 4" xfId="48899" hidden="1"/>
    <cellStyle name="연결된 셀 4" xfId="48939" hidden="1"/>
    <cellStyle name="연결된 셀 4" xfId="48419" hidden="1"/>
    <cellStyle name="연결된 셀 4" xfId="48380" hidden="1"/>
    <cellStyle name="연결된 셀 4" xfId="48980" hidden="1"/>
    <cellStyle name="연결된 셀 4" xfId="49022" hidden="1"/>
    <cellStyle name="연결된 셀 4" xfId="49064" hidden="1"/>
    <cellStyle name="연결된 셀 4" xfId="49106" hidden="1"/>
    <cellStyle name="연결된 셀 4" xfId="49148" hidden="1"/>
    <cellStyle name="연결된 셀 4" xfId="49190" hidden="1"/>
    <cellStyle name="연결된 셀 4" xfId="49232" hidden="1"/>
    <cellStyle name="연결된 셀 4" xfId="49274" hidden="1"/>
    <cellStyle name="연결된 셀 4" xfId="49316" hidden="1"/>
    <cellStyle name="연결된 셀 4" xfId="49358" hidden="1"/>
    <cellStyle name="연결된 셀 4" xfId="48473" hidden="1"/>
    <cellStyle name="연결된 셀 4" xfId="48433" hidden="1"/>
    <cellStyle name="연결된 셀 4" xfId="49427" hidden="1"/>
    <cellStyle name="연결된 셀 4" xfId="49467" hidden="1"/>
    <cellStyle name="연결된 셀 4" xfId="49507" hidden="1"/>
    <cellStyle name="연결된 셀 4" xfId="49547" hidden="1"/>
    <cellStyle name="연결된 셀 4" xfId="49587" hidden="1"/>
    <cellStyle name="연결된 셀 4" xfId="49627" hidden="1"/>
    <cellStyle name="연결된 셀 4" xfId="49667" hidden="1"/>
    <cellStyle name="연결된 셀 4" xfId="49707" hidden="1"/>
    <cellStyle name="연결된 셀 4" xfId="49747" hidden="1"/>
    <cellStyle name="연결된 셀 4" xfId="49787" hidden="1"/>
    <cellStyle name="연결된 셀 4" xfId="49827" hidden="1"/>
    <cellStyle name="연결된 셀 4" xfId="44798" hidden="1"/>
    <cellStyle name="연결된 셀 4" xfId="49877" hidden="1"/>
    <cellStyle name="연결된 셀 4" xfId="49917" hidden="1"/>
    <cellStyle name="연결된 셀 4" xfId="49957" hidden="1"/>
    <cellStyle name="연결된 셀 4" xfId="49997" hidden="1"/>
    <cellStyle name="연결된 셀 4" xfId="50037" hidden="1"/>
    <cellStyle name="연결된 셀 4" xfId="50077" hidden="1"/>
    <cellStyle name="연결된 셀 4" xfId="50117" hidden="1"/>
    <cellStyle name="연결된 셀 4" xfId="50157" hidden="1"/>
    <cellStyle name="연결된 셀 4" xfId="50197" hidden="1"/>
    <cellStyle name="연결된 셀 4" xfId="50237" hidden="1"/>
    <cellStyle name="연결된 셀 4" xfId="50277" hidden="1"/>
    <cellStyle name="연결된 셀 4" xfId="50361" hidden="1"/>
    <cellStyle name="연결된 셀 4" xfId="50401" hidden="1"/>
    <cellStyle name="연결된 셀 4" xfId="50443" hidden="1"/>
    <cellStyle name="연결된 셀 4" xfId="50485" hidden="1"/>
    <cellStyle name="연결된 셀 4" xfId="50527" hidden="1"/>
    <cellStyle name="연결된 셀 4" xfId="50569" hidden="1"/>
    <cellStyle name="연결된 셀 4" xfId="50611" hidden="1"/>
    <cellStyle name="연결된 셀 4" xfId="50653" hidden="1"/>
    <cellStyle name="연결된 셀 4" xfId="50695" hidden="1"/>
    <cellStyle name="연결된 셀 4" xfId="50737" hidden="1"/>
    <cellStyle name="연결된 셀 4" xfId="50779" hidden="1"/>
    <cellStyle name="연결된 셀 4" xfId="50821" hidden="1"/>
    <cellStyle name="연결된 셀 4" xfId="50317" hidden="1"/>
    <cellStyle name="연결된 셀 4" xfId="51001" hidden="1"/>
    <cellStyle name="연결된 셀 4" xfId="51041" hidden="1"/>
    <cellStyle name="연결된 셀 4" xfId="51081" hidden="1"/>
    <cellStyle name="연결된 셀 4" xfId="51121" hidden="1"/>
    <cellStyle name="연결된 셀 4" xfId="51161" hidden="1"/>
    <cellStyle name="연결된 셀 4" xfId="51201" hidden="1"/>
    <cellStyle name="연결된 셀 4" xfId="51241" hidden="1"/>
    <cellStyle name="연결된 셀 4" xfId="51281" hidden="1"/>
    <cellStyle name="연결된 셀 4" xfId="51321" hidden="1"/>
    <cellStyle name="연결된 셀 4" xfId="51361" hidden="1"/>
    <cellStyle name="연결된 셀 4" xfId="51401" hidden="1"/>
    <cellStyle name="연결된 셀 4" xfId="51441" hidden="1"/>
    <cellStyle name="연결된 셀 4" xfId="50921" hidden="1"/>
    <cellStyle name="연결된 셀 4" xfId="50882" hidden="1"/>
    <cellStyle name="연결된 셀 4" xfId="51482" hidden="1"/>
    <cellStyle name="연결된 셀 4" xfId="51524" hidden="1"/>
    <cellStyle name="연결된 셀 4" xfId="51566" hidden="1"/>
    <cellStyle name="연결된 셀 4" xfId="51608" hidden="1"/>
    <cellStyle name="연결된 셀 4" xfId="51650" hidden="1"/>
    <cellStyle name="연결된 셀 4" xfId="51692" hidden="1"/>
    <cellStyle name="연결된 셀 4" xfId="51734" hidden="1"/>
    <cellStyle name="연결된 셀 4" xfId="51776" hidden="1"/>
    <cellStyle name="연결된 셀 4" xfId="51818" hidden="1"/>
    <cellStyle name="연결된 셀 4" xfId="51860" hidden="1"/>
    <cellStyle name="연결된 셀 4" xfId="50975" hidden="1"/>
    <cellStyle name="연결된 셀 4" xfId="50935" hidden="1"/>
    <cellStyle name="연결된 셀 4" xfId="51929" hidden="1"/>
    <cellStyle name="연결된 셀 4" xfId="51969" hidden="1"/>
    <cellStyle name="연결된 셀 4" xfId="52009" hidden="1"/>
    <cellStyle name="연결된 셀 4" xfId="52049" hidden="1"/>
    <cellStyle name="연결된 셀 4" xfId="52089" hidden="1"/>
    <cellStyle name="연결된 셀 4" xfId="52129" hidden="1"/>
    <cellStyle name="연결된 셀 4" xfId="52169" hidden="1"/>
    <cellStyle name="연결된 셀 4" xfId="52209" hidden="1"/>
    <cellStyle name="연결된 셀 4" xfId="52249" hidden="1"/>
    <cellStyle name="연결된 셀 4" xfId="52289" hidden="1"/>
    <cellStyle name="연결된 셀 4" xfId="52329" hidden="1"/>
    <cellStyle name="연결된 셀 4 2" xfId="6890"/>
    <cellStyle name="연결된 셀 4 3" xfId="6891"/>
    <cellStyle name="연결된 셀 4 4" xfId="6892"/>
    <cellStyle name="연결된 셀 4 5" xfId="6893"/>
    <cellStyle name="연결된 셀 40" xfId="6894"/>
    <cellStyle name="연결된 셀 41" xfId="6895"/>
    <cellStyle name="연결된 셀 42" xfId="6896"/>
    <cellStyle name="연결된 셀 43" xfId="6897"/>
    <cellStyle name="연결된 셀 44" xfId="6898"/>
    <cellStyle name="연결된 셀 45" xfId="6899"/>
    <cellStyle name="연결된 셀 46" xfId="6900"/>
    <cellStyle name="연결된 셀 47" xfId="6901"/>
    <cellStyle name="연결된 셀 48" xfId="6902"/>
    <cellStyle name="연결된 셀 49" xfId="6903"/>
    <cellStyle name="연결된 셀 5" xfId="6904"/>
    <cellStyle name="연결된 셀 50" xfId="6905"/>
    <cellStyle name="연결된 셀 51" xfId="6906"/>
    <cellStyle name="연결된 셀 52" xfId="6907"/>
    <cellStyle name="연결된 셀 6" xfId="6908"/>
    <cellStyle name="연결된 셀 7" xfId="6909"/>
    <cellStyle name="연결된 셀 8" xfId="6910"/>
    <cellStyle name="연결된 셀 9" xfId="6911"/>
    <cellStyle name="열어 본 하이퍼링크 10" xfId="6912"/>
    <cellStyle name="열어 본 하이퍼링크 11" xfId="6913"/>
    <cellStyle name="열어 본 하이퍼링크 12" xfId="6914"/>
    <cellStyle name="열어 본 하이퍼링크 13" xfId="6915"/>
    <cellStyle name="열어 본 하이퍼링크 14" xfId="6916"/>
    <cellStyle name="열어 본 하이퍼링크 15" xfId="6917"/>
    <cellStyle name="열어 본 하이퍼링크 16" xfId="6918"/>
    <cellStyle name="열어 본 하이퍼링크 17" xfId="6919"/>
    <cellStyle name="열어 본 하이퍼링크 18" xfId="6920"/>
    <cellStyle name="열어 본 하이퍼링크 19" xfId="6921"/>
    <cellStyle name="열어 본 하이퍼링크 2" xfId="382"/>
    <cellStyle name="열어 본 하이퍼링크 2 10" xfId="6922"/>
    <cellStyle name="열어 본 하이퍼링크 2 11" xfId="6923"/>
    <cellStyle name="열어 본 하이퍼링크 2 12" xfId="6924"/>
    <cellStyle name="열어 본 하이퍼링크 2 13" xfId="6925"/>
    <cellStyle name="열어 본 하이퍼링크 2 14" xfId="6926"/>
    <cellStyle name="열어 본 하이퍼링크 2 15" xfId="6927"/>
    <cellStyle name="열어 본 하이퍼링크 2 16" xfId="6928"/>
    <cellStyle name="열어 본 하이퍼링크 2 17" xfId="6929"/>
    <cellStyle name="열어 본 하이퍼링크 2 18" xfId="6930"/>
    <cellStyle name="열어 본 하이퍼링크 2 19" xfId="6931"/>
    <cellStyle name="열어 본 하이퍼링크 2 2" xfId="6932"/>
    <cellStyle name="열어 본 하이퍼링크 2 2 10" xfId="6933"/>
    <cellStyle name="열어 본 하이퍼링크 2 2 11" xfId="6934"/>
    <cellStyle name="열어 본 하이퍼링크 2 2 12" xfId="6935"/>
    <cellStyle name="열어 본 하이퍼링크 2 2 13" xfId="6936"/>
    <cellStyle name="열어 본 하이퍼링크 2 2 14" xfId="6937"/>
    <cellStyle name="열어 본 하이퍼링크 2 2 15" xfId="6938"/>
    <cellStyle name="열어 본 하이퍼링크 2 2 16" xfId="6939"/>
    <cellStyle name="열어 본 하이퍼링크 2 2 17" xfId="6940"/>
    <cellStyle name="열어 본 하이퍼링크 2 2 2" xfId="6941"/>
    <cellStyle name="열어 본 하이퍼링크 2 2 2 2" xfId="6942"/>
    <cellStyle name="열어 본 하이퍼링크 2 2 2 2 2" xfId="6943"/>
    <cellStyle name="열어 본 하이퍼링크 2 2 2 2 3" xfId="6944"/>
    <cellStyle name="열어 본 하이퍼링크 2 2 2 2 4" xfId="6945"/>
    <cellStyle name="열어 본 하이퍼링크 2 2 2 2 5" xfId="6946"/>
    <cellStyle name="열어 본 하이퍼링크 2 2 2 3" xfId="6947"/>
    <cellStyle name="열어 본 하이퍼링크 2 2 2 4" xfId="6948"/>
    <cellStyle name="열어 본 하이퍼링크 2 2 2 5" xfId="6949"/>
    <cellStyle name="열어 본 하이퍼링크 2 2 3" xfId="6950"/>
    <cellStyle name="열어 본 하이퍼링크 2 2 4" xfId="6951"/>
    <cellStyle name="열어 본 하이퍼링크 2 2 5" xfId="6952"/>
    <cellStyle name="열어 본 하이퍼링크 2 2 6" xfId="6953"/>
    <cellStyle name="열어 본 하이퍼링크 2 2 7" xfId="6954"/>
    <cellStyle name="열어 본 하이퍼링크 2 2 8" xfId="6955"/>
    <cellStyle name="열어 본 하이퍼링크 2 2 9" xfId="6956"/>
    <cellStyle name="열어 본 하이퍼링크 2 20" xfId="6957"/>
    <cellStyle name="열어 본 하이퍼링크 2 21" xfId="6958"/>
    <cellStyle name="열어 본 하이퍼링크 2 22" xfId="6959"/>
    <cellStyle name="열어 본 하이퍼링크 2 23" xfId="6960"/>
    <cellStyle name="열어 본 하이퍼링크 2 24" xfId="6961"/>
    <cellStyle name="열어 본 하이퍼링크 2 25" xfId="6962"/>
    <cellStyle name="열어 본 하이퍼링크 2 26" xfId="6963"/>
    <cellStyle name="열어 본 하이퍼링크 2 27" xfId="6964"/>
    <cellStyle name="열어 본 하이퍼링크 2 3" xfId="6965"/>
    <cellStyle name="열어 본 하이퍼링크 2 4" xfId="6966"/>
    <cellStyle name="열어 본 하이퍼링크 2 5" xfId="6967"/>
    <cellStyle name="열어 본 하이퍼링크 2 6" xfId="6968"/>
    <cellStyle name="열어 본 하이퍼링크 2 6 2" xfId="6969"/>
    <cellStyle name="열어 본 하이퍼링크 2 7" xfId="6970"/>
    <cellStyle name="열어 본 하이퍼링크 2 8" xfId="6971"/>
    <cellStyle name="열어 본 하이퍼링크 2 9" xfId="6972"/>
    <cellStyle name="열어 본 하이퍼링크 20" xfId="6973"/>
    <cellStyle name="열어 본 하이퍼링크 21" xfId="6974"/>
    <cellStyle name="열어 본 하이퍼링크 22" xfId="6975"/>
    <cellStyle name="열어 본 하이퍼링크 23" xfId="6976"/>
    <cellStyle name="열어 본 하이퍼링크 24" xfId="6977"/>
    <cellStyle name="열어 본 하이퍼링크 25" xfId="6978"/>
    <cellStyle name="열어 본 하이퍼링크 26" xfId="6979"/>
    <cellStyle name="열어 본 하이퍼링크 27" xfId="6980"/>
    <cellStyle name="열어 본 하이퍼링크 28" xfId="6981"/>
    <cellStyle name="열어 본 하이퍼링크 29" xfId="6982"/>
    <cellStyle name="열어 본 하이퍼링크 3" xfId="12299" hidden="1"/>
    <cellStyle name="열어 본 하이퍼링크 3" xfId="12901" hidden="1"/>
    <cellStyle name="열어 본 하이퍼링크 3" xfId="14902" hidden="1"/>
    <cellStyle name="열어 본 하이퍼링크 3" xfId="15500" hidden="1"/>
    <cellStyle name="열어 본 하이퍼링크 3" xfId="17406" hidden="1"/>
    <cellStyle name="열어 본 하이퍼링크 3" xfId="18004" hidden="1"/>
    <cellStyle name="열어 본 하이퍼링크 3" xfId="19908" hidden="1"/>
    <cellStyle name="열어 본 하이퍼링크 3" xfId="20506" hidden="1"/>
    <cellStyle name="열어 본 하이퍼링크 3" xfId="22468" hidden="1"/>
    <cellStyle name="열어 본 하이퍼링크 3" xfId="23066" hidden="1"/>
    <cellStyle name="열어 본 하이퍼링크 3" xfId="25061" hidden="1"/>
    <cellStyle name="열어 본 하이퍼링크 3" xfId="25659" hidden="1"/>
    <cellStyle name="열어 본 하이퍼링크 3" xfId="27564" hidden="1"/>
    <cellStyle name="열어 본 하이퍼링크 3" xfId="28162" hidden="1"/>
    <cellStyle name="열어 본 하이퍼링크 3" xfId="30066" hidden="1"/>
    <cellStyle name="열어 본 하이퍼링크 3" xfId="30664" hidden="1"/>
    <cellStyle name="열어 본 하이퍼링크 3" xfId="32621" hidden="1"/>
    <cellStyle name="열어 본 하이퍼링크 3" xfId="33219" hidden="1"/>
    <cellStyle name="열어 본 하이퍼링크 3" xfId="35210" hidden="1"/>
    <cellStyle name="열어 본 하이퍼링크 3" xfId="35808" hidden="1"/>
    <cellStyle name="열어 본 하이퍼링크 3" xfId="37714" hidden="1"/>
    <cellStyle name="열어 본 하이퍼링크 3" xfId="38312" hidden="1"/>
    <cellStyle name="열어 본 하이퍼링크 3" xfId="40216" hidden="1"/>
    <cellStyle name="열어 본 하이퍼링크 3" xfId="40814" hidden="1"/>
    <cellStyle name="열어 본 하이퍼링크 3" xfId="42751" hidden="1"/>
    <cellStyle name="열어 본 하이퍼링크 3" xfId="43349" hidden="1"/>
    <cellStyle name="열어 본 하이퍼링크 3" xfId="45342" hidden="1"/>
    <cellStyle name="열어 본 하이퍼링크 3" xfId="45940" hidden="1"/>
    <cellStyle name="열어 본 하이퍼링크 3" xfId="47845" hidden="1"/>
    <cellStyle name="열어 본 하이퍼링크 3" xfId="48443" hidden="1"/>
    <cellStyle name="열어 본 하이퍼링크 3" xfId="50347" hidden="1"/>
    <cellStyle name="열어 본 하이퍼링크 3" xfId="50945" hidden="1"/>
    <cellStyle name="열어 본 하이퍼링크 3 2" xfId="6983"/>
    <cellStyle name="열어 본 하이퍼링크 3 3" xfId="6984"/>
    <cellStyle name="열어 본 하이퍼링크 3 4" xfId="6985"/>
    <cellStyle name="열어 본 하이퍼링크 3 5" xfId="6986"/>
    <cellStyle name="열어 본 하이퍼링크 30" xfId="6987"/>
    <cellStyle name="열어 본 하이퍼링크 31" xfId="6988"/>
    <cellStyle name="열어 본 하이퍼링크 32" xfId="6989"/>
    <cellStyle name="열어 본 하이퍼링크 33" xfId="6990"/>
    <cellStyle name="열어 본 하이퍼링크 34" xfId="6991"/>
    <cellStyle name="열어 본 하이퍼링크 35" xfId="6992"/>
    <cellStyle name="열어 본 하이퍼링크 36" xfId="6993"/>
    <cellStyle name="열어 본 하이퍼링크 37" xfId="6994"/>
    <cellStyle name="열어 본 하이퍼링크 38" xfId="6995"/>
    <cellStyle name="열어 본 하이퍼링크 39" xfId="6996"/>
    <cellStyle name="열어 본 하이퍼링크 4" xfId="6997"/>
    <cellStyle name="열어 본 하이퍼링크 40" xfId="6998"/>
    <cellStyle name="열어 본 하이퍼링크 41" xfId="6999"/>
    <cellStyle name="열어 본 하이퍼링크 42" xfId="7000"/>
    <cellStyle name="열어 본 하이퍼링크 43" xfId="7001"/>
    <cellStyle name="열어 본 하이퍼링크 44" xfId="7002"/>
    <cellStyle name="열어 본 하이퍼링크 45" xfId="7003"/>
    <cellStyle name="열어 본 하이퍼링크 46" xfId="7004"/>
    <cellStyle name="열어 본 하이퍼링크 47" xfId="7005"/>
    <cellStyle name="열어 본 하이퍼링크 48" xfId="7006"/>
    <cellStyle name="열어 본 하이퍼링크 49" xfId="7007"/>
    <cellStyle name="열어 본 하이퍼링크 5" xfId="7008"/>
    <cellStyle name="열어 본 하이퍼링크 50" xfId="7009"/>
    <cellStyle name="열어 본 하이퍼링크 51" xfId="7010"/>
    <cellStyle name="열어 본 하이퍼링크 52" xfId="7011"/>
    <cellStyle name="열어 본 하이퍼링크 53" xfId="7012"/>
    <cellStyle name="열어 본 하이퍼링크 54" xfId="7013"/>
    <cellStyle name="열어 본 하이퍼링크 55" xfId="7014"/>
    <cellStyle name="열어 본 하이퍼링크 56" xfId="7015"/>
    <cellStyle name="열어 본 하이퍼링크 57" xfId="7016"/>
    <cellStyle name="열어 본 하이퍼링크 58" xfId="7017"/>
    <cellStyle name="열어 본 하이퍼링크 59" xfId="7018"/>
    <cellStyle name="열어 본 하이퍼링크 6" xfId="7019"/>
    <cellStyle name="열어 본 하이퍼링크 60" xfId="7020"/>
    <cellStyle name="열어 본 하이퍼링크 61" xfId="7021"/>
    <cellStyle name="열어 본 하이퍼링크 62" xfId="7022"/>
    <cellStyle name="열어 본 하이퍼링크 63" xfId="7023"/>
    <cellStyle name="열어 본 하이퍼링크 64" xfId="7024"/>
    <cellStyle name="열어 본 하이퍼링크 65" xfId="7025"/>
    <cellStyle name="열어 본 하이퍼링크 66" xfId="7026"/>
    <cellStyle name="열어 본 하이퍼링크 67" xfId="7027"/>
    <cellStyle name="열어 본 하이퍼링크 68" xfId="7028"/>
    <cellStyle name="열어 본 하이퍼링크 69" xfId="7029"/>
    <cellStyle name="열어 본 하이퍼링크 7" xfId="7030"/>
    <cellStyle name="열어 본 하이퍼링크 70" xfId="7031"/>
    <cellStyle name="열어 본 하이퍼링크 71" xfId="7032"/>
    <cellStyle name="열어 본 하이퍼링크 72" xfId="7033"/>
    <cellStyle name="열어 본 하이퍼링크 73" xfId="7034"/>
    <cellStyle name="열어 본 하이퍼링크 74" xfId="7035"/>
    <cellStyle name="열어 본 하이퍼링크 75" xfId="7036"/>
    <cellStyle name="열어 본 하이퍼링크 76" xfId="7037"/>
    <cellStyle name="열어 본 하이퍼링크 77" xfId="7038"/>
    <cellStyle name="열어 본 하이퍼링크 78" xfId="7039"/>
    <cellStyle name="열어 본 하이퍼링크 79" xfId="7040"/>
    <cellStyle name="열어 본 하이퍼링크 8" xfId="7041"/>
    <cellStyle name="열어 본 하이퍼링크 80" xfId="7042"/>
    <cellStyle name="열어 본 하이퍼링크 81" xfId="7043"/>
    <cellStyle name="열어 본 하이퍼링크 82" xfId="7044"/>
    <cellStyle name="열어 본 하이퍼링크 83" xfId="7045"/>
    <cellStyle name="열어 본 하이퍼링크 84" xfId="7046"/>
    <cellStyle name="열어 본 하이퍼링크 85" xfId="7047"/>
    <cellStyle name="열어 본 하이퍼링크 86" xfId="12300" hidden="1"/>
    <cellStyle name="열어 본 하이퍼링크 86" xfId="12900" hidden="1"/>
    <cellStyle name="열어 본 하이퍼링크 86" xfId="14903" hidden="1"/>
    <cellStyle name="열어 본 하이퍼링크 86" xfId="15499" hidden="1"/>
    <cellStyle name="열어 본 하이퍼링크 86" xfId="17407" hidden="1"/>
    <cellStyle name="열어 본 하이퍼링크 86" xfId="18003" hidden="1"/>
    <cellStyle name="열어 본 하이퍼링크 86" xfId="19909" hidden="1"/>
    <cellStyle name="열어 본 하이퍼링크 86" xfId="20505" hidden="1"/>
    <cellStyle name="열어 본 하이퍼링크 86" xfId="22469" hidden="1"/>
    <cellStyle name="열어 본 하이퍼링크 86" xfId="23065" hidden="1"/>
    <cellStyle name="열어 본 하이퍼링크 86" xfId="25062" hidden="1"/>
    <cellStyle name="열어 본 하이퍼링크 86" xfId="25658" hidden="1"/>
    <cellStyle name="열어 본 하이퍼링크 86" xfId="27565" hidden="1"/>
    <cellStyle name="열어 본 하이퍼링크 86" xfId="28161" hidden="1"/>
    <cellStyle name="열어 본 하이퍼링크 86" xfId="30067" hidden="1"/>
    <cellStyle name="열어 본 하이퍼링크 86" xfId="30663" hidden="1"/>
    <cellStyle name="열어 본 하이퍼링크 86" xfId="32622" hidden="1"/>
    <cellStyle name="열어 본 하이퍼링크 86" xfId="33218" hidden="1"/>
    <cellStyle name="열어 본 하이퍼링크 86" xfId="35211" hidden="1"/>
    <cellStyle name="열어 본 하이퍼링크 86" xfId="35807" hidden="1"/>
    <cellStyle name="열어 본 하이퍼링크 86" xfId="37715" hidden="1"/>
    <cellStyle name="열어 본 하이퍼링크 86" xfId="38311" hidden="1"/>
    <cellStyle name="열어 본 하이퍼링크 86" xfId="40217" hidden="1"/>
    <cellStyle name="열어 본 하이퍼링크 86" xfId="40813" hidden="1"/>
    <cellStyle name="열어 본 하이퍼링크 86" xfId="42752" hidden="1"/>
    <cellStyle name="열어 본 하이퍼링크 86" xfId="43348" hidden="1"/>
    <cellStyle name="열어 본 하이퍼링크 86" xfId="45343" hidden="1"/>
    <cellStyle name="열어 본 하이퍼링크 86" xfId="45939" hidden="1"/>
    <cellStyle name="열어 본 하이퍼링크 86" xfId="47846" hidden="1"/>
    <cellStyle name="열어 본 하이퍼링크 86" xfId="48442" hidden="1"/>
    <cellStyle name="열어 본 하이퍼링크 86" xfId="50348" hidden="1"/>
    <cellStyle name="열어 본 하이퍼링크 86" xfId="50944" hidden="1"/>
    <cellStyle name="열어 본 하이퍼링크 87" xfId="12385" hidden="1"/>
    <cellStyle name="열어 본 하이퍼링크 87" xfId="13427" hidden="1"/>
    <cellStyle name="열어 본 하이퍼링크 87" xfId="14986" hidden="1"/>
    <cellStyle name="열어 본 하이퍼링크 87" xfId="16025" hidden="1"/>
    <cellStyle name="열어 본 하이퍼링크 87" xfId="17490" hidden="1"/>
    <cellStyle name="열어 본 하이퍼링크 87" xfId="18529" hidden="1"/>
    <cellStyle name="열어 본 하이퍼링크 87" xfId="19992" hidden="1"/>
    <cellStyle name="열어 본 하이퍼링크 87" xfId="21031" hidden="1"/>
    <cellStyle name="열어 본 하이퍼링크 87" xfId="22552" hidden="1"/>
    <cellStyle name="열어 본 하이퍼링크 87" xfId="23591" hidden="1"/>
    <cellStyle name="열어 본 하이퍼링크 87" xfId="25145" hidden="1"/>
    <cellStyle name="열어 본 하이퍼링크 87" xfId="26184" hidden="1"/>
    <cellStyle name="열어 본 하이퍼링크 87" xfId="27648" hidden="1"/>
    <cellStyle name="열어 본 하이퍼링크 87" xfId="28687" hidden="1"/>
    <cellStyle name="열어 본 하이퍼링크 87" xfId="30150" hidden="1"/>
    <cellStyle name="열어 본 하이퍼링크 87" xfId="31189" hidden="1"/>
    <cellStyle name="열어 본 하이퍼링크 87" xfId="32705" hidden="1"/>
    <cellStyle name="열어 본 하이퍼링크 87" xfId="33744" hidden="1"/>
    <cellStyle name="열어 본 하이퍼링크 87" xfId="35294" hidden="1"/>
    <cellStyle name="열어 본 하이퍼링크 87" xfId="36333" hidden="1"/>
    <cellStyle name="열어 본 하이퍼링크 87" xfId="37798" hidden="1"/>
    <cellStyle name="열어 본 하이퍼링크 87" xfId="38837" hidden="1"/>
    <cellStyle name="열어 본 하이퍼링크 87" xfId="40300" hidden="1"/>
    <cellStyle name="열어 본 하이퍼링크 87" xfId="41339" hidden="1"/>
    <cellStyle name="열어 본 하이퍼링크 87" xfId="42835" hidden="1"/>
    <cellStyle name="열어 본 하이퍼링크 87" xfId="43874" hidden="1"/>
    <cellStyle name="열어 본 하이퍼링크 87" xfId="45426" hidden="1"/>
    <cellStyle name="열어 본 하이퍼링크 87" xfId="46465" hidden="1"/>
    <cellStyle name="열어 본 하이퍼링크 87" xfId="47929" hidden="1"/>
    <cellStyle name="열어 본 하이퍼링크 87" xfId="48968" hidden="1"/>
    <cellStyle name="열어 본 하이퍼링크 87" xfId="50431" hidden="1"/>
    <cellStyle name="열어 본 하이퍼링크 87" xfId="51470" hidden="1"/>
    <cellStyle name="열어 본 하이퍼링크 88" xfId="12427" hidden="1"/>
    <cellStyle name="열어 본 하이퍼링크 88" xfId="13469" hidden="1"/>
    <cellStyle name="열어 본 하이퍼링크 88" xfId="15028" hidden="1"/>
    <cellStyle name="열어 본 하이퍼링크 88" xfId="16067" hidden="1"/>
    <cellStyle name="열어 본 하이퍼링크 88" xfId="17532" hidden="1"/>
    <cellStyle name="열어 본 하이퍼링크 88" xfId="18571" hidden="1"/>
    <cellStyle name="열어 본 하이퍼링크 88" xfId="20034" hidden="1"/>
    <cellStyle name="열어 본 하이퍼링크 88" xfId="21073" hidden="1"/>
    <cellStyle name="열어 본 하이퍼링크 88" xfId="22594" hidden="1"/>
    <cellStyle name="열어 본 하이퍼링크 88" xfId="23633" hidden="1"/>
    <cellStyle name="열어 본 하이퍼링크 88" xfId="25187" hidden="1"/>
    <cellStyle name="열어 본 하이퍼링크 88" xfId="26226" hidden="1"/>
    <cellStyle name="열어 본 하이퍼링크 88" xfId="27690" hidden="1"/>
    <cellStyle name="열어 본 하이퍼링크 88" xfId="28729" hidden="1"/>
    <cellStyle name="열어 본 하이퍼링크 88" xfId="30192" hidden="1"/>
    <cellStyle name="열어 본 하이퍼링크 88" xfId="31231" hidden="1"/>
    <cellStyle name="열어 본 하이퍼링크 88" xfId="32747" hidden="1"/>
    <cellStyle name="열어 본 하이퍼링크 88" xfId="33786" hidden="1"/>
    <cellStyle name="열어 본 하이퍼링크 88" xfId="35336" hidden="1"/>
    <cellStyle name="열어 본 하이퍼링크 88" xfId="36375" hidden="1"/>
    <cellStyle name="열어 본 하이퍼링크 88" xfId="37840" hidden="1"/>
    <cellStyle name="열어 본 하이퍼링크 88" xfId="38879" hidden="1"/>
    <cellStyle name="열어 본 하이퍼링크 88" xfId="40342" hidden="1"/>
    <cellStyle name="열어 본 하이퍼링크 88" xfId="41381" hidden="1"/>
    <cellStyle name="열어 본 하이퍼링크 88" xfId="42877" hidden="1"/>
    <cellStyle name="열어 본 하이퍼링크 88" xfId="43916" hidden="1"/>
    <cellStyle name="열어 본 하이퍼링크 88" xfId="45468" hidden="1"/>
    <cellStyle name="열어 본 하이퍼링크 88" xfId="46507" hidden="1"/>
    <cellStyle name="열어 본 하이퍼링크 88" xfId="47971" hidden="1"/>
    <cellStyle name="열어 본 하이퍼링크 88" xfId="49010" hidden="1"/>
    <cellStyle name="열어 본 하이퍼링크 88" xfId="50473" hidden="1"/>
    <cellStyle name="열어 본 하이퍼링크 88" xfId="51512" hidden="1"/>
    <cellStyle name="열어 본 하이퍼링크 89" xfId="12469" hidden="1"/>
    <cellStyle name="열어 본 하이퍼링크 89" xfId="13511" hidden="1"/>
    <cellStyle name="열어 본 하이퍼링크 89" xfId="15070" hidden="1"/>
    <cellStyle name="열어 본 하이퍼링크 89" xfId="16109" hidden="1"/>
    <cellStyle name="열어 본 하이퍼링크 89" xfId="17574" hidden="1"/>
    <cellStyle name="열어 본 하이퍼링크 89" xfId="18613" hidden="1"/>
    <cellStyle name="열어 본 하이퍼링크 89" xfId="20076" hidden="1"/>
    <cellStyle name="열어 본 하이퍼링크 89" xfId="21115" hidden="1"/>
    <cellStyle name="열어 본 하이퍼링크 89" xfId="22636" hidden="1"/>
    <cellStyle name="열어 본 하이퍼링크 89" xfId="23675" hidden="1"/>
    <cellStyle name="열어 본 하이퍼링크 89" xfId="25229" hidden="1"/>
    <cellStyle name="열어 본 하이퍼링크 89" xfId="26268" hidden="1"/>
    <cellStyle name="열어 본 하이퍼링크 89" xfId="27732" hidden="1"/>
    <cellStyle name="열어 본 하이퍼링크 89" xfId="28771" hidden="1"/>
    <cellStyle name="열어 본 하이퍼링크 89" xfId="30234" hidden="1"/>
    <cellStyle name="열어 본 하이퍼링크 89" xfId="31273" hidden="1"/>
    <cellStyle name="열어 본 하이퍼링크 89" xfId="32789" hidden="1"/>
    <cellStyle name="열어 본 하이퍼링크 89" xfId="33828" hidden="1"/>
    <cellStyle name="열어 본 하이퍼링크 89" xfId="35378" hidden="1"/>
    <cellStyle name="열어 본 하이퍼링크 89" xfId="36417" hidden="1"/>
    <cellStyle name="열어 본 하이퍼링크 89" xfId="37882" hidden="1"/>
    <cellStyle name="열어 본 하이퍼링크 89" xfId="38921" hidden="1"/>
    <cellStyle name="열어 본 하이퍼링크 89" xfId="40384" hidden="1"/>
    <cellStyle name="열어 본 하이퍼링크 89" xfId="41423" hidden="1"/>
    <cellStyle name="열어 본 하이퍼링크 89" xfId="42919" hidden="1"/>
    <cellStyle name="열어 본 하이퍼링크 89" xfId="43958" hidden="1"/>
    <cellStyle name="열어 본 하이퍼링크 89" xfId="45510" hidden="1"/>
    <cellStyle name="열어 본 하이퍼링크 89" xfId="46549" hidden="1"/>
    <cellStyle name="열어 본 하이퍼링크 89" xfId="48013" hidden="1"/>
    <cellStyle name="열어 본 하이퍼링크 89" xfId="49052" hidden="1"/>
    <cellStyle name="열어 본 하이퍼링크 89" xfId="50515" hidden="1"/>
    <cellStyle name="열어 본 하이퍼링크 89" xfId="51554" hidden="1"/>
    <cellStyle name="열어 본 하이퍼링크 9" xfId="7048"/>
    <cellStyle name="열어 본 하이퍼링크 90" xfId="12511" hidden="1"/>
    <cellStyle name="열어 본 하이퍼링크 90" xfId="13553" hidden="1"/>
    <cellStyle name="열어 본 하이퍼링크 90" xfId="15112" hidden="1"/>
    <cellStyle name="열어 본 하이퍼링크 90" xfId="16151" hidden="1"/>
    <cellStyle name="열어 본 하이퍼링크 90" xfId="17616" hidden="1"/>
    <cellStyle name="열어 본 하이퍼링크 90" xfId="18655" hidden="1"/>
    <cellStyle name="열어 본 하이퍼링크 90" xfId="20118" hidden="1"/>
    <cellStyle name="열어 본 하이퍼링크 90" xfId="21157" hidden="1"/>
    <cellStyle name="열어 본 하이퍼링크 90" xfId="22678" hidden="1"/>
    <cellStyle name="열어 본 하이퍼링크 90" xfId="23717" hidden="1"/>
    <cellStyle name="열어 본 하이퍼링크 90" xfId="25271" hidden="1"/>
    <cellStyle name="열어 본 하이퍼링크 90" xfId="26310" hidden="1"/>
    <cellStyle name="열어 본 하이퍼링크 90" xfId="27774" hidden="1"/>
    <cellStyle name="열어 본 하이퍼링크 90" xfId="28813" hidden="1"/>
    <cellStyle name="열어 본 하이퍼링크 90" xfId="30276" hidden="1"/>
    <cellStyle name="열어 본 하이퍼링크 90" xfId="31315" hidden="1"/>
    <cellStyle name="열어 본 하이퍼링크 90" xfId="32831" hidden="1"/>
    <cellStyle name="열어 본 하이퍼링크 90" xfId="33870" hidden="1"/>
    <cellStyle name="열어 본 하이퍼링크 90" xfId="35420" hidden="1"/>
    <cellStyle name="열어 본 하이퍼링크 90" xfId="36459" hidden="1"/>
    <cellStyle name="열어 본 하이퍼링크 90" xfId="37924" hidden="1"/>
    <cellStyle name="열어 본 하이퍼링크 90" xfId="38963" hidden="1"/>
    <cellStyle name="열어 본 하이퍼링크 90" xfId="40426" hidden="1"/>
    <cellStyle name="열어 본 하이퍼링크 90" xfId="41465" hidden="1"/>
    <cellStyle name="열어 본 하이퍼링크 90" xfId="42961" hidden="1"/>
    <cellStyle name="열어 본 하이퍼링크 90" xfId="44000" hidden="1"/>
    <cellStyle name="열어 본 하이퍼링크 90" xfId="45552" hidden="1"/>
    <cellStyle name="열어 본 하이퍼링크 90" xfId="46591" hidden="1"/>
    <cellStyle name="열어 본 하이퍼링크 90" xfId="48055" hidden="1"/>
    <cellStyle name="열어 본 하이퍼링크 90" xfId="49094" hidden="1"/>
    <cellStyle name="열어 본 하이퍼링크 90" xfId="50557" hidden="1"/>
    <cellStyle name="열어 본 하이퍼링크 90" xfId="51596" hidden="1"/>
    <cellStyle name="열어 본 하이퍼링크 91" xfId="12553" hidden="1"/>
    <cellStyle name="열어 본 하이퍼링크 91" xfId="13595" hidden="1"/>
    <cellStyle name="열어 본 하이퍼링크 91" xfId="15154" hidden="1"/>
    <cellStyle name="열어 본 하이퍼링크 91" xfId="16193" hidden="1"/>
    <cellStyle name="열어 본 하이퍼링크 91" xfId="17658" hidden="1"/>
    <cellStyle name="열어 본 하이퍼링크 91" xfId="18697" hidden="1"/>
    <cellStyle name="열어 본 하이퍼링크 91" xfId="20160" hidden="1"/>
    <cellStyle name="열어 본 하이퍼링크 91" xfId="21199" hidden="1"/>
    <cellStyle name="열어 본 하이퍼링크 91" xfId="22720" hidden="1"/>
    <cellStyle name="열어 본 하이퍼링크 91" xfId="23759" hidden="1"/>
    <cellStyle name="열어 본 하이퍼링크 91" xfId="25313" hidden="1"/>
    <cellStyle name="열어 본 하이퍼링크 91" xfId="26352" hidden="1"/>
    <cellStyle name="열어 본 하이퍼링크 91" xfId="27816" hidden="1"/>
    <cellStyle name="열어 본 하이퍼링크 91" xfId="28855" hidden="1"/>
    <cellStyle name="열어 본 하이퍼링크 91" xfId="30318" hidden="1"/>
    <cellStyle name="열어 본 하이퍼링크 91" xfId="31357" hidden="1"/>
    <cellStyle name="열어 본 하이퍼링크 91" xfId="32873" hidden="1"/>
    <cellStyle name="열어 본 하이퍼링크 91" xfId="33912" hidden="1"/>
    <cellStyle name="열어 본 하이퍼링크 91" xfId="35462" hidden="1"/>
    <cellStyle name="열어 본 하이퍼링크 91" xfId="36501" hidden="1"/>
    <cellStyle name="열어 본 하이퍼링크 91" xfId="37966" hidden="1"/>
    <cellStyle name="열어 본 하이퍼링크 91" xfId="39005" hidden="1"/>
    <cellStyle name="열어 본 하이퍼링크 91" xfId="40468" hidden="1"/>
    <cellStyle name="열어 본 하이퍼링크 91" xfId="41507" hidden="1"/>
    <cellStyle name="열어 본 하이퍼링크 91" xfId="43003" hidden="1"/>
    <cellStyle name="열어 본 하이퍼링크 91" xfId="44042" hidden="1"/>
    <cellStyle name="열어 본 하이퍼링크 91" xfId="45594" hidden="1"/>
    <cellStyle name="열어 본 하이퍼링크 91" xfId="46633" hidden="1"/>
    <cellStyle name="열어 본 하이퍼링크 91" xfId="48097" hidden="1"/>
    <cellStyle name="열어 본 하이퍼링크 91" xfId="49136" hidden="1"/>
    <cellStyle name="열어 본 하이퍼링크 91" xfId="50599" hidden="1"/>
    <cellStyle name="열어 본 하이퍼링크 91" xfId="51638" hidden="1"/>
    <cellStyle name="열어 본 하이퍼링크 92" xfId="12595" hidden="1"/>
    <cellStyle name="열어 본 하이퍼링크 92" xfId="13637" hidden="1"/>
    <cellStyle name="열어 본 하이퍼링크 92" xfId="15196" hidden="1"/>
    <cellStyle name="열어 본 하이퍼링크 92" xfId="16235" hidden="1"/>
    <cellStyle name="열어 본 하이퍼링크 92" xfId="17700" hidden="1"/>
    <cellStyle name="열어 본 하이퍼링크 92" xfId="18739" hidden="1"/>
    <cellStyle name="열어 본 하이퍼링크 92" xfId="20202" hidden="1"/>
    <cellStyle name="열어 본 하이퍼링크 92" xfId="21241" hidden="1"/>
    <cellStyle name="열어 본 하이퍼링크 92" xfId="22762" hidden="1"/>
    <cellStyle name="열어 본 하이퍼링크 92" xfId="23801" hidden="1"/>
    <cellStyle name="열어 본 하이퍼링크 92" xfId="25355" hidden="1"/>
    <cellStyle name="열어 본 하이퍼링크 92" xfId="26394" hidden="1"/>
    <cellStyle name="열어 본 하이퍼링크 92" xfId="27858" hidden="1"/>
    <cellStyle name="열어 본 하이퍼링크 92" xfId="28897" hidden="1"/>
    <cellStyle name="열어 본 하이퍼링크 92" xfId="30360" hidden="1"/>
    <cellStyle name="열어 본 하이퍼링크 92" xfId="31399" hidden="1"/>
    <cellStyle name="열어 본 하이퍼링크 92" xfId="32915" hidden="1"/>
    <cellStyle name="열어 본 하이퍼링크 92" xfId="33954" hidden="1"/>
    <cellStyle name="열어 본 하이퍼링크 92" xfId="35504" hidden="1"/>
    <cellStyle name="열어 본 하이퍼링크 92" xfId="36543" hidden="1"/>
    <cellStyle name="열어 본 하이퍼링크 92" xfId="38008" hidden="1"/>
    <cellStyle name="열어 본 하이퍼링크 92" xfId="39047" hidden="1"/>
    <cellStyle name="열어 본 하이퍼링크 92" xfId="40510" hidden="1"/>
    <cellStyle name="열어 본 하이퍼링크 92" xfId="41549" hidden="1"/>
    <cellStyle name="열어 본 하이퍼링크 92" xfId="43045" hidden="1"/>
    <cellStyle name="열어 본 하이퍼링크 92" xfId="44084" hidden="1"/>
    <cellStyle name="열어 본 하이퍼링크 92" xfId="45636" hidden="1"/>
    <cellStyle name="열어 본 하이퍼링크 92" xfId="46675" hidden="1"/>
    <cellStyle name="열어 본 하이퍼링크 92" xfId="48139" hidden="1"/>
    <cellStyle name="열어 본 하이퍼링크 92" xfId="49178" hidden="1"/>
    <cellStyle name="열어 본 하이퍼링크 92" xfId="50641" hidden="1"/>
    <cellStyle name="열어 본 하이퍼링크 92" xfId="51680" hidden="1"/>
    <cellStyle name="열어 본 하이퍼링크 93" xfId="12637" hidden="1"/>
    <cellStyle name="열어 본 하이퍼링크 93" xfId="13679" hidden="1"/>
    <cellStyle name="열어 본 하이퍼링크 93" xfId="15238" hidden="1"/>
    <cellStyle name="열어 본 하이퍼링크 93" xfId="16277" hidden="1"/>
    <cellStyle name="열어 본 하이퍼링크 93" xfId="17742" hidden="1"/>
    <cellStyle name="열어 본 하이퍼링크 93" xfId="18781" hidden="1"/>
    <cellStyle name="열어 본 하이퍼링크 93" xfId="20244" hidden="1"/>
    <cellStyle name="열어 본 하이퍼링크 93" xfId="21283" hidden="1"/>
    <cellStyle name="열어 본 하이퍼링크 93" xfId="22804" hidden="1"/>
    <cellStyle name="열어 본 하이퍼링크 93" xfId="23843" hidden="1"/>
    <cellStyle name="열어 본 하이퍼링크 93" xfId="25397" hidden="1"/>
    <cellStyle name="열어 본 하이퍼링크 93" xfId="26436" hidden="1"/>
    <cellStyle name="열어 본 하이퍼링크 93" xfId="27900" hidden="1"/>
    <cellStyle name="열어 본 하이퍼링크 93" xfId="28939" hidden="1"/>
    <cellStyle name="열어 본 하이퍼링크 93" xfId="30402" hidden="1"/>
    <cellStyle name="열어 본 하이퍼링크 93" xfId="31441" hidden="1"/>
    <cellStyle name="열어 본 하이퍼링크 93" xfId="32957" hidden="1"/>
    <cellStyle name="열어 본 하이퍼링크 93" xfId="33996" hidden="1"/>
    <cellStyle name="열어 본 하이퍼링크 93" xfId="35546" hidden="1"/>
    <cellStyle name="열어 본 하이퍼링크 93" xfId="36585" hidden="1"/>
    <cellStyle name="열어 본 하이퍼링크 93" xfId="38050" hidden="1"/>
    <cellStyle name="열어 본 하이퍼링크 93" xfId="39089" hidden="1"/>
    <cellStyle name="열어 본 하이퍼링크 93" xfId="40552" hidden="1"/>
    <cellStyle name="열어 본 하이퍼링크 93" xfId="41591" hidden="1"/>
    <cellStyle name="열어 본 하이퍼링크 93" xfId="43087" hidden="1"/>
    <cellStyle name="열어 본 하이퍼링크 93" xfId="44126" hidden="1"/>
    <cellStyle name="열어 본 하이퍼링크 93" xfId="45678" hidden="1"/>
    <cellStyle name="열어 본 하이퍼링크 93" xfId="46717" hidden="1"/>
    <cellStyle name="열어 본 하이퍼링크 93" xfId="48181" hidden="1"/>
    <cellStyle name="열어 본 하이퍼링크 93" xfId="49220" hidden="1"/>
    <cellStyle name="열어 본 하이퍼링크 93" xfId="50683" hidden="1"/>
    <cellStyle name="열어 본 하이퍼링크 93" xfId="51722" hidden="1"/>
    <cellStyle name="열어 본 하이퍼링크 94" xfId="12679" hidden="1"/>
    <cellStyle name="열어 본 하이퍼링크 94" xfId="13721" hidden="1"/>
    <cellStyle name="열어 본 하이퍼링크 94" xfId="15280" hidden="1"/>
    <cellStyle name="열어 본 하이퍼링크 94" xfId="16319" hidden="1"/>
    <cellStyle name="열어 본 하이퍼링크 94" xfId="17784" hidden="1"/>
    <cellStyle name="열어 본 하이퍼링크 94" xfId="18823" hidden="1"/>
    <cellStyle name="열어 본 하이퍼링크 94" xfId="20286" hidden="1"/>
    <cellStyle name="열어 본 하이퍼링크 94" xfId="21325" hidden="1"/>
    <cellStyle name="열어 본 하이퍼링크 94" xfId="22846" hidden="1"/>
    <cellStyle name="열어 본 하이퍼링크 94" xfId="23885" hidden="1"/>
    <cellStyle name="열어 본 하이퍼링크 94" xfId="25439" hidden="1"/>
    <cellStyle name="열어 본 하이퍼링크 94" xfId="26478" hidden="1"/>
    <cellStyle name="열어 본 하이퍼링크 94" xfId="27942" hidden="1"/>
    <cellStyle name="열어 본 하이퍼링크 94" xfId="28981" hidden="1"/>
    <cellStyle name="열어 본 하이퍼링크 94" xfId="30444" hidden="1"/>
    <cellStyle name="열어 본 하이퍼링크 94" xfId="31483" hidden="1"/>
    <cellStyle name="열어 본 하이퍼링크 94" xfId="32999" hidden="1"/>
    <cellStyle name="열어 본 하이퍼링크 94" xfId="34038" hidden="1"/>
    <cellStyle name="열어 본 하이퍼링크 94" xfId="35588" hidden="1"/>
    <cellStyle name="열어 본 하이퍼링크 94" xfId="36627" hidden="1"/>
    <cellStyle name="열어 본 하이퍼링크 94" xfId="38092" hidden="1"/>
    <cellStyle name="열어 본 하이퍼링크 94" xfId="39131" hidden="1"/>
    <cellStyle name="열어 본 하이퍼링크 94" xfId="40594" hidden="1"/>
    <cellStyle name="열어 본 하이퍼링크 94" xfId="41633" hidden="1"/>
    <cellStyle name="열어 본 하이퍼링크 94" xfId="43129" hidden="1"/>
    <cellStyle name="열어 본 하이퍼링크 94" xfId="44168" hidden="1"/>
    <cellStyle name="열어 본 하이퍼링크 94" xfId="45720" hidden="1"/>
    <cellStyle name="열어 본 하이퍼링크 94" xfId="46759" hidden="1"/>
    <cellStyle name="열어 본 하이퍼링크 94" xfId="48223" hidden="1"/>
    <cellStyle name="열어 본 하이퍼링크 94" xfId="49262" hidden="1"/>
    <cellStyle name="열어 본 하이퍼링크 94" xfId="50725" hidden="1"/>
    <cellStyle name="열어 본 하이퍼링크 94" xfId="51764" hidden="1"/>
    <cellStyle name="열어 본 하이퍼링크 95" xfId="12721" hidden="1"/>
    <cellStyle name="열어 본 하이퍼링크 95" xfId="13763" hidden="1"/>
    <cellStyle name="열어 본 하이퍼링크 95" xfId="15322" hidden="1"/>
    <cellStyle name="열어 본 하이퍼링크 95" xfId="16361" hidden="1"/>
    <cellStyle name="열어 본 하이퍼링크 95" xfId="17826" hidden="1"/>
    <cellStyle name="열어 본 하이퍼링크 95" xfId="18865" hidden="1"/>
    <cellStyle name="열어 본 하이퍼링크 95" xfId="20328" hidden="1"/>
    <cellStyle name="열어 본 하이퍼링크 95" xfId="21367" hidden="1"/>
    <cellStyle name="열어 본 하이퍼링크 95" xfId="22888" hidden="1"/>
    <cellStyle name="열어 본 하이퍼링크 95" xfId="23927" hidden="1"/>
    <cellStyle name="열어 본 하이퍼링크 95" xfId="25481" hidden="1"/>
    <cellStyle name="열어 본 하이퍼링크 95" xfId="26520" hidden="1"/>
    <cellStyle name="열어 본 하이퍼링크 95" xfId="27984" hidden="1"/>
    <cellStyle name="열어 본 하이퍼링크 95" xfId="29023" hidden="1"/>
    <cellStyle name="열어 본 하이퍼링크 95" xfId="30486" hidden="1"/>
    <cellStyle name="열어 본 하이퍼링크 95" xfId="31525" hidden="1"/>
    <cellStyle name="열어 본 하이퍼링크 95" xfId="33041" hidden="1"/>
    <cellStyle name="열어 본 하이퍼링크 95" xfId="34080" hidden="1"/>
    <cellStyle name="열어 본 하이퍼링크 95" xfId="35630" hidden="1"/>
    <cellStyle name="열어 본 하이퍼링크 95" xfId="36669" hidden="1"/>
    <cellStyle name="열어 본 하이퍼링크 95" xfId="38134" hidden="1"/>
    <cellStyle name="열어 본 하이퍼링크 95" xfId="39173" hidden="1"/>
    <cellStyle name="열어 본 하이퍼링크 95" xfId="40636" hidden="1"/>
    <cellStyle name="열어 본 하이퍼링크 95" xfId="41675" hidden="1"/>
    <cellStyle name="열어 본 하이퍼링크 95" xfId="43171" hidden="1"/>
    <cellStyle name="열어 본 하이퍼링크 95" xfId="44210" hidden="1"/>
    <cellStyle name="열어 본 하이퍼링크 95" xfId="45762" hidden="1"/>
    <cellStyle name="열어 본 하이퍼링크 95" xfId="46801" hidden="1"/>
    <cellStyle name="열어 본 하이퍼링크 95" xfId="48265" hidden="1"/>
    <cellStyle name="열어 본 하이퍼링크 95" xfId="49304" hidden="1"/>
    <cellStyle name="열어 본 하이퍼링크 95" xfId="50767" hidden="1"/>
    <cellStyle name="열어 본 하이퍼링크 95" xfId="51806" hidden="1"/>
    <cellStyle name="열어 본 하이퍼링크 96" xfId="12763" hidden="1"/>
    <cellStyle name="열어 본 하이퍼링크 96" xfId="13805" hidden="1"/>
    <cellStyle name="열어 본 하이퍼링크 96" xfId="15364" hidden="1"/>
    <cellStyle name="열어 본 하이퍼링크 96" xfId="16403" hidden="1"/>
    <cellStyle name="열어 본 하이퍼링크 96" xfId="17868" hidden="1"/>
    <cellStyle name="열어 본 하이퍼링크 96" xfId="18907" hidden="1"/>
    <cellStyle name="열어 본 하이퍼링크 96" xfId="20370" hidden="1"/>
    <cellStyle name="열어 본 하이퍼링크 96" xfId="21409" hidden="1"/>
    <cellStyle name="열어 본 하이퍼링크 96" xfId="22930" hidden="1"/>
    <cellStyle name="열어 본 하이퍼링크 96" xfId="23969" hidden="1"/>
    <cellStyle name="열어 본 하이퍼링크 96" xfId="25523" hidden="1"/>
    <cellStyle name="열어 본 하이퍼링크 96" xfId="26562" hidden="1"/>
    <cellStyle name="열어 본 하이퍼링크 96" xfId="28026" hidden="1"/>
    <cellStyle name="열어 본 하이퍼링크 96" xfId="29065" hidden="1"/>
    <cellStyle name="열어 본 하이퍼링크 96" xfId="30528" hidden="1"/>
    <cellStyle name="열어 본 하이퍼링크 96" xfId="31567" hidden="1"/>
    <cellStyle name="열어 본 하이퍼링크 96" xfId="33083" hidden="1"/>
    <cellStyle name="열어 본 하이퍼링크 96" xfId="34122" hidden="1"/>
    <cellStyle name="열어 본 하이퍼링크 96" xfId="35672" hidden="1"/>
    <cellStyle name="열어 본 하이퍼링크 96" xfId="36711" hidden="1"/>
    <cellStyle name="열어 본 하이퍼링크 96" xfId="38176" hidden="1"/>
    <cellStyle name="열어 본 하이퍼링크 96" xfId="39215" hidden="1"/>
    <cellStyle name="열어 본 하이퍼링크 96" xfId="40678" hidden="1"/>
    <cellStyle name="열어 본 하이퍼링크 96" xfId="41717" hidden="1"/>
    <cellStyle name="열어 본 하이퍼링크 96" xfId="43213" hidden="1"/>
    <cellStyle name="열어 본 하이퍼링크 96" xfId="44252" hidden="1"/>
    <cellStyle name="열어 본 하이퍼링크 96" xfId="45804" hidden="1"/>
    <cellStyle name="열어 본 하이퍼링크 96" xfId="46843" hidden="1"/>
    <cellStyle name="열어 본 하이퍼링크 96" xfId="48307" hidden="1"/>
    <cellStyle name="열어 본 하이퍼링크 96" xfId="49346" hidden="1"/>
    <cellStyle name="열어 본 하이퍼링크 96" xfId="50809" hidden="1"/>
    <cellStyle name="열어 본 하이퍼링크 96" xfId="51848" hidden="1"/>
    <cellStyle name="열어 본 하이퍼링크 97" xfId="12805" hidden="1"/>
    <cellStyle name="열어 본 하이퍼링크 97" xfId="13847" hidden="1"/>
    <cellStyle name="열어 본 하이퍼링크 97" xfId="15406" hidden="1"/>
    <cellStyle name="열어 본 하이퍼링크 97" xfId="16445" hidden="1"/>
    <cellStyle name="열어 본 하이퍼링크 97" xfId="17910" hidden="1"/>
    <cellStyle name="열어 본 하이퍼링크 97" xfId="18949" hidden="1"/>
    <cellStyle name="열어 본 하이퍼링크 97" xfId="20412" hidden="1"/>
    <cellStyle name="열어 본 하이퍼링크 97" xfId="21451" hidden="1"/>
    <cellStyle name="열어 본 하이퍼링크 97" xfId="22972" hidden="1"/>
    <cellStyle name="열어 본 하이퍼링크 97" xfId="24011" hidden="1"/>
    <cellStyle name="열어 본 하이퍼링크 97" xfId="25565" hidden="1"/>
    <cellStyle name="열어 본 하이퍼링크 97" xfId="26604" hidden="1"/>
    <cellStyle name="열어 본 하이퍼링크 97" xfId="28068" hidden="1"/>
    <cellStyle name="열어 본 하이퍼링크 97" xfId="29107" hidden="1"/>
    <cellStyle name="열어 본 하이퍼링크 97" xfId="30570" hidden="1"/>
    <cellStyle name="열어 본 하이퍼링크 97" xfId="31609" hidden="1"/>
    <cellStyle name="열어 본 하이퍼링크 97" xfId="33125" hidden="1"/>
    <cellStyle name="열어 본 하이퍼링크 97" xfId="34164" hidden="1"/>
    <cellStyle name="열어 본 하이퍼링크 97" xfId="35714" hidden="1"/>
    <cellStyle name="열어 본 하이퍼링크 97" xfId="36753" hidden="1"/>
    <cellStyle name="열어 본 하이퍼링크 97" xfId="38218" hidden="1"/>
    <cellStyle name="열어 본 하이퍼링크 97" xfId="39257" hidden="1"/>
    <cellStyle name="열어 본 하이퍼링크 97" xfId="40720" hidden="1"/>
    <cellStyle name="열어 본 하이퍼링크 97" xfId="41759" hidden="1"/>
    <cellStyle name="열어 본 하이퍼링크 97" xfId="43255" hidden="1"/>
    <cellStyle name="열어 본 하이퍼링크 97" xfId="44294" hidden="1"/>
    <cellStyle name="열어 본 하이퍼링크 97" xfId="45846" hidden="1"/>
    <cellStyle name="열어 본 하이퍼링크 97" xfId="46885" hidden="1"/>
    <cellStyle name="열어 본 하이퍼링크 97" xfId="48349" hidden="1"/>
    <cellStyle name="열어 본 하이퍼링크 97" xfId="49388" hidden="1"/>
    <cellStyle name="열어 본 하이퍼링크 97" xfId="50851" hidden="1"/>
    <cellStyle name="열어 본 하이퍼링크 97" xfId="51890" hidden="1"/>
    <cellStyle name="요약 10" xfId="7049"/>
    <cellStyle name="요약 11" xfId="7050"/>
    <cellStyle name="요약 12" xfId="7051"/>
    <cellStyle name="요약 13" xfId="7052"/>
    <cellStyle name="요약 14" xfId="7053"/>
    <cellStyle name="요약 15" xfId="7054"/>
    <cellStyle name="요약 16" xfId="7055"/>
    <cellStyle name="요약 17" xfId="7056"/>
    <cellStyle name="요약 18" xfId="7057"/>
    <cellStyle name="요약 19" xfId="7058"/>
    <cellStyle name="요약 2" xfId="383"/>
    <cellStyle name="요약 2 10" xfId="7059"/>
    <cellStyle name="요약 2 100" xfId="7060"/>
    <cellStyle name="요약 2 101" xfId="7061"/>
    <cellStyle name="요약 2 102" xfId="7062"/>
    <cellStyle name="요약 2 103" xfId="7063"/>
    <cellStyle name="요약 2 104" xfId="7064"/>
    <cellStyle name="요약 2 105" xfId="7065"/>
    <cellStyle name="요약 2 106" xfId="7066"/>
    <cellStyle name="요약 2 107" xfId="7067"/>
    <cellStyle name="요약 2 108" xfId="7068"/>
    <cellStyle name="요약 2 109" xfId="7069"/>
    <cellStyle name="요약 2 11" xfId="7070"/>
    <cellStyle name="요약 2 110" xfId="7071"/>
    <cellStyle name="요약 2 111" xfId="7072"/>
    <cellStyle name="요약 2 112" xfId="7073"/>
    <cellStyle name="요약 2 12" xfId="7074"/>
    <cellStyle name="요약 2 13" xfId="7075"/>
    <cellStyle name="요약 2 14" xfId="7076"/>
    <cellStyle name="요약 2 15" xfId="7077"/>
    <cellStyle name="요약 2 16" xfId="7078"/>
    <cellStyle name="요약 2 17" xfId="7079"/>
    <cellStyle name="요약 2 18" xfId="7080"/>
    <cellStyle name="요약 2 19" xfId="7081"/>
    <cellStyle name="요약 2 2" xfId="7082"/>
    <cellStyle name="요약 2 2 2" xfId="7083"/>
    <cellStyle name="요약 2 2 3" xfId="7084"/>
    <cellStyle name="요약 2 2 4" xfId="7085"/>
    <cellStyle name="요약 2 2 5" xfId="7086"/>
    <cellStyle name="요약 2 20" xfId="7087"/>
    <cellStyle name="요약 2 21" xfId="7088"/>
    <cellStyle name="요약 2 22" xfId="7089"/>
    <cellStyle name="요약 2 23" xfId="7090"/>
    <cellStyle name="요약 2 24" xfId="7091"/>
    <cellStyle name="요약 2 25" xfId="7092"/>
    <cellStyle name="요약 2 26" xfId="7093"/>
    <cellStyle name="요약 2 27" xfId="7094"/>
    <cellStyle name="요약 2 28" xfId="7095"/>
    <cellStyle name="요약 2 29" xfId="7096"/>
    <cellStyle name="요약 2 3" xfId="7097"/>
    <cellStyle name="요약 2 30" xfId="7098"/>
    <cellStyle name="요약 2 31" xfId="7099"/>
    <cellStyle name="요약 2 32" xfId="7100"/>
    <cellStyle name="요약 2 33" xfId="7101"/>
    <cellStyle name="요약 2 34" xfId="7102"/>
    <cellStyle name="요약 2 35" xfId="7103"/>
    <cellStyle name="요약 2 36" xfId="7104"/>
    <cellStyle name="요약 2 37" xfId="7105"/>
    <cellStyle name="요약 2 38" xfId="7106"/>
    <cellStyle name="요약 2 39" xfId="7107"/>
    <cellStyle name="요약 2 4" xfId="7108"/>
    <cellStyle name="요약 2 40" xfId="7109"/>
    <cellStyle name="요약 2 41" xfId="7110"/>
    <cellStyle name="요약 2 42" xfId="7111"/>
    <cellStyle name="요약 2 43" xfId="7112"/>
    <cellStyle name="요약 2 44" xfId="7113"/>
    <cellStyle name="요약 2 45" xfId="7114"/>
    <cellStyle name="요약 2 46" xfId="7115"/>
    <cellStyle name="요약 2 47" xfId="7116"/>
    <cellStyle name="요약 2 48" xfId="7117"/>
    <cellStyle name="요약 2 49" xfId="7118"/>
    <cellStyle name="요약 2 5" xfId="7119"/>
    <cellStyle name="요약 2 50" xfId="7120"/>
    <cellStyle name="요약 2 51" xfId="7121"/>
    <cellStyle name="요약 2 52" xfId="7122"/>
    <cellStyle name="요약 2 53" xfId="7123"/>
    <cellStyle name="요약 2 54" xfId="7124"/>
    <cellStyle name="요약 2 55" xfId="7125"/>
    <cellStyle name="요약 2 56" xfId="7126"/>
    <cellStyle name="요약 2 57" xfId="7127"/>
    <cellStyle name="요약 2 58" xfId="7128"/>
    <cellStyle name="요약 2 59" xfId="7129"/>
    <cellStyle name="요약 2 6" xfId="7130"/>
    <cellStyle name="요약 2 60" xfId="7131"/>
    <cellStyle name="요약 2 61" xfId="7132"/>
    <cellStyle name="요약 2 62" xfId="7133"/>
    <cellStyle name="요약 2 63" xfId="7134"/>
    <cellStyle name="요약 2 64" xfId="7135"/>
    <cellStyle name="요약 2 65" xfId="7136"/>
    <cellStyle name="요약 2 66" xfId="7137"/>
    <cellStyle name="요약 2 67" xfId="7138"/>
    <cellStyle name="요약 2 68" xfId="7139"/>
    <cellStyle name="요약 2 69" xfId="7140"/>
    <cellStyle name="요약 2 7" xfId="7141"/>
    <cellStyle name="요약 2 70" xfId="7142"/>
    <cellStyle name="요약 2 71" xfId="7143"/>
    <cellStyle name="요약 2 72" xfId="7144"/>
    <cellStyle name="요약 2 73" xfId="7145"/>
    <cellStyle name="요약 2 74" xfId="7146"/>
    <cellStyle name="요약 2 75" xfId="7147"/>
    <cellStyle name="요약 2 76" xfId="7148"/>
    <cellStyle name="요약 2 77" xfId="7149"/>
    <cellStyle name="요약 2 78" xfId="7150"/>
    <cellStyle name="요약 2 79" xfId="7151"/>
    <cellStyle name="요약 2 8" xfId="7152"/>
    <cellStyle name="요약 2 80" xfId="7153"/>
    <cellStyle name="요약 2 81" xfId="7154"/>
    <cellStyle name="요약 2 82" xfId="7155"/>
    <cellStyle name="요약 2 83" xfId="7156"/>
    <cellStyle name="요약 2 84" xfId="7157"/>
    <cellStyle name="요약 2 85" xfId="7158"/>
    <cellStyle name="요약 2 86" xfId="7159"/>
    <cellStyle name="요약 2 87" xfId="7160"/>
    <cellStyle name="요약 2 88" xfId="7161"/>
    <cellStyle name="요약 2 89" xfId="7162"/>
    <cellStyle name="요약 2 9" xfId="7163"/>
    <cellStyle name="요약 2 90" xfId="7164"/>
    <cellStyle name="요약 2 91" xfId="7165"/>
    <cellStyle name="요약 2 92" xfId="7166"/>
    <cellStyle name="요약 2 93" xfId="7167"/>
    <cellStyle name="요약 2 94" xfId="7168"/>
    <cellStyle name="요약 2 95" xfId="7169"/>
    <cellStyle name="요약 2 96" xfId="7170"/>
    <cellStyle name="요약 2 97" xfId="7171"/>
    <cellStyle name="요약 2 98" xfId="7172"/>
    <cellStyle name="요약 2 99" xfId="7173"/>
    <cellStyle name="요약 20" xfId="7174"/>
    <cellStyle name="요약 21" xfId="7175"/>
    <cellStyle name="요약 22" xfId="7176"/>
    <cellStyle name="요약 23" xfId="7177"/>
    <cellStyle name="요약 24" xfId="7178"/>
    <cellStyle name="요약 25" xfId="7179"/>
    <cellStyle name="요약 26" xfId="7180"/>
    <cellStyle name="요약 27" xfId="7181"/>
    <cellStyle name="요약 28" xfId="7182"/>
    <cellStyle name="요약 29" xfId="7183"/>
    <cellStyle name="요약 3" xfId="384"/>
    <cellStyle name="요약 30" xfId="7184"/>
    <cellStyle name="요약 31" xfId="7185"/>
    <cellStyle name="요약 32" xfId="7186"/>
    <cellStyle name="요약 33" xfId="7187"/>
    <cellStyle name="요약 34" xfId="7188"/>
    <cellStyle name="요약 35" xfId="7189"/>
    <cellStyle name="요약 36" xfId="7190"/>
    <cellStyle name="요약 37" xfId="7191"/>
    <cellStyle name="요약 38" xfId="7192"/>
    <cellStyle name="요약 39" xfId="7193"/>
    <cellStyle name="요약 4" xfId="11723" hidden="1"/>
    <cellStyle name="요약 4" xfId="11769" hidden="1"/>
    <cellStyle name="요약 4" xfId="11815" hidden="1"/>
    <cellStyle name="요약 4" xfId="11861" hidden="1"/>
    <cellStyle name="요약 4" xfId="11907" hidden="1"/>
    <cellStyle name="요약 4" xfId="11953" hidden="1"/>
    <cellStyle name="요약 4" xfId="11999" hidden="1"/>
    <cellStyle name="요약 4" xfId="12045" hidden="1"/>
    <cellStyle name="요약 4" xfId="12091" hidden="1"/>
    <cellStyle name="요약 4" xfId="12137" hidden="1"/>
    <cellStyle name="요약 4" xfId="12183" hidden="1"/>
    <cellStyle name="요약 4" xfId="12229" hidden="1"/>
    <cellStyle name="요약 4" xfId="12319" hidden="1"/>
    <cellStyle name="요약 4" xfId="12360" hidden="1"/>
    <cellStyle name="요약 4" xfId="12402" hidden="1"/>
    <cellStyle name="요약 4" xfId="12444" hidden="1"/>
    <cellStyle name="요약 4" xfId="12486" hidden="1"/>
    <cellStyle name="요약 4" xfId="12528" hidden="1"/>
    <cellStyle name="요약 4" xfId="12570" hidden="1"/>
    <cellStyle name="요약 4" xfId="12612" hidden="1"/>
    <cellStyle name="요약 4" xfId="12654" hidden="1"/>
    <cellStyle name="요약 4" xfId="12696" hidden="1"/>
    <cellStyle name="요약 4" xfId="12738" hidden="1"/>
    <cellStyle name="요약 4" xfId="12780" hidden="1"/>
    <cellStyle name="요약 4" xfId="12274" hidden="1"/>
    <cellStyle name="요약 4" xfId="12962" hidden="1"/>
    <cellStyle name="요약 4" xfId="13002" hidden="1"/>
    <cellStyle name="요약 4" xfId="13042" hidden="1"/>
    <cellStyle name="요약 4" xfId="13082" hidden="1"/>
    <cellStyle name="요약 4" xfId="13122" hidden="1"/>
    <cellStyle name="요약 4" xfId="13162" hidden="1"/>
    <cellStyle name="요약 4" xfId="13202" hidden="1"/>
    <cellStyle name="요약 4" xfId="13242" hidden="1"/>
    <cellStyle name="요약 4" xfId="13282" hidden="1"/>
    <cellStyle name="요약 4" xfId="13322" hidden="1"/>
    <cellStyle name="요약 4" xfId="13362" hidden="1"/>
    <cellStyle name="요약 4" xfId="13402" hidden="1"/>
    <cellStyle name="요약 4" xfId="12872" hidden="1"/>
    <cellStyle name="요약 4" xfId="12833" hidden="1"/>
    <cellStyle name="요약 4" xfId="13444" hidden="1"/>
    <cellStyle name="요약 4" xfId="13486" hidden="1"/>
    <cellStyle name="요약 4" xfId="13528" hidden="1"/>
    <cellStyle name="요약 4" xfId="13570" hidden="1"/>
    <cellStyle name="요약 4" xfId="13612" hidden="1"/>
    <cellStyle name="요약 4" xfId="13654" hidden="1"/>
    <cellStyle name="요약 4" xfId="13696" hidden="1"/>
    <cellStyle name="요약 4" xfId="13738" hidden="1"/>
    <cellStyle name="요약 4" xfId="13780" hidden="1"/>
    <cellStyle name="요약 4" xfId="13822" hidden="1"/>
    <cellStyle name="요약 4" xfId="12926" hidden="1"/>
    <cellStyle name="요약 4" xfId="13850" hidden="1"/>
    <cellStyle name="요약 4" xfId="13890" hidden="1"/>
    <cellStyle name="요약 4" xfId="13930" hidden="1"/>
    <cellStyle name="요약 4" xfId="13970" hidden="1"/>
    <cellStyle name="요약 4" xfId="14010" hidden="1"/>
    <cellStyle name="요약 4" xfId="14050" hidden="1"/>
    <cellStyle name="요약 4" xfId="14090" hidden="1"/>
    <cellStyle name="요약 4" xfId="14130" hidden="1"/>
    <cellStyle name="요약 4" xfId="14170" hidden="1"/>
    <cellStyle name="요약 4" xfId="14210" hidden="1"/>
    <cellStyle name="요약 4" xfId="14250" hidden="1"/>
    <cellStyle name="요약 4" xfId="14290" hidden="1"/>
    <cellStyle name="요약 4" xfId="14396" hidden="1"/>
    <cellStyle name="요약 4" xfId="14436" hidden="1"/>
    <cellStyle name="요약 4" xfId="14476" hidden="1"/>
    <cellStyle name="요약 4" xfId="14516" hidden="1"/>
    <cellStyle name="요약 4" xfId="14556" hidden="1"/>
    <cellStyle name="요약 4" xfId="14596" hidden="1"/>
    <cellStyle name="요약 4" xfId="14636" hidden="1"/>
    <cellStyle name="요약 4" xfId="14676" hidden="1"/>
    <cellStyle name="요약 4" xfId="14716" hidden="1"/>
    <cellStyle name="요약 4" xfId="14756" hidden="1"/>
    <cellStyle name="요약 4" xfId="14796" hidden="1"/>
    <cellStyle name="요약 4" xfId="14836" hidden="1"/>
    <cellStyle name="요약 4" xfId="14920" hidden="1"/>
    <cellStyle name="요약 4" xfId="14961" hidden="1"/>
    <cellStyle name="요약 4" xfId="15003" hidden="1"/>
    <cellStyle name="요약 4" xfId="15045" hidden="1"/>
    <cellStyle name="요약 4" xfId="15087" hidden="1"/>
    <cellStyle name="요약 4" xfId="15129" hidden="1"/>
    <cellStyle name="요약 4" xfId="15171" hidden="1"/>
    <cellStyle name="요약 4" xfId="15213" hidden="1"/>
    <cellStyle name="요약 4" xfId="15255" hidden="1"/>
    <cellStyle name="요약 4" xfId="15297" hidden="1"/>
    <cellStyle name="요약 4" xfId="15339" hidden="1"/>
    <cellStyle name="요약 4" xfId="15381" hidden="1"/>
    <cellStyle name="요약 4" xfId="14877" hidden="1"/>
    <cellStyle name="요약 4" xfId="15560" hidden="1"/>
    <cellStyle name="요약 4" xfId="15600" hidden="1"/>
    <cellStyle name="요약 4" xfId="15640" hidden="1"/>
    <cellStyle name="요약 4" xfId="15680" hidden="1"/>
    <cellStyle name="요약 4" xfId="15720" hidden="1"/>
    <cellStyle name="요약 4" xfId="15760" hidden="1"/>
    <cellStyle name="요약 4" xfId="15800" hidden="1"/>
    <cellStyle name="요약 4" xfId="15840" hidden="1"/>
    <cellStyle name="요약 4" xfId="15880" hidden="1"/>
    <cellStyle name="요약 4" xfId="15920" hidden="1"/>
    <cellStyle name="요약 4" xfId="15960" hidden="1"/>
    <cellStyle name="요약 4" xfId="16000" hidden="1"/>
    <cellStyle name="요약 4" xfId="15472" hidden="1"/>
    <cellStyle name="요약 4" xfId="15433" hidden="1"/>
    <cellStyle name="요약 4" xfId="16042" hidden="1"/>
    <cellStyle name="요약 4" xfId="16084" hidden="1"/>
    <cellStyle name="요약 4" xfId="16126" hidden="1"/>
    <cellStyle name="요약 4" xfId="16168" hidden="1"/>
    <cellStyle name="요약 4" xfId="16210" hidden="1"/>
    <cellStyle name="요약 4" xfId="16252" hidden="1"/>
    <cellStyle name="요약 4" xfId="16294" hidden="1"/>
    <cellStyle name="요약 4" xfId="16336" hidden="1"/>
    <cellStyle name="요약 4" xfId="16378" hidden="1"/>
    <cellStyle name="요약 4" xfId="16420" hidden="1"/>
    <cellStyle name="요약 4" xfId="15525" hidden="1"/>
    <cellStyle name="요약 4" xfId="16448" hidden="1"/>
    <cellStyle name="요약 4" xfId="16488" hidden="1"/>
    <cellStyle name="요약 4" xfId="16528" hidden="1"/>
    <cellStyle name="요약 4" xfId="16568" hidden="1"/>
    <cellStyle name="요약 4" xfId="16608" hidden="1"/>
    <cellStyle name="요약 4" xfId="16648" hidden="1"/>
    <cellStyle name="요약 4" xfId="16688" hidden="1"/>
    <cellStyle name="요약 4" xfId="16728" hidden="1"/>
    <cellStyle name="요약 4" xfId="16768" hidden="1"/>
    <cellStyle name="요약 4" xfId="16808" hidden="1"/>
    <cellStyle name="요약 4" xfId="16848" hidden="1"/>
    <cellStyle name="요약 4" xfId="16888" hidden="1"/>
    <cellStyle name="요약 4" xfId="14329" hidden="1"/>
    <cellStyle name="요약 4" xfId="16939" hidden="1"/>
    <cellStyle name="요약 4" xfId="16980" hidden="1"/>
    <cellStyle name="요약 4" xfId="17020" hidden="1"/>
    <cellStyle name="요약 4" xfId="17060" hidden="1"/>
    <cellStyle name="요약 4" xfId="17100" hidden="1"/>
    <cellStyle name="요약 4" xfId="17140" hidden="1"/>
    <cellStyle name="요약 4" xfId="17180" hidden="1"/>
    <cellStyle name="요약 4" xfId="17220" hidden="1"/>
    <cellStyle name="요약 4" xfId="17260" hidden="1"/>
    <cellStyle name="요약 4" xfId="17300" hidden="1"/>
    <cellStyle name="요약 4" xfId="17340" hidden="1"/>
    <cellStyle name="요약 4" xfId="17424" hidden="1"/>
    <cellStyle name="요약 4" xfId="17465" hidden="1"/>
    <cellStyle name="요약 4" xfId="17507" hidden="1"/>
    <cellStyle name="요약 4" xfId="17549" hidden="1"/>
    <cellStyle name="요약 4" xfId="17591" hidden="1"/>
    <cellStyle name="요약 4" xfId="17633" hidden="1"/>
    <cellStyle name="요약 4" xfId="17675" hidden="1"/>
    <cellStyle name="요약 4" xfId="17717" hidden="1"/>
    <cellStyle name="요약 4" xfId="17759" hidden="1"/>
    <cellStyle name="요약 4" xfId="17801" hidden="1"/>
    <cellStyle name="요약 4" xfId="17843" hidden="1"/>
    <cellStyle name="요약 4" xfId="17885" hidden="1"/>
    <cellStyle name="요약 4" xfId="17381" hidden="1"/>
    <cellStyle name="요약 4" xfId="18064" hidden="1"/>
    <cellStyle name="요약 4" xfId="18104" hidden="1"/>
    <cellStyle name="요약 4" xfId="18144" hidden="1"/>
    <cellStyle name="요약 4" xfId="18184" hidden="1"/>
    <cellStyle name="요약 4" xfId="18224" hidden="1"/>
    <cellStyle name="요약 4" xfId="18264" hidden="1"/>
    <cellStyle name="요약 4" xfId="18304" hidden="1"/>
    <cellStyle name="요약 4" xfId="18344" hidden="1"/>
    <cellStyle name="요약 4" xfId="18384" hidden="1"/>
    <cellStyle name="요약 4" xfId="18424" hidden="1"/>
    <cellStyle name="요약 4" xfId="18464" hidden="1"/>
    <cellStyle name="요약 4" xfId="18504" hidden="1"/>
    <cellStyle name="요약 4" xfId="17976" hidden="1"/>
    <cellStyle name="요약 4" xfId="17937" hidden="1"/>
    <cellStyle name="요약 4" xfId="18546" hidden="1"/>
    <cellStyle name="요약 4" xfId="18588" hidden="1"/>
    <cellStyle name="요약 4" xfId="18630" hidden="1"/>
    <cellStyle name="요약 4" xfId="18672" hidden="1"/>
    <cellStyle name="요약 4" xfId="18714" hidden="1"/>
    <cellStyle name="요약 4" xfId="18756" hidden="1"/>
    <cellStyle name="요약 4" xfId="18798" hidden="1"/>
    <cellStyle name="요약 4" xfId="18840" hidden="1"/>
    <cellStyle name="요약 4" xfId="18882" hidden="1"/>
    <cellStyle name="요약 4" xfId="18924" hidden="1"/>
    <cellStyle name="요약 4" xfId="18029" hidden="1"/>
    <cellStyle name="요약 4" xfId="18952" hidden="1"/>
    <cellStyle name="요약 4" xfId="18992" hidden="1"/>
    <cellStyle name="요약 4" xfId="19032" hidden="1"/>
    <cellStyle name="요약 4" xfId="19072" hidden="1"/>
    <cellStyle name="요약 4" xfId="19112" hidden="1"/>
    <cellStyle name="요약 4" xfId="19152" hidden="1"/>
    <cellStyle name="요약 4" xfId="19192" hidden="1"/>
    <cellStyle name="요약 4" xfId="19232" hidden="1"/>
    <cellStyle name="요약 4" xfId="19272" hidden="1"/>
    <cellStyle name="요약 4" xfId="19312" hidden="1"/>
    <cellStyle name="요약 4" xfId="19352" hidden="1"/>
    <cellStyle name="요약 4" xfId="19392" hidden="1"/>
    <cellStyle name="요약 4" xfId="14363" hidden="1"/>
    <cellStyle name="요약 4" xfId="19442" hidden="1"/>
    <cellStyle name="요약 4" xfId="19482" hidden="1"/>
    <cellStyle name="요약 4" xfId="19522" hidden="1"/>
    <cellStyle name="요약 4" xfId="19562" hidden="1"/>
    <cellStyle name="요약 4" xfId="19602" hidden="1"/>
    <cellStyle name="요약 4" xfId="19642" hidden="1"/>
    <cellStyle name="요약 4" xfId="19682" hidden="1"/>
    <cellStyle name="요약 4" xfId="19722" hidden="1"/>
    <cellStyle name="요약 4" xfId="19762" hidden="1"/>
    <cellStyle name="요약 4" xfId="19802" hidden="1"/>
    <cellStyle name="요약 4" xfId="19842" hidden="1"/>
    <cellStyle name="요약 4" xfId="19926" hidden="1"/>
    <cellStyle name="요약 4" xfId="19967" hidden="1"/>
    <cellStyle name="요약 4" xfId="20009" hidden="1"/>
    <cellStyle name="요약 4" xfId="20051" hidden="1"/>
    <cellStyle name="요약 4" xfId="20093" hidden="1"/>
    <cellStyle name="요약 4" xfId="20135" hidden="1"/>
    <cellStyle name="요약 4" xfId="20177" hidden="1"/>
    <cellStyle name="요약 4" xfId="20219" hidden="1"/>
    <cellStyle name="요약 4" xfId="20261" hidden="1"/>
    <cellStyle name="요약 4" xfId="20303" hidden="1"/>
    <cellStyle name="요약 4" xfId="20345" hidden="1"/>
    <cellStyle name="요약 4" xfId="20387" hidden="1"/>
    <cellStyle name="요약 4" xfId="19883" hidden="1"/>
    <cellStyle name="요약 4" xfId="20566" hidden="1"/>
    <cellStyle name="요약 4" xfId="20606" hidden="1"/>
    <cellStyle name="요약 4" xfId="20646" hidden="1"/>
    <cellStyle name="요약 4" xfId="20686" hidden="1"/>
    <cellStyle name="요약 4" xfId="20726" hidden="1"/>
    <cellStyle name="요약 4" xfId="20766" hidden="1"/>
    <cellStyle name="요약 4" xfId="20806" hidden="1"/>
    <cellStyle name="요약 4" xfId="20846" hidden="1"/>
    <cellStyle name="요약 4" xfId="20886" hidden="1"/>
    <cellStyle name="요약 4" xfId="20926" hidden="1"/>
    <cellStyle name="요약 4" xfId="20966" hidden="1"/>
    <cellStyle name="요약 4" xfId="21006" hidden="1"/>
    <cellStyle name="요약 4" xfId="20478" hidden="1"/>
    <cellStyle name="요약 4" xfId="20439" hidden="1"/>
    <cellStyle name="요약 4" xfId="21048" hidden="1"/>
    <cellStyle name="요약 4" xfId="21090" hidden="1"/>
    <cellStyle name="요약 4" xfId="21132" hidden="1"/>
    <cellStyle name="요약 4" xfId="21174" hidden="1"/>
    <cellStyle name="요약 4" xfId="21216" hidden="1"/>
    <cellStyle name="요약 4" xfId="21258" hidden="1"/>
    <cellStyle name="요약 4" xfId="21300" hidden="1"/>
    <cellStyle name="요약 4" xfId="21342" hidden="1"/>
    <cellStyle name="요약 4" xfId="21384" hidden="1"/>
    <cellStyle name="요약 4" xfId="21426" hidden="1"/>
    <cellStyle name="요약 4" xfId="20531" hidden="1"/>
    <cellStyle name="요약 4" xfId="21454" hidden="1"/>
    <cellStyle name="요약 4" xfId="21494" hidden="1"/>
    <cellStyle name="요약 4" xfId="21534" hidden="1"/>
    <cellStyle name="요약 4" xfId="21574" hidden="1"/>
    <cellStyle name="요약 4" xfId="21614" hidden="1"/>
    <cellStyle name="요약 4" xfId="21654" hidden="1"/>
    <cellStyle name="요약 4" xfId="21694" hidden="1"/>
    <cellStyle name="요약 4" xfId="21734" hidden="1"/>
    <cellStyle name="요약 4" xfId="21774" hidden="1"/>
    <cellStyle name="요약 4" xfId="21814" hidden="1"/>
    <cellStyle name="요약 4" xfId="21854" hidden="1"/>
    <cellStyle name="요약 4" xfId="21894" hidden="1"/>
    <cellStyle name="요약 4" xfId="21962" hidden="1"/>
    <cellStyle name="요약 4" xfId="22002" hidden="1"/>
    <cellStyle name="요약 4" xfId="22042" hidden="1"/>
    <cellStyle name="요약 4" xfId="22082" hidden="1"/>
    <cellStyle name="요약 4" xfId="22122" hidden="1"/>
    <cellStyle name="요약 4" xfId="22162" hidden="1"/>
    <cellStyle name="요약 4" xfId="22202" hidden="1"/>
    <cellStyle name="요약 4" xfId="22242" hidden="1"/>
    <cellStyle name="요약 4" xfId="22282" hidden="1"/>
    <cellStyle name="요약 4" xfId="22322" hidden="1"/>
    <cellStyle name="요약 4" xfId="22362" hidden="1"/>
    <cellStyle name="요약 4" xfId="22402" hidden="1"/>
    <cellStyle name="요약 4" xfId="22486" hidden="1"/>
    <cellStyle name="요약 4" xfId="22527" hidden="1"/>
    <cellStyle name="요약 4" xfId="22569" hidden="1"/>
    <cellStyle name="요약 4" xfId="22611" hidden="1"/>
    <cellStyle name="요약 4" xfId="22653" hidden="1"/>
    <cellStyle name="요약 4" xfId="22695" hidden="1"/>
    <cellStyle name="요약 4" xfId="22737" hidden="1"/>
    <cellStyle name="요약 4" xfId="22779" hidden="1"/>
    <cellStyle name="요약 4" xfId="22821" hidden="1"/>
    <cellStyle name="요약 4" xfId="22863" hidden="1"/>
    <cellStyle name="요약 4" xfId="22905" hidden="1"/>
    <cellStyle name="요약 4" xfId="22947" hidden="1"/>
    <cellStyle name="요약 4" xfId="22443" hidden="1"/>
    <cellStyle name="요약 4" xfId="23126" hidden="1"/>
    <cellStyle name="요약 4" xfId="23166" hidden="1"/>
    <cellStyle name="요약 4" xfId="23206" hidden="1"/>
    <cellStyle name="요약 4" xfId="23246" hidden="1"/>
    <cellStyle name="요약 4" xfId="23286" hidden="1"/>
    <cellStyle name="요약 4" xfId="23326" hidden="1"/>
    <cellStyle name="요약 4" xfId="23366" hidden="1"/>
    <cellStyle name="요약 4" xfId="23406" hidden="1"/>
    <cellStyle name="요약 4" xfId="23446" hidden="1"/>
    <cellStyle name="요약 4" xfId="23486" hidden="1"/>
    <cellStyle name="요약 4" xfId="23526" hidden="1"/>
    <cellStyle name="요약 4" xfId="23566" hidden="1"/>
    <cellStyle name="요약 4" xfId="23038" hidden="1"/>
    <cellStyle name="요약 4" xfId="22999" hidden="1"/>
    <cellStyle name="요약 4" xfId="23608" hidden="1"/>
    <cellStyle name="요약 4" xfId="23650" hidden="1"/>
    <cellStyle name="요약 4" xfId="23692" hidden="1"/>
    <cellStyle name="요약 4" xfId="23734" hidden="1"/>
    <cellStyle name="요약 4" xfId="23776" hidden="1"/>
    <cellStyle name="요약 4" xfId="23818" hidden="1"/>
    <cellStyle name="요약 4" xfId="23860" hidden="1"/>
    <cellStyle name="요약 4" xfId="23902" hidden="1"/>
    <cellStyle name="요약 4" xfId="23944" hidden="1"/>
    <cellStyle name="요약 4" xfId="23986" hidden="1"/>
    <cellStyle name="요약 4" xfId="23091" hidden="1"/>
    <cellStyle name="요약 4" xfId="24014" hidden="1"/>
    <cellStyle name="요약 4" xfId="24054" hidden="1"/>
    <cellStyle name="요약 4" xfId="24094" hidden="1"/>
    <cellStyle name="요약 4" xfId="24134" hidden="1"/>
    <cellStyle name="요약 4" xfId="24174" hidden="1"/>
    <cellStyle name="요약 4" xfId="24214" hidden="1"/>
    <cellStyle name="요약 4" xfId="24254" hidden="1"/>
    <cellStyle name="요약 4" xfId="24294" hidden="1"/>
    <cellStyle name="요약 4" xfId="24334" hidden="1"/>
    <cellStyle name="요약 4" xfId="24374" hidden="1"/>
    <cellStyle name="요약 4" xfId="24414" hidden="1"/>
    <cellStyle name="요약 4" xfId="24454" hidden="1"/>
    <cellStyle name="요약 4" xfId="24552" hidden="1"/>
    <cellStyle name="요약 4" xfId="24592" hidden="1"/>
    <cellStyle name="요약 4" xfId="24634" hidden="1"/>
    <cellStyle name="요약 4" xfId="24675" hidden="1"/>
    <cellStyle name="요약 4" xfId="24715" hidden="1"/>
    <cellStyle name="요약 4" xfId="24755" hidden="1"/>
    <cellStyle name="요약 4" xfId="24795" hidden="1"/>
    <cellStyle name="요약 4" xfId="24835" hidden="1"/>
    <cellStyle name="요약 4" xfId="24875" hidden="1"/>
    <cellStyle name="요약 4" xfId="24915" hidden="1"/>
    <cellStyle name="요약 4" xfId="24955" hidden="1"/>
    <cellStyle name="요약 4" xfId="24995" hidden="1"/>
    <cellStyle name="요약 4" xfId="25079" hidden="1"/>
    <cellStyle name="요약 4" xfId="25120" hidden="1"/>
    <cellStyle name="요약 4" xfId="25162" hidden="1"/>
    <cellStyle name="요약 4" xfId="25204" hidden="1"/>
    <cellStyle name="요약 4" xfId="25246" hidden="1"/>
    <cellStyle name="요약 4" xfId="25288" hidden="1"/>
    <cellStyle name="요약 4" xfId="25330" hidden="1"/>
    <cellStyle name="요약 4" xfId="25372" hidden="1"/>
    <cellStyle name="요약 4" xfId="25414" hidden="1"/>
    <cellStyle name="요약 4" xfId="25456" hidden="1"/>
    <cellStyle name="요약 4" xfId="25498" hidden="1"/>
    <cellStyle name="요약 4" xfId="25540" hidden="1"/>
    <cellStyle name="요약 4" xfId="25036" hidden="1"/>
    <cellStyle name="요약 4" xfId="25719" hidden="1"/>
    <cellStyle name="요약 4" xfId="25759" hidden="1"/>
    <cellStyle name="요약 4" xfId="25799" hidden="1"/>
    <cellStyle name="요약 4" xfId="25839" hidden="1"/>
    <cellStyle name="요약 4" xfId="25879" hidden="1"/>
    <cellStyle name="요약 4" xfId="25919" hidden="1"/>
    <cellStyle name="요약 4" xfId="25959" hidden="1"/>
    <cellStyle name="요약 4" xfId="25999" hidden="1"/>
    <cellStyle name="요약 4" xfId="26039" hidden="1"/>
    <cellStyle name="요약 4" xfId="26079" hidden="1"/>
    <cellStyle name="요약 4" xfId="26119" hidden="1"/>
    <cellStyle name="요약 4" xfId="26159" hidden="1"/>
    <cellStyle name="요약 4" xfId="25631" hidden="1"/>
    <cellStyle name="요약 4" xfId="25592" hidden="1"/>
    <cellStyle name="요약 4" xfId="26201" hidden="1"/>
    <cellStyle name="요약 4" xfId="26243" hidden="1"/>
    <cellStyle name="요약 4" xfId="26285" hidden="1"/>
    <cellStyle name="요약 4" xfId="26327" hidden="1"/>
    <cellStyle name="요약 4" xfId="26369" hidden="1"/>
    <cellStyle name="요약 4" xfId="26411" hidden="1"/>
    <cellStyle name="요약 4" xfId="26453" hidden="1"/>
    <cellStyle name="요약 4" xfId="26495" hidden="1"/>
    <cellStyle name="요약 4" xfId="26537" hidden="1"/>
    <cellStyle name="요약 4" xfId="26579" hidden="1"/>
    <cellStyle name="요약 4" xfId="25684" hidden="1"/>
    <cellStyle name="요약 4" xfId="26607" hidden="1"/>
    <cellStyle name="요약 4" xfId="26647" hidden="1"/>
    <cellStyle name="요약 4" xfId="26687" hidden="1"/>
    <cellStyle name="요약 4" xfId="26727" hidden="1"/>
    <cellStyle name="요약 4" xfId="26767" hidden="1"/>
    <cellStyle name="요약 4" xfId="26807" hidden="1"/>
    <cellStyle name="요약 4" xfId="26847" hidden="1"/>
    <cellStyle name="요약 4" xfId="26887" hidden="1"/>
    <cellStyle name="요약 4" xfId="26927" hidden="1"/>
    <cellStyle name="요약 4" xfId="26967" hidden="1"/>
    <cellStyle name="요약 4" xfId="27007" hidden="1"/>
    <cellStyle name="요약 4" xfId="27047" hidden="1"/>
    <cellStyle name="요약 4" xfId="24491" hidden="1"/>
    <cellStyle name="요약 4" xfId="27098" hidden="1"/>
    <cellStyle name="요약 4" xfId="27138" hidden="1"/>
    <cellStyle name="요약 4" xfId="27178" hidden="1"/>
    <cellStyle name="요약 4" xfId="27218" hidden="1"/>
    <cellStyle name="요약 4" xfId="27258" hidden="1"/>
    <cellStyle name="요약 4" xfId="27298" hidden="1"/>
    <cellStyle name="요약 4" xfId="27338" hidden="1"/>
    <cellStyle name="요약 4" xfId="27378" hidden="1"/>
    <cellStyle name="요약 4" xfId="27418" hidden="1"/>
    <cellStyle name="요약 4" xfId="27458" hidden="1"/>
    <cellStyle name="요약 4" xfId="27498" hidden="1"/>
    <cellStyle name="요약 4" xfId="27582" hidden="1"/>
    <cellStyle name="요약 4" xfId="27623" hidden="1"/>
    <cellStyle name="요약 4" xfId="27665" hidden="1"/>
    <cellStyle name="요약 4" xfId="27707" hidden="1"/>
    <cellStyle name="요약 4" xfId="27749" hidden="1"/>
    <cellStyle name="요약 4" xfId="27791" hidden="1"/>
    <cellStyle name="요약 4" xfId="27833" hidden="1"/>
    <cellStyle name="요약 4" xfId="27875" hidden="1"/>
    <cellStyle name="요약 4" xfId="27917" hidden="1"/>
    <cellStyle name="요약 4" xfId="27959" hidden="1"/>
    <cellStyle name="요약 4" xfId="28001" hidden="1"/>
    <cellStyle name="요약 4" xfId="28043" hidden="1"/>
    <cellStyle name="요약 4" xfId="27539" hidden="1"/>
    <cellStyle name="요약 4" xfId="28222" hidden="1"/>
    <cellStyle name="요약 4" xfId="28262" hidden="1"/>
    <cellStyle name="요약 4" xfId="28302" hidden="1"/>
    <cellStyle name="요약 4" xfId="28342" hidden="1"/>
    <cellStyle name="요약 4" xfId="28382" hidden="1"/>
    <cellStyle name="요약 4" xfId="28422" hidden="1"/>
    <cellStyle name="요약 4" xfId="28462" hidden="1"/>
    <cellStyle name="요약 4" xfId="28502" hidden="1"/>
    <cellStyle name="요약 4" xfId="28542" hidden="1"/>
    <cellStyle name="요약 4" xfId="28582" hidden="1"/>
    <cellStyle name="요약 4" xfId="28622" hidden="1"/>
    <cellStyle name="요약 4" xfId="28662" hidden="1"/>
    <cellStyle name="요약 4" xfId="28134" hidden="1"/>
    <cellStyle name="요약 4" xfId="28095" hidden="1"/>
    <cellStyle name="요약 4" xfId="28704" hidden="1"/>
    <cellStyle name="요약 4" xfId="28746" hidden="1"/>
    <cellStyle name="요약 4" xfId="28788" hidden="1"/>
    <cellStyle name="요약 4" xfId="28830" hidden="1"/>
    <cellStyle name="요약 4" xfId="28872" hidden="1"/>
    <cellStyle name="요약 4" xfId="28914" hidden="1"/>
    <cellStyle name="요약 4" xfId="28956" hidden="1"/>
    <cellStyle name="요약 4" xfId="28998" hidden="1"/>
    <cellStyle name="요약 4" xfId="29040" hidden="1"/>
    <cellStyle name="요약 4" xfId="29082" hidden="1"/>
    <cellStyle name="요약 4" xfId="28187" hidden="1"/>
    <cellStyle name="요약 4" xfId="29110" hidden="1"/>
    <cellStyle name="요약 4" xfId="29150" hidden="1"/>
    <cellStyle name="요약 4" xfId="29190" hidden="1"/>
    <cellStyle name="요약 4" xfId="29230" hidden="1"/>
    <cellStyle name="요약 4" xfId="29270" hidden="1"/>
    <cellStyle name="요약 4" xfId="29310" hidden="1"/>
    <cellStyle name="요약 4" xfId="29350" hidden="1"/>
    <cellStyle name="요약 4" xfId="29390" hidden="1"/>
    <cellStyle name="요약 4" xfId="29430" hidden="1"/>
    <cellStyle name="요약 4" xfId="29470" hidden="1"/>
    <cellStyle name="요약 4" xfId="29510" hidden="1"/>
    <cellStyle name="요약 4" xfId="29550" hidden="1"/>
    <cellStyle name="요약 4" xfId="24521" hidden="1"/>
    <cellStyle name="요약 4" xfId="29600" hidden="1"/>
    <cellStyle name="요약 4" xfId="29640" hidden="1"/>
    <cellStyle name="요약 4" xfId="29680" hidden="1"/>
    <cellStyle name="요약 4" xfId="29720" hidden="1"/>
    <cellStyle name="요약 4" xfId="29760" hidden="1"/>
    <cellStyle name="요약 4" xfId="29800" hidden="1"/>
    <cellStyle name="요약 4" xfId="29840" hidden="1"/>
    <cellStyle name="요약 4" xfId="29880" hidden="1"/>
    <cellStyle name="요약 4" xfId="29920" hidden="1"/>
    <cellStyle name="요약 4" xfId="29960" hidden="1"/>
    <cellStyle name="요약 4" xfId="30000" hidden="1"/>
    <cellStyle name="요약 4" xfId="30084" hidden="1"/>
    <cellStyle name="요약 4" xfId="30125" hidden="1"/>
    <cellStyle name="요약 4" xfId="30167" hidden="1"/>
    <cellStyle name="요약 4" xfId="30209" hidden="1"/>
    <cellStyle name="요약 4" xfId="30251" hidden="1"/>
    <cellStyle name="요약 4" xfId="30293" hidden="1"/>
    <cellStyle name="요약 4" xfId="30335" hidden="1"/>
    <cellStyle name="요약 4" xfId="30377" hidden="1"/>
    <cellStyle name="요약 4" xfId="30419" hidden="1"/>
    <cellStyle name="요약 4" xfId="30461" hidden="1"/>
    <cellStyle name="요약 4" xfId="30503" hidden="1"/>
    <cellStyle name="요약 4" xfId="30545" hidden="1"/>
    <cellStyle name="요약 4" xfId="30041" hidden="1"/>
    <cellStyle name="요약 4" xfId="30724" hidden="1"/>
    <cellStyle name="요약 4" xfId="30764" hidden="1"/>
    <cellStyle name="요약 4" xfId="30804" hidden="1"/>
    <cellStyle name="요약 4" xfId="30844" hidden="1"/>
    <cellStyle name="요약 4" xfId="30884" hidden="1"/>
    <cellStyle name="요약 4" xfId="30924" hidden="1"/>
    <cellStyle name="요약 4" xfId="30964" hidden="1"/>
    <cellStyle name="요약 4" xfId="31004" hidden="1"/>
    <cellStyle name="요약 4" xfId="31044" hidden="1"/>
    <cellStyle name="요약 4" xfId="31084" hidden="1"/>
    <cellStyle name="요약 4" xfId="31124" hidden="1"/>
    <cellStyle name="요약 4" xfId="31164" hidden="1"/>
    <cellStyle name="요약 4" xfId="30636" hidden="1"/>
    <cellStyle name="요약 4" xfId="30597" hidden="1"/>
    <cellStyle name="요약 4" xfId="31206" hidden="1"/>
    <cellStyle name="요약 4" xfId="31248" hidden="1"/>
    <cellStyle name="요약 4" xfId="31290" hidden="1"/>
    <cellStyle name="요약 4" xfId="31332" hidden="1"/>
    <cellStyle name="요약 4" xfId="31374" hidden="1"/>
    <cellStyle name="요약 4" xfId="31416" hidden="1"/>
    <cellStyle name="요약 4" xfId="31458" hidden="1"/>
    <cellStyle name="요약 4" xfId="31500" hidden="1"/>
    <cellStyle name="요약 4" xfId="31542" hidden="1"/>
    <cellStyle name="요약 4" xfId="31584" hidden="1"/>
    <cellStyle name="요약 4" xfId="30689" hidden="1"/>
    <cellStyle name="요약 4" xfId="31612" hidden="1"/>
    <cellStyle name="요약 4" xfId="31652" hidden="1"/>
    <cellStyle name="요약 4" xfId="31692" hidden="1"/>
    <cellStyle name="요약 4" xfId="31732" hidden="1"/>
    <cellStyle name="요약 4" xfId="31772" hidden="1"/>
    <cellStyle name="요약 4" xfId="31812" hidden="1"/>
    <cellStyle name="요약 4" xfId="31852" hidden="1"/>
    <cellStyle name="요약 4" xfId="31892" hidden="1"/>
    <cellStyle name="요약 4" xfId="31932" hidden="1"/>
    <cellStyle name="요약 4" xfId="31972" hidden="1"/>
    <cellStyle name="요약 4" xfId="32012" hidden="1"/>
    <cellStyle name="요약 4" xfId="32052" hidden="1"/>
    <cellStyle name="요약 4" xfId="32114" hidden="1"/>
    <cellStyle name="요약 4" xfId="32154" hidden="1"/>
    <cellStyle name="요약 4" xfId="32194" hidden="1"/>
    <cellStyle name="요약 4" xfId="32234" hidden="1"/>
    <cellStyle name="요약 4" xfId="32274" hidden="1"/>
    <cellStyle name="요약 4" xfId="32314" hidden="1"/>
    <cellStyle name="요약 4" xfId="32354" hidden="1"/>
    <cellStyle name="요약 4" xfId="32394" hidden="1"/>
    <cellStyle name="요약 4" xfId="32434" hidden="1"/>
    <cellStyle name="요약 4" xfId="32474" hidden="1"/>
    <cellStyle name="요약 4" xfId="32514" hidden="1"/>
    <cellStyle name="요약 4" xfId="32554" hidden="1"/>
    <cellStyle name="요약 4" xfId="32639" hidden="1"/>
    <cellStyle name="요약 4" xfId="32680" hidden="1"/>
    <cellStyle name="요약 4" xfId="32722" hidden="1"/>
    <cellStyle name="요약 4" xfId="32764" hidden="1"/>
    <cellStyle name="요약 4" xfId="32806" hidden="1"/>
    <cellStyle name="요약 4" xfId="32848" hidden="1"/>
    <cellStyle name="요약 4" xfId="32890" hidden="1"/>
    <cellStyle name="요약 4" xfId="32932" hidden="1"/>
    <cellStyle name="요약 4" xfId="32974" hidden="1"/>
    <cellStyle name="요약 4" xfId="33016" hidden="1"/>
    <cellStyle name="요약 4" xfId="33058" hidden="1"/>
    <cellStyle name="요약 4" xfId="33100" hidden="1"/>
    <cellStyle name="요약 4" xfId="32596" hidden="1"/>
    <cellStyle name="요약 4" xfId="33279" hidden="1"/>
    <cellStyle name="요약 4" xfId="33319" hidden="1"/>
    <cellStyle name="요약 4" xfId="33359" hidden="1"/>
    <cellStyle name="요약 4" xfId="33399" hidden="1"/>
    <cellStyle name="요약 4" xfId="33439" hidden="1"/>
    <cellStyle name="요약 4" xfId="33479" hidden="1"/>
    <cellStyle name="요약 4" xfId="33519" hidden="1"/>
    <cellStyle name="요약 4" xfId="33559" hidden="1"/>
    <cellStyle name="요약 4" xfId="33599" hidden="1"/>
    <cellStyle name="요약 4" xfId="33639" hidden="1"/>
    <cellStyle name="요약 4" xfId="33679" hidden="1"/>
    <cellStyle name="요약 4" xfId="33719" hidden="1"/>
    <cellStyle name="요약 4" xfId="33191" hidden="1"/>
    <cellStyle name="요약 4" xfId="33152" hidden="1"/>
    <cellStyle name="요약 4" xfId="33761" hidden="1"/>
    <cellStyle name="요약 4" xfId="33803" hidden="1"/>
    <cellStyle name="요약 4" xfId="33845" hidden="1"/>
    <cellStyle name="요약 4" xfId="33887" hidden="1"/>
    <cellStyle name="요약 4" xfId="33929" hidden="1"/>
    <cellStyle name="요약 4" xfId="33971" hidden="1"/>
    <cellStyle name="요약 4" xfId="34013" hidden="1"/>
    <cellStyle name="요약 4" xfId="34055" hidden="1"/>
    <cellStyle name="요약 4" xfId="34097" hidden="1"/>
    <cellStyle name="요약 4" xfId="34139" hidden="1"/>
    <cellStyle name="요약 4" xfId="33244" hidden="1"/>
    <cellStyle name="요약 4" xfId="34167" hidden="1"/>
    <cellStyle name="요약 4" xfId="34207" hidden="1"/>
    <cellStyle name="요약 4" xfId="34247" hidden="1"/>
    <cellStyle name="요약 4" xfId="34287" hidden="1"/>
    <cellStyle name="요약 4" xfId="34327" hidden="1"/>
    <cellStyle name="요약 4" xfId="34367" hidden="1"/>
    <cellStyle name="요약 4" xfId="34407" hidden="1"/>
    <cellStyle name="요약 4" xfId="34447" hidden="1"/>
    <cellStyle name="요약 4" xfId="34487" hidden="1"/>
    <cellStyle name="요약 4" xfId="34527" hidden="1"/>
    <cellStyle name="요약 4" xfId="34567" hidden="1"/>
    <cellStyle name="요약 4" xfId="34607" hidden="1"/>
    <cellStyle name="요약 4" xfId="34704" hidden="1"/>
    <cellStyle name="요약 4" xfId="34744" hidden="1"/>
    <cellStyle name="요약 4" xfId="34784" hidden="1"/>
    <cellStyle name="요약 4" xfId="34824" hidden="1"/>
    <cellStyle name="요약 4" xfId="34864" hidden="1"/>
    <cellStyle name="요약 4" xfId="34904" hidden="1"/>
    <cellStyle name="요약 4" xfId="34944" hidden="1"/>
    <cellStyle name="요약 4" xfId="34984" hidden="1"/>
    <cellStyle name="요약 4" xfId="35024" hidden="1"/>
    <cellStyle name="요약 4" xfId="35064" hidden="1"/>
    <cellStyle name="요약 4" xfId="35104" hidden="1"/>
    <cellStyle name="요약 4" xfId="35144" hidden="1"/>
    <cellStyle name="요약 4" xfId="35228" hidden="1"/>
    <cellStyle name="요약 4" xfId="35269" hidden="1"/>
    <cellStyle name="요약 4" xfId="35311" hidden="1"/>
    <cellStyle name="요약 4" xfId="35353" hidden="1"/>
    <cellStyle name="요약 4" xfId="35395" hidden="1"/>
    <cellStyle name="요약 4" xfId="35437" hidden="1"/>
    <cellStyle name="요약 4" xfId="35479" hidden="1"/>
    <cellStyle name="요약 4" xfId="35521" hidden="1"/>
    <cellStyle name="요약 4" xfId="35563" hidden="1"/>
    <cellStyle name="요약 4" xfId="35605" hidden="1"/>
    <cellStyle name="요약 4" xfId="35647" hidden="1"/>
    <cellStyle name="요약 4" xfId="35689" hidden="1"/>
    <cellStyle name="요약 4" xfId="35185" hidden="1"/>
    <cellStyle name="요약 4" xfId="35868" hidden="1"/>
    <cellStyle name="요약 4" xfId="35908" hidden="1"/>
    <cellStyle name="요약 4" xfId="35948" hidden="1"/>
    <cellStyle name="요약 4" xfId="35988" hidden="1"/>
    <cellStyle name="요약 4" xfId="36028" hidden="1"/>
    <cellStyle name="요약 4" xfId="36068" hidden="1"/>
    <cellStyle name="요약 4" xfId="36108" hidden="1"/>
    <cellStyle name="요약 4" xfId="36148" hidden="1"/>
    <cellStyle name="요약 4" xfId="36188" hidden="1"/>
    <cellStyle name="요약 4" xfId="36228" hidden="1"/>
    <cellStyle name="요약 4" xfId="36268" hidden="1"/>
    <cellStyle name="요약 4" xfId="36308" hidden="1"/>
    <cellStyle name="요약 4" xfId="35780" hidden="1"/>
    <cellStyle name="요약 4" xfId="35741" hidden="1"/>
    <cellStyle name="요약 4" xfId="36350" hidden="1"/>
    <cellStyle name="요약 4" xfId="36392" hidden="1"/>
    <cellStyle name="요약 4" xfId="36434" hidden="1"/>
    <cellStyle name="요약 4" xfId="36476" hidden="1"/>
    <cellStyle name="요약 4" xfId="36518" hidden="1"/>
    <cellStyle name="요약 4" xfId="36560" hidden="1"/>
    <cellStyle name="요약 4" xfId="36602" hidden="1"/>
    <cellStyle name="요약 4" xfId="36644" hidden="1"/>
    <cellStyle name="요약 4" xfId="36686" hidden="1"/>
    <cellStyle name="요약 4" xfId="36728" hidden="1"/>
    <cellStyle name="요약 4" xfId="35833" hidden="1"/>
    <cellStyle name="요약 4" xfId="36756" hidden="1"/>
    <cellStyle name="요약 4" xfId="36796" hidden="1"/>
    <cellStyle name="요약 4" xfId="36836" hidden="1"/>
    <cellStyle name="요약 4" xfId="36876" hidden="1"/>
    <cellStyle name="요약 4" xfId="36916" hidden="1"/>
    <cellStyle name="요약 4" xfId="36956" hidden="1"/>
    <cellStyle name="요약 4" xfId="36996" hidden="1"/>
    <cellStyle name="요약 4" xfId="37036" hidden="1"/>
    <cellStyle name="요약 4" xfId="37076" hidden="1"/>
    <cellStyle name="요약 4" xfId="37116" hidden="1"/>
    <cellStyle name="요약 4" xfId="37156" hidden="1"/>
    <cellStyle name="요약 4" xfId="37196" hidden="1"/>
    <cellStyle name="요약 4" xfId="34643" hidden="1"/>
    <cellStyle name="요약 4" xfId="37247" hidden="1"/>
    <cellStyle name="요약 4" xfId="37288" hidden="1"/>
    <cellStyle name="요약 4" xfId="37328" hidden="1"/>
    <cellStyle name="요약 4" xfId="37368" hidden="1"/>
    <cellStyle name="요약 4" xfId="37408" hidden="1"/>
    <cellStyle name="요약 4" xfId="37448" hidden="1"/>
    <cellStyle name="요약 4" xfId="37488" hidden="1"/>
    <cellStyle name="요약 4" xfId="37528" hidden="1"/>
    <cellStyle name="요약 4" xfId="37568" hidden="1"/>
    <cellStyle name="요약 4" xfId="37608" hidden="1"/>
    <cellStyle name="요약 4" xfId="37648" hidden="1"/>
    <cellStyle name="요약 4" xfId="37732" hidden="1"/>
    <cellStyle name="요약 4" xfId="37773" hidden="1"/>
    <cellStyle name="요약 4" xfId="37815" hidden="1"/>
    <cellStyle name="요약 4" xfId="37857" hidden="1"/>
    <cellStyle name="요약 4" xfId="37899" hidden="1"/>
    <cellStyle name="요약 4" xfId="37941" hidden="1"/>
    <cellStyle name="요약 4" xfId="37983" hidden="1"/>
    <cellStyle name="요약 4" xfId="38025" hidden="1"/>
    <cellStyle name="요약 4" xfId="38067" hidden="1"/>
    <cellStyle name="요약 4" xfId="38109" hidden="1"/>
    <cellStyle name="요약 4" xfId="38151" hidden="1"/>
    <cellStyle name="요약 4" xfId="38193" hidden="1"/>
    <cellStyle name="요약 4" xfId="37689" hidden="1"/>
    <cellStyle name="요약 4" xfId="38372" hidden="1"/>
    <cellStyle name="요약 4" xfId="38412" hidden="1"/>
    <cellStyle name="요약 4" xfId="38452" hidden="1"/>
    <cellStyle name="요약 4" xfId="38492" hidden="1"/>
    <cellStyle name="요약 4" xfId="38532" hidden="1"/>
    <cellStyle name="요약 4" xfId="38572" hidden="1"/>
    <cellStyle name="요약 4" xfId="38612" hidden="1"/>
    <cellStyle name="요약 4" xfId="38652" hidden="1"/>
    <cellStyle name="요약 4" xfId="38692" hidden="1"/>
    <cellStyle name="요약 4" xfId="38732" hidden="1"/>
    <cellStyle name="요약 4" xfId="38772" hidden="1"/>
    <cellStyle name="요약 4" xfId="38812" hidden="1"/>
    <cellStyle name="요약 4" xfId="38284" hidden="1"/>
    <cellStyle name="요약 4" xfId="38245" hidden="1"/>
    <cellStyle name="요약 4" xfId="38854" hidden="1"/>
    <cellStyle name="요약 4" xfId="38896" hidden="1"/>
    <cellStyle name="요약 4" xfId="38938" hidden="1"/>
    <cellStyle name="요약 4" xfId="38980" hidden="1"/>
    <cellStyle name="요약 4" xfId="39022" hidden="1"/>
    <cellStyle name="요약 4" xfId="39064" hidden="1"/>
    <cellStyle name="요약 4" xfId="39106" hidden="1"/>
    <cellStyle name="요약 4" xfId="39148" hidden="1"/>
    <cellStyle name="요약 4" xfId="39190" hidden="1"/>
    <cellStyle name="요약 4" xfId="39232" hidden="1"/>
    <cellStyle name="요약 4" xfId="38337" hidden="1"/>
    <cellStyle name="요약 4" xfId="39260" hidden="1"/>
    <cellStyle name="요약 4" xfId="39300" hidden="1"/>
    <cellStyle name="요약 4" xfId="39340" hidden="1"/>
    <cellStyle name="요약 4" xfId="39380" hidden="1"/>
    <cellStyle name="요약 4" xfId="39420" hidden="1"/>
    <cellStyle name="요약 4" xfId="39460" hidden="1"/>
    <cellStyle name="요약 4" xfId="39500" hidden="1"/>
    <cellStyle name="요약 4" xfId="39540" hidden="1"/>
    <cellStyle name="요약 4" xfId="39580" hidden="1"/>
    <cellStyle name="요약 4" xfId="39620" hidden="1"/>
    <cellStyle name="요약 4" xfId="39660" hidden="1"/>
    <cellStyle name="요약 4" xfId="39700" hidden="1"/>
    <cellStyle name="요약 4" xfId="34673" hidden="1"/>
    <cellStyle name="요약 4" xfId="39750" hidden="1"/>
    <cellStyle name="요약 4" xfId="39790" hidden="1"/>
    <cellStyle name="요약 4" xfId="39830" hidden="1"/>
    <cellStyle name="요약 4" xfId="39870" hidden="1"/>
    <cellStyle name="요약 4" xfId="39910" hidden="1"/>
    <cellStyle name="요약 4" xfId="39950" hidden="1"/>
    <cellStyle name="요약 4" xfId="39990" hidden="1"/>
    <cellStyle name="요약 4" xfId="40030" hidden="1"/>
    <cellStyle name="요약 4" xfId="40070" hidden="1"/>
    <cellStyle name="요약 4" xfId="40110" hidden="1"/>
    <cellStyle name="요약 4" xfId="40150" hidden="1"/>
    <cellStyle name="요약 4" xfId="40234" hidden="1"/>
    <cellStyle name="요약 4" xfId="40275" hidden="1"/>
    <cellStyle name="요약 4" xfId="40317" hidden="1"/>
    <cellStyle name="요약 4" xfId="40359" hidden="1"/>
    <cellStyle name="요약 4" xfId="40401" hidden="1"/>
    <cellStyle name="요약 4" xfId="40443" hidden="1"/>
    <cellStyle name="요약 4" xfId="40485" hidden="1"/>
    <cellStyle name="요약 4" xfId="40527" hidden="1"/>
    <cellStyle name="요약 4" xfId="40569" hidden="1"/>
    <cellStyle name="요약 4" xfId="40611" hidden="1"/>
    <cellStyle name="요약 4" xfId="40653" hidden="1"/>
    <cellStyle name="요약 4" xfId="40695" hidden="1"/>
    <cellStyle name="요약 4" xfId="40191" hidden="1"/>
    <cellStyle name="요약 4" xfId="40874" hidden="1"/>
    <cellStyle name="요약 4" xfId="40914" hidden="1"/>
    <cellStyle name="요약 4" xfId="40954" hidden="1"/>
    <cellStyle name="요약 4" xfId="40994" hidden="1"/>
    <cellStyle name="요약 4" xfId="41034" hidden="1"/>
    <cellStyle name="요약 4" xfId="41074" hidden="1"/>
    <cellStyle name="요약 4" xfId="41114" hidden="1"/>
    <cellStyle name="요약 4" xfId="41154" hidden="1"/>
    <cellStyle name="요약 4" xfId="41194" hidden="1"/>
    <cellStyle name="요약 4" xfId="41234" hidden="1"/>
    <cellStyle name="요약 4" xfId="41274" hidden="1"/>
    <cellStyle name="요약 4" xfId="41314" hidden="1"/>
    <cellStyle name="요약 4" xfId="40786" hidden="1"/>
    <cellStyle name="요약 4" xfId="40747" hidden="1"/>
    <cellStyle name="요약 4" xfId="41356" hidden="1"/>
    <cellStyle name="요약 4" xfId="41398" hidden="1"/>
    <cellStyle name="요약 4" xfId="41440" hidden="1"/>
    <cellStyle name="요약 4" xfId="41482" hidden="1"/>
    <cellStyle name="요약 4" xfId="41524" hidden="1"/>
    <cellStyle name="요약 4" xfId="41566" hidden="1"/>
    <cellStyle name="요약 4" xfId="41608" hidden="1"/>
    <cellStyle name="요약 4" xfId="41650" hidden="1"/>
    <cellStyle name="요약 4" xfId="41692" hidden="1"/>
    <cellStyle name="요약 4" xfId="41734" hidden="1"/>
    <cellStyle name="요약 4" xfId="40839" hidden="1"/>
    <cellStyle name="요약 4" xfId="41762" hidden="1"/>
    <cellStyle name="요약 4" xfId="41802" hidden="1"/>
    <cellStyle name="요약 4" xfId="41842" hidden="1"/>
    <cellStyle name="요약 4" xfId="41882" hidden="1"/>
    <cellStyle name="요약 4" xfId="41922" hidden="1"/>
    <cellStyle name="요약 4" xfId="41962" hidden="1"/>
    <cellStyle name="요약 4" xfId="42002" hidden="1"/>
    <cellStyle name="요약 4" xfId="42042" hidden="1"/>
    <cellStyle name="요약 4" xfId="42082" hidden="1"/>
    <cellStyle name="요약 4" xfId="42122" hidden="1"/>
    <cellStyle name="요약 4" xfId="42162" hidden="1"/>
    <cellStyle name="요약 4" xfId="42202" hidden="1"/>
    <cellStyle name="요약 4" xfId="42245" hidden="1"/>
    <cellStyle name="요약 4" xfId="42285" hidden="1"/>
    <cellStyle name="요약 4" xfId="42325" hidden="1"/>
    <cellStyle name="요약 4" xfId="42365" hidden="1"/>
    <cellStyle name="요약 4" xfId="42405" hidden="1"/>
    <cellStyle name="요약 4" xfId="42445" hidden="1"/>
    <cellStyle name="요약 4" xfId="42485" hidden="1"/>
    <cellStyle name="요약 4" xfId="42525" hidden="1"/>
    <cellStyle name="요약 4" xfId="42565" hidden="1"/>
    <cellStyle name="요약 4" xfId="42605" hidden="1"/>
    <cellStyle name="요약 4" xfId="42645" hidden="1"/>
    <cellStyle name="요약 4" xfId="42685" hidden="1"/>
    <cellStyle name="요약 4" xfId="42769" hidden="1"/>
    <cellStyle name="요약 4" xfId="42810" hidden="1"/>
    <cellStyle name="요약 4" xfId="42852" hidden="1"/>
    <cellStyle name="요약 4" xfId="42894" hidden="1"/>
    <cellStyle name="요약 4" xfId="42936" hidden="1"/>
    <cellStyle name="요약 4" xfId="42978" hidden="1"/>
    <cellStyle name="요약 4" xfId="43020" hidden="1"/>
    <cellStyle name="요약 4" xfId="43062" hidden="1"/>
    <cellStyle name="요약 4" xfId="43104" hidden="1"/>
    <cellStyle name="요약 4" xfId="43146" hidden="1"/>
    <cellStyle name="요약 4" xfId="43188" hidden="1"/>
    <cellStyle name="요약 4" xfId="43230" hidden="1"/>
    <cellStyle name="요약 4" xfId="42726" hidden="1"/>
    <cellStyle name="요약 4" xfId="43409" hidden="1"/>
    <cellStyle name="요약 4" xfId="43449" hidden="1"/>
    <cellStyle name="요약 4" xfId="43489" hidden="1"/>
    <cellStyle name="요약 4" xfId="43529" hidden="1"/>
    <cellStyle name="요약 4" xfId="43569" hidden="1"/>
    <cellStyle name="요약 4" xfId="43609" hidden="1"/>
    <cellStyle name="요약 4" xfId="43649" hidden="1"/>
    <cellStyle name="요약 4" xfId="43689" hidden="1"/>
    <cellStyle name="요약 4" xfId="43729" hidden="1"/>
    <cellStyle name="요약 4" xfId="43769" hidden="1"/>
    <cellStyle name="요약 4" xfId="43809" hidden="1"/>
    <cellStyle name="요약 4" xfId="43849" hidden="1"/>
    <cellStyle name="요약 4" xfId="43321" hidden="1"/>
    <cellStyle name="요약 4" xfId="43282" hidden="1"/>
    <cellStyle name="요약 4" xfId="43891" hidden="1"/>
    <cellStyle name="요약 4" xfId="43933" hidden="1"/>
    <cellStyle name="요약 4" xfId="43975" hidden="1"/>
    <cellStyle name="요약 4" xfId="44017" hidden="1"/>
    <cellStyle name="요약 4" xfId="44059" hidden="1"/>
    <cellStyle name="요약 4" xfId="44101" hidden="1"/>
    <cellStyle name="요약 4" xfId="44143" hidden="1"/>
    <cellStyle name="요약 4" xfId="44185" hidden="1"/>
    <cellStyle name="요약 4" xfId="44227" hidden="1"/>
    <cellStyle name="요약 4" xfId="44269" hidden="1"/>
    <cellStyle name="요약 4" xfId="43374" hidden="1"/>
    <cellStyle name="요약 4" xfId="44297" hidden="1"/>
    <cellStyle name="요약 4" xfId="44337" hidden="1"/>
    <cellStyle name="요약 4" xfId="44377" hidden="1"/>
    <cellStyle name="요약 4" xfId="44417" hidden="1"/>
    <cellStyle name="요약 4" xfId="44457" hidden="1"/>
    <cellStyle name="요약 4" xfId="44497" hidden="1"/>
    <cellStyle name="요약 4" xfId="44537" hidden="1"/>
    <cellStyle name="요약 4" xfId="44577" hidden="1"/>
    <cellStyle name="요약 4" xfId="44617" hidden="1"/>
    <cellStyle name="요약 4" xfId="44657" hidden="1"/>
    <cellStyle name="요약 4" xfId="44697" hidden="1"/>
    <cellStyle name="요약 4" xfId="44737" hidden="1"/>
    <cellStyle name="요약 4" xfId="44833" hidden="1"/>
    <cellStyle name="요약 4" xfId="44873" hidden="1"/>
    <cellStyle name="요약 4" xfId="44915" hidden="1"/>
    <cellStyle name="요약 4" xfId="44956" hidden="1"/>
    <cellStyle name="요약 4" xfId="44996" hidden="1"/>
    <cellStyle name="요약 4" xfId="45036" hidden="1"/>
    <cellStyle name="요약 4" xfId="45076" hidden="1"/>
    <cellStyle name="요약 4" xfId="45116" hidden="1"/>
    <cellStyle name="요약 4" xfId="45156" hidden="1"/>
    <cellStyle name="요약 4" xfId="45196" hidden="1"/>
    <cellStyle name="요약 4" xfId="45236" hidden="1"/>
    <cellStyle name="요약 4" xfId="45276" hidden="1"/>
    <cellStyle name="요약 4" xfId="45360" hidden="1"/>
    <cellStyle name="요약 4" xfId="45401" hidden="1"/>
    <cellStyle name="요약 4" xfId="45443" hidden="1"/>
    <cellStyle name="요약 4" xfId="45485" hidden="1"/>
    <cellStyle name="요약 4" xfId="45527" hidden="1"/>
    <cellStyle name="요약 4" xfId="45569" hidden="1"/>
    <cellStyle name="요약 4" xfId="45611" hidden="1"/>
    <cellStyle name="요약 4" xfId="45653" hidden="1"/>
    <cellStyle name="요약 4" xfId="45695" hidden="1"/>
    <cellStyle name="요약 4" xfId="45737" hidden="1"/>
    <cellStyle name="요약 4" xfId="45779" hidden="1"/>
    <cellStyle name="요약 4" xfId="45821" hidden="1"/>
    <cellStyle name="요약 4" xfId="45317" hidden="1"/>
    <cellStyle name="요약 4" xfId="46000" hidden="1"/>
    <cellStyle name="요약 4" xfId="46040" hidden="1"/>
    <cellStyle name="요약 4" xfId="46080" hidden="1"/>
    <cellStyle name="요약 4" xfId="46120" hidden="1"/>
    <cellStyle name="요약 4" xfId="46160" hidden="1"/>
    <cellStyle name="요약 4" xfId="46200" hidden="1"/>
    <cellStyle name="요약 4" xfId="46240" hidden="1"/>
    <cellStyle name="요약 4" xfId="46280" hidden="1"/>
    <cellStyle name="요약 4" xfId="46320" hidden="1"/>
    <cellStyle name="요약 4" xfId="46360" hidden="1"/>
    <cellStyle name="요약 4" xfId="46400" hidden="1"/>
    <cellStyle name="요약 4" xfId="46440" hidden="1"/>
    <cellStyle name="요약 4" xfId="45912" hidden="1"/>
    <cellStyle name="요약 4" xfId="45873" hidden="1"/>
    <cellStyle name="요약 4" xfId="46482" hidden="1"/>
    <cellStyle name="요약 4" xfId="46524" hidden="1"/>
    <cellStyle name="요약 4" xfId="46566" hidden="1"/>
    <cellStyle name="요약 4" xfId="46608" hidden="1"/>
    <cellStyle name="요약 4" xfId="46650" hidden="1"/>
    <cellStyle name="요약 4" xfId="46692" hidden="1"/>
    <cellStyle name="요약 4" xfId="46734" hidden="1"/>
    <cellStyle name="요약 4" xfId="46776" hidden="1"/>
    <cellStyle name="요약 4" xfId="46818" hidden="1"/>
    <cellStyle name="요약 4" xfId="46860" hidden="1"/>
    <cellStyle name="요약 4" xfId="45965" hidden="1"/>
    <cellStyle name="요약 4" xfId="46888" hidden="1"/>
    <cellStyle name="요약 4" xfId="46928" hidden="1"/>
    <cellStyle name="요약 4" xfId="46968" hidden="1"/>
    <cellStyle name="요약 4" xfId="47008" hidden="1"/>
    <cellStyle name="요약 4" xfId="47048" hidden="1"/>
    <cellStyle name="요약 4" xfId="47088" hidden="1"/>
    <cellStyle name="요약 4" xfId="47128" hidden="1"/>
    <cellStyle name="요약 4" xfId="47168" hidden="1"/>
    <cellStyle name="요약 4" xfId="47208" hidden="1"/>
    <cellStyle name="요약 4" xfId="47248" hidden="1"/>
    <cellStyle name="요약 4" xfId="47288" hidden="1"/>
    <cellStyle name="요약 4" xfId="47328" hidden="1"/>
    <cellStyle name="요약 4" xfId="44773" hidden="1"/>
    <cellStyle name="요약 4" xfId="47379" hidden="1"/>
    <cellStyle name="요약 4" xfId="47419" hidden="1"/>
    <cellStyle name="요약 4" xfId="47459" hidden="1"/>
    <cellStyle name="요약 4" xfId="47499" hidden="1"/>
    <cellStyle name="요약 4" xfId="47539" hidden="1"/>
    <cellStyle name="요약 4" xfId="47579" hidden="1"/>
    <cellStyle name="요약 4" xfId="47619" hidden="1"/>
    <cellStyle name="요약 4" xfId="47659" hidden="1"/>
    <cellStyle name="요약 4" xfId="47699" hidden="1"/>
    <cellStyle name="요약 4" xfId="47739" hidden="1"/>
    <cellStyle name="요약 4" xfId="47779" hidden="1"/>
    <cellStyle name="요약 4" xfId="47863" hidden="1"/>
    <cellStyle name="요약 4" xfId="47904" hidden="1"/>
    <cellStyle name="요약 4" xfId="47946" hidden="1"/>
    <cellStyle name="요약 4" xfId="47988" hidden="1"/>
    <cellStyle name="요약 4" xfId="48030" hidden="1"/>
    <cellStyle name="요약 4" xfId="48072" hidden="1"/>
    <cellStyle name="요약 4" xfId="48114" hidden="1"/>
    <cellStyle name="요약 4" xfId="48156" hidden="1"/>
    <cellStyle name="요약 4" xfId="48198" hidden="1"/>
    <cellStyle name="요약 4" xfId="48240" hidden="1"/>
    <cellStyle name="요약 4" xfId="48282" hidden="1"/>
    <cellStyle name="요약 4" xfId="48324" hidden="1"/>
    <cellStyle name="요약 4" xfId="47820" hidden="1"/>
    <cellStyle name="요약 4" xfId="48503" hidden="1"/>
    <cellStyle name="요약 4" xfId="48543" hidden="1"/>
    <cellStyle name="요약 4" xfId="48583" hidden="1"/>
    <cellStyle name="요약 4" xfId="48623" hidden="1"/>
    <cellStyle name="요약 4" xfId="48663" hidden="1"/>
    <cellStyle name="요약 4" xfId="48703" hidden="1"/>
    <cellStyle name="요약 4" xfId="48743" hidden="1"/>
    <cellStyle name="요약 4" xfId="48783" hidden="1"/>
    <cellStyle name="요약 4" xfId="48823" hidden="1"/>
    <cellStyle name="요약 4" xfId="48863" hidden="1"/>
    <cellStyle name="요약 4" xfId="48903" hidden="1"/>
    <cellStyle name="요약 4" xfId="48943" hidden="1"/>
    <cellStyle name="요약 4" xfId="48415" hidden="1"/>
    <cellStyle name="요약 4" xfId="48376" hidden="1"/>
    <cellStyle name="요약 4" xfId="48985" hidden="1"/>
    <cellStyle name="요약 4" xfId="49027" hidden="1"/>
    <cellStyle name="요약 4" xfId="49069" hidden="1"/>
    <cellStyle name="요약 4" xfId="49111" hidden="1"/>
    <cellStyle name="요약 4" xfId="49153" hidden="1"/>
    <cellStyle name="요약 4" xfId="49195" hidden="1"/>
    <cellStyle name="요약 4" xfId="49237" hidden="1"/>
    <cellStyle name="요약 4" xfId="49279" hidden="1"/>
    <cellStyle name="요약 4" xfId="49321" hidden="1"/>
    <cellStyle name="요약 4" xfId="49363" hidden="1"/>
    <cellStyle name="요약 4" xfId="48468" hidden="1"/>
    <cellStyle name="요약 4" xfId="49391" hidden="1"/>
    <cellStyle name="요약 4" xfId="49431" hidden="1"/>
    <cellStyle name="요약 4" xfId="49471" hidden="1"/>
    <cellStyle name="요약 4" xfId="49511" hidden="1"/>
    <cellStyle name="요약 4" xfId="49551" hidden="1"/>
    <cellStyle name="요약 4" xfId="49591" hidden="1"/>
    <cellStyle name="요약 4" xfId="49631" hidden="1"/>
    <cellStyle name="요약 4" xfId="49671" hidden="1"/>
    <cellStyle name="요약 4" xfId="49711" hidden="1"/>
    <cellStyle name="요약 4" xfId="49751" hidden="1"/>
    <cellStyle name="요약 4" xfId="49791" hidden="1"/>
    <cellStyle name="요약 4" xfId="49831" hidden="1"/>
    <cellStyle name="요약 4" xfId="44802" hidden="1"/>
    <cellStyle name="요약 4" xfId="49881" hidden="1"/>
    <cellStyle name="요약 4" xfId="49921" hidden="1"/>
    <cellStyle name="요약 4" xfId="49961" hidden="1"/>
    <cellStyle name="요약 4" xfId="50001" hidden="1"/>
    <cellStyle name="요약 4" xfId="50041" hidden="1"/>
    <cellStyle name="요약 4" xfId="50081" hidden="1"/>
    <cellStyle name="요약 4" xfId="50121" hidden="1"/>
    <cellStyle name="요약 4" xfId="50161" hidden="1"/>
    <cellStyle name="요약 4" xfId="50201" hidden="1"/>
    <cellStyle name="요약 4" xfId="50241" hidden="1"/>
    <cellStyle name="요약 4" xfId="50281" hidden="1"/>
    <cellStyle name="요약 4" xfId="50365" hidden="1"/>
    <cellStyle name="요약 4" xfId="50406" hidden="1"/>
    <cellStyle name="요약 4" xfId="50448" hidden="1"/>
    <cellStyle name="요약 4" xfId="50490" hidden="1"/>
    <cellStyle name="요약 4" xfId="50532" hidden="1"/>
    <cellStyle name="요약 4" xfId="50574" hidden="1"/>
    <cellStyle name="요약 4" xfId="50616" hidden="1"/>
    <cellStyle name="요약 4" xfId="50658" hidden="1"/>
    <cellStyle name="요약 4" xfId="50700" hidden="1"/>
    <cellStyle name="요약 4" xfId="50742" hidden="1"/>
    <cellStyle name="요약 4" xfId="50784" hidden="1"/>
    <cellStyle name="요약 4" xfId="50826" hidden="1"/>
    <cellStyle name="요약 4" xfId="50322" hidden="1"/>
    <cellStyle name="요약 4" xfId="51005" hidden="1"/>
    <cellStyle name="요약 4" xfId="51045" hidden="1"/>
    <cellStyle name="요약 4" xfId="51085" hidden="1"/>
    <cellStyle name="요약 4" xfId="51125" hidden="1"/>
    <cellStyle name="요약 4" xfId="51165" hidden="1"/>
    <cellStyle name="요약 4" xfId="51205" hidden="1"/>
    <cellStyle name="요약 4" xfId="51245" hidden="1"/>
    <cellStyle name="요약 4" xfId="51285" hidden="1"/>
    <cellStyle name="요약 4" xfId="51325" hidden="1"/>
    <cellStyle name="요약 4" xfId="51365" hidden="1"/>
    <cellStyle name="요약 4" xfId="51405" hidden="1"/>
    <cellStyle name="요약 4" xfId="51445" hidden="1"/>
    <cellStyle name="요약 4" xfId="50917" hidden="1"/>
    <cellStyle name="요약 4" xfId="50878" hidden="1"/>
    <cellStyle name="요약 4" xfId="51487" hidden="1"/>
    <cellStyle name="요약 4" xfId="51529" hidden="1"/>
    <cellStyle name="요약 4" xfId="51571" hidden="1"/>
    <cellStyle name="요약 4" xfId="51613" hidden="1"/>
    <cellStyle name="요약 4" xfId="51655" hidden="1"/>
    <cellStyle name="요약 4" xfId="51697" hidden="1"/>
    <cellStyle name="요약 4" xfId="51739" hidden="1"/>
    <cellStyle name="요약 4" xfId="51781" hidden="1"/>
    <cellStyle name="요약 4" xfId="51823" hidden="1"/>
    <cellStyle name="요약 4" xfId="51865" hidden="1"/>
    <cellStyle name="요약 4" xfId="50970" hidden="1"/>
    <cellStyle name="요약 4" xfId="51893" hidden="1"/>
    <cellStyle name="요약 4" xfId="51933" hidden="1"/>
    <cellStyle name="요약 4" xfId="51973" hidden="1"/>
    <cellStyle name="요약 4" xfId="52013" hidden="1"/>
    <cellStyle name="요약 4" xfId="52053" hidden="1"/>
    <cellStyle name="요약 4" xfId="52093" hidden="1"/>
    <cellStyle name="요약 4" xfId="52133" hidden="1"/>
    <cellStyle name="요약 4" xfId="52173" hidden="1"/>
    <cellStyle name="요약 4" xfId="52213" hidden="1"/>
    <cellStyle name="요약 4" xfId="52253" hidden="1"/>
    <cellStyle name="요약 4" xfId="52293" hidden="1"/>
    <cellStyle name="요약 4" xfId="52333" hidden="1"/>
    <cellStyle name="요약 4 2" xfId="7194"/>
    <cellStyle name="요약 4 3" xfId="7195"/>
    <cellStyle name="요약 4 4" xfId="7196"/>
    <cellStyle name="요약 4 5" xfId="7197"/>
    <cellStyle name="요약 40" xfId="7198"/>
    <cellStyle name="요약 41" xfId="7199"/>
    <cellStyle name="요약 42" xfId="7200"/>
    <cellStyle name="요약 43" xfId="7201"/>
    <cellStyle name="요약 44" xfId="7202"/>
    <cellStyle name="요약 45" xfId="7203"/>
    <cellStyle name="요약 46" xfId="7204"/>
    <cellStyle name="요약 47" xfId="7205"/>
    <cellStyle name="요약 48" xfId="7206"/>
    <cellStyle name="요약 49" xfId="7207"/>
    <cellStyle name="요약 5" xfId="7208"/>
    <cellStyle name="요약 50" xfId="7209"/>
    <cellStyle name="요약 51" xfId="7210"/>
    <cellStyle name="요약 52" xfId="7211"/>
    <cellStyle name="요약 6" xfId="7212"/>
    <cellStyle name="요약 7" xfId="7213"/>
    <cellStyle name="요약 8" xfId="7214"/>
    <cellStyle name="요약 9" xfId="7215"/>
    <cellStyle name="입력 10" xfId="7216"/>
    <cellStyle name="입력 11" xfId="7217"/>
    <cellStyle name="입력 12" xfId="7218"/>
    <cellStyle name="입력 13" xfId="7219"/>
    <cellStyle name="입력 14" xfId="7220"/>
    <cellStyle name="입력 15" xfId="7221"/>
    <cellStyle name="입력 16" xfId="7222"/>
    <cellStyle name="입력 17" xfId="7223"/>
    <cellStyle name="입력 18" xfId="7224"/>
    <cellStyle name="입력 19" xfId="7225"/>
    <cellStyle name="입력 2" xfId="385"/>
    <cellStyle name="입력 2 10" xfId="7226"/>
    <cellStyle name="입력 2 100" xfId="7227"/>
    <cellStyle name="입력 2 101" xfId="7228"/>
    <cellStyle name="입력 2 102" xfId="7229"/>
    <cellStyle name="입력 2 103" xfId="7230"/>
    <cellStyle name="입력 2 104" xfId="7231"/>
    <cellStyle name="입력 2 105" xfId="7232"/>
    <cellStyle name="입력 2 106" xfId="7233"/>
    <cellStyle name="입력 2 107" xfId="7234"/>
    <cellStyle name="입력 2 108" xfId="7235"/>
    <cellStyle name="입력 2 109" xfId="7236"/>
    <cellStyle name="입력 2 11" xfId="7237"/>
    <cellStyle name="입력 2 110" xfId="7238"/>
    <cellStyle name="입력 2 111" xfId="7239"/>
    <cellStyle name="입력 2 112" xfId="7240"/>
    <cellStyle name="입력 2 12" xfId="7241"/>
    <cellStyle name="입력 2 13" xfId="7242"/>
    <cellStyle name="입력 2 14" xfId="7243"/>
    <cellStyle name="입력 2 15" xfId="7244"/>
    <cellStyle name="입력 2 16" xfId="7245"/>
    <cellStyle name="입력 2 17" xfId="7246"/>
    <cellStyle name="입력 2 18" xfId="7247"/>
    <cellStyle name="입력 2 19" xfId="7248"/>
    <cellStyle name="입력 2 2" xfId="7249"/>
    <cellStyle name="입력 2 2 2" xfId="7250"/>
    <cellStyle name="입력 2 2 3" xfId="7251"/>
    <cellStyle name="입력 2 2 4" xfId="7252"/>
    <cellStyle name="입력 2 2 5" xfId="7253"/>
    <cellStyle name="입력 2 20" xfId="7254"/>
    <cellStyle name="입력 2 21" xfId="7255"/>
    <cellStyle name="입력 2 22" xfId="7256"/>
    <cellStyle name="입력 2 23" xfId="7257"/>
    <cellStyle name="입력 2 24" xfId="7258"/>
    <cellStyle name="입력 2 25" xfId="7259"/>
    <cellStyle name="입력 2 26" xfId="7260"/>
    <cellStyle name="입력 2 27" xfId="7261"/>
    <cellStyle name="입력 2 28" xfId="7262"/>
    <cellStyle name="입력 2 29" xfId="7263"/>
    <cellStyle name="입력 2 3" xfId="7264"/>
    <cellStyle name="입력 2 30" xfId="7265"/>
    <cellStyle name="입력 2 31" xfId="7266"/>
    <cellStyle name="입력 2 32" xfId="7267"/>
    <cellStyle name="입력 2 33" xfId="7268"/>
    <cellStyle name="입력 2 34" xfId="7269"/>
    <cellStyle name="입력 2 35" xfId="7270"/>
    <cellStyle name="입력 2 36" xfId="7271"/>
    <cellStyle name="입력 2 37" xfId="7272"/>
    <cellStyle name="입력 2 38" xfId="7273"/>
    <cellStyle name="입력 2 39" xfId="7274"/>
    <cellStyle name="입력 2 4" xfId="7275"/>
    <cellStyle name="입력 2 40" xfId="7276"/>
    <cellStyle name="입력 2 41" xfId="7277"/>
    <cellStyle name="입력 2 42" xfId="7278"/>
    <cellStyle name="입력 2 43" xfId="7279"/>
    <cellStyle name="입력 2 44" xfId="7280"/>
    <cellStyle name="입력 2 45" xfId="7281"/>
    <cellStyle name="입력 2 46" xfId="7282"/>
    <cellStyle name="입력 2 47" xfId="7283"/>
    <cellStyle name="입력 2 48" xfId="7284"/>
    <cellStyle name="입력 2 49" xfId="7285"/>
    <cellStyle name="입력 2 5" xfId="7286"/>
    <cellStyle name="입력 2 50" xfId="7287"/>
    <cellStyle name="입력 2 51" xfId="7288"/>
    <cellStyle name="입력 2 52" xfId="7289"/>
    <cellStyle name="입력 2 53" xfId="7290"/>
    <cellStyle name="입력 2 54" xfId="7291"/>
    <cellStyle name="입력 2 55" xfId="7292"/>
    <cellStyle name="입력 2 56" xfId="7293"/>
    <cellStyle name="입력 2 57" xfId="7294"/>
    <cellStyle name="입력 2 58" xfId="7295"/>
    <cellStyle name="입력 2 59" xfId="7296"/>
    <cellStyle name="입력 2 6" xfId="7297"/>
    <cellStyle name="입력 2 60" xfId="7298"/>
    <cellStyle name="입력 2 61" xfId="7299"/>
    <cellStyle name="입력 2 62" xfId="7300"/>
    <cellStyle name="입력 2 63" xfId="7301"/>
    <cellStyle name="입력 2 64" xfId="7302"/>
    <cellStyle name="입력 2 65" xfId="7303"/>
    <cellStyle name="입력 2 66" xfId="7304"/>
    <cellStyle name="입력 2 67" xfId="7305"/>
    <cellStyle name="입력 2 68" xfId="7306"/>
    <cellStyle name="입력 2 69" xfId="7307"/>
    <cellStyle name="입력 2 7" xfId="7308"/>
    <cellStyle name="입력 2 70" xfId="7309"/>
    <cellStyle name="입력 2 71" xfId="7310"/>
    <cellStyle name="입력 2 72" xfId="7311"/>
    <cellStyle name="입력 2 73" xfId="7312"/>
    <cellStyle name="입력 2 74" xfId="7313"/>
    <cellStyle name="입력 2 75" xfId="7314"/>
    <cellStyle name="입력 2 76" xfId="7315"/>
    <cellStyle name="입력 2 77" xfId="7316"/>
    <cellStyle name="입력 2 78" xfId="7317"/>
    <cellStyle name="입력 2 79" xfId="7318"/>
    <cellStyle name="입력 2 8" xfId="7319"/>
    <cellStyle name="입력 2 80" xfId="7320"/>
    <cellStyle name="입력 2 81" xfId="7321"/>
    <cellStyle name="입력 2 82" xfId="7322"/>
    <cellStyle name="입력 2 83" xfId="7323"/>
    <cellStyle name="입력 2 84" xfId="7324"/>
    <cellStyle name="입력 2 85" xfId="7325"/>
    <cellStyle name="입력 2 86" xfId="7326"/>
    <cellStyle name="입력 2 87" xfId="7327"/>
    <cellStyle name="입력 2 88" xfId="7328"/>
    <cellStyle name="입력 2 89" xfId="7329"/>
    <cellStyle name="입력 2 9" xfId="7330"/>
    <cellStyle name="입력 2 90" xfId="7331"/>
    <cellStyle name="입력 2 91" xfId="7332"/>
    <cellStyle name="입력 2 92" xfId="7333"/>
    <cellStyle name="입력 2 93" xfId="7334"/>
    <cellStyle name="입력 2 94" xfId="7335"/>
    <cellStyle name="입력 2 95" xfId="7336"/>
    <cellStyle name="입력 2 96" xfId="7337"/>
    <cellStyle name="입력 2 97" xfId="7338"/>
    <cellStyle name="입력 2 98" xfId="7339"/>
    <cellStyle name="입력 2 99" xfId="7340"/>
    <cellStyle name="입력 20" xfId="7341"/>
    <cellStyle name="입력 21" xfId="7342"/>
    <cellStyle name="입력 22" xfId="7343"/>
    <cellStyle name="입력 23" xfId="7344"/>
    <cellStyle name="입력 24" xfId="7345"/>
    <cellStyle name="입력 25" xfId="7346"/>
    <cellStyle name="입력 26" xfId="7347"/>
    <cellStyle name="입력 27" xfId="7348"/>
    <cellStyle name="입력 28" xfId="7349"/>
    <cellStyle name="입력 29" xfId="7350"/>
    <cellStyle name="입력 3" xfId="386"/>
    <cellStyle name="입력 30" xfId="7351"/>
    <cellStyle name="입력 31" xfId="7352"/>
    <cellStyle name="입력 32" xfId="7353"/>
    <cellStyle name="입력 33" xfId="7354"/>
    <cellStyle name="입력 34" xfId="7355"/>
    <cellStyle name="입력 35" xfId="7356"/>
    <cellStyle name="입력 36" xfId="7357"/>
    <cellStyle name="입력 37" xfId="7358"/>
    <cellStyle name="입력 38" xfId="7359"/>
    <cellStyle name="입력 39" xfId="7360"/>
    <cellStyle name="입력 4" xfId="11716" hidden="1"/>
    <cellStyle name="입력 4" xfId="11762" hidden="1"/>
    <cellStyle name="입력 4" xfId="11808" hidden="1"/>
    <cellStyle name="입력 4" xfId="11854" hidden="1"/>
    <cellStyle name="입력 4" xfId="11900" hidden="1"/>
    <cellStyle name="입력 4" xfId="11946" hidden="1"/>
    <cellStyle name="입력 4" xfId="11992" hidden="1"/>
    <cellStyle name="입력 4" xfId="12038" hidden="1"/>
    <cellStyle name="입력 4" xfId="12084" hidden="1"/>
    <cellStyle name="입력 4" xfId="12130" hidden="1"/>
    <cellStyle name="입력 4" xfId="12176" hidden="1"/>
    <cellStyle name="입력 4" xfId="12222" hidden="1"/>
    <cellStyle name="입력 4" xfId="12312" hidden="1"/>
    <cellStyle name="입력 4" xfId="12352" hidden="1"/>
    <cellStyle name="입력 4" xfId="12394" hidden="1"/>
    <cellStyle name="입력 4" xfId="12436" hidden="1"/>
    <cellStyle name="입력 4" xfId="12478" hidden="1"/>
    <cellStyle name="입력 4" xfId="12520" hidden="1"/>
    <cellStyle name="입력 4" xfId="12562" hidden="1"/>
    <cellStyle name="입력 4" xfId="12604" hidden="1"/>
    <cellStyle name="입력 4" xfId="12646" hidden="1"/>
    <cellStyle name="입력 4" xfId="12688" hidden="1"/>
    <cellStyle name="입력 4" xfId="12730" hidden="1"/>
    <cellStyle name="입력 4" xfId="12772" hidden="1"/>
    <cellStyle name="입력 4" xfId="12266" hidden="1"/>
    <cellStyle name="입력 4" xfId="12955" hidden="1"/>
    <cellStyle name="입력 4" xfId="12995" hidden="1"/>
    <cellStyle name="입력 4" xfId="13035" hidden="1"/>
    <cellStyle name="입력 4" xfId="13075" hidden="1"/>
    <cellStyle name="입력 4" xfId="13115" hidden="1"/>
    <cellStyle name="입력 4" xfId="13155" hidden="1"/>
    <cellStyle name="입력 4" xfId="13195" hidden="1"/>
    <cellStyle name="입력 4" xfId="13235" hidden="1"/>
    <cellStyle name="입력 4" xfId="13275" hidden="1"/>
    <cellStyle name="입력 4" xfId="13315" hidden="1"/>
    <cellStyle name="입력 4" xfId="13355" hidden="1"/>
    <cellStyle name="입력 4" xfId="13395" hidden="1"/>
    <cellStyle name="입력 4" xfId="12879" hidden="1"/>
    <cellStyle name="입력 4" xfId="12840" hidden="1"/>
    <cellStyle name="입력 4" xfId="13436" hidden="1"/>
    <cellStyle name="입력 4" xfId="13478" hidden="1"/>
    <cellStyle name="입력 4" xfId="13520" hidden="1"/>
    <cellStyle name="입력 4" xfId="13562" hidden="1"/>
    <cellStyle name="입력 4" xfId="13604" hidden="1"/>
    <cellStyle name="입력 4" xfId="13646" hidden="1"/>
    <cellStyle name="입력 4" xfId="13688" hidden="1"/>
    <cellStyle name="입력 4" xfId="13730" hidden="1"/>
    <cellStyle name="입력 4" xfId="13772" hidden="1"/>
    <cellStyle name="입력 4" xfId="13814" hidden="1"/>
    <cellStyle name="입력 4" xfId="12934" hidden="1"/>
    <cellStyle name="입력 4" xfId="12897" hidden="1"/>
    <cellStyle name="입력 4" xfId="13883" hidden="1"/>
    <cellStyle name="입력 4" xfId="13923" hidden="1"/>
    <cellStyle name="입력 4" xfId="13963" hidden="1"/>
    <cellStyle name="입력 4" xfId="14003" hidden="1"/>
    <cellStyle name="입력 4" xfId="14043" hidden="1"/>
    <cellStyle name="입력 4" xfId="14083" hidden="1"/>
    <cellStyle name="입력 4" xfId="14123" hidden="1"/>
    <cellStyle name="입력 4" xfId="14163" hidden="1"/>
    <cellStyle name="입력 4" xfId="14203" hidden="1"/>
    <cellStyle name="입력 4" xfId="14243" hidden="1"/>
    <cellStyle name="입력 4" xfId="14283" hidden="1"/>
    <cellStyle name="입력 4" xfId="14389" hidden="1"/>
    <cellStyle name="입력 4" xfId="14429" hidden="1"/>
    <cellStyle name="입력 4" xfId="14469" hidden="1"/>
    <cellStyle name="입력 4" xfId="14509" hidden="1"/>
    <cellStyle name="입력 4" xfId="14549" hidden="1"/>
    <cellStyle name="입력 4" xfId="14589" hidden="1"/>
    <cellStyle name="입력 4" xfId="14629" hidden="1"/>
    <cellStyle name="입력 4" xfId="14669" hidden="1"/>
    <cellStyle name="입력 4" xfId="14709" hidden="1"/>
    <cellStyle name="입력 4" xfId="14749" hidden="1"/>
    <cellStyle name="입력 4" xfId="14789" hidden="1"/>
    <cellStyle name="입력 4" xfId="14829" hidden="1"/>
    <cellStyle name="입력 4" xfId="14913" hidden="1"/>
    <cellStyle name="입력 4" xfId="14953" hidden="1"/>
    <cellStyle name="입력 4" xfId="14995" hidden="1"/>
    <cellStyle name="입력 4" xfId="15037" hidden="1"/>
    <cellStyle name="입력 4" xfId="15079" hidden="1"/>
    <cellStyle name="입력 4" xfId="15121" hidden="1"/>
    <cellStyle name="입력 4" xfId="15163" hidden="1"/>
    <cellStyle name="입력 4" xfId="15205" hidden="1"/>
    <cellStyle name="입력 4" xfId="15247" hidden="1"/>
    <cellStyle name="입력 4" xfId="15289" hidden="1"/>
    <cellStyle name="입력 4" xfId="15331" hidden="1"/>
    <cellStyle name="입력 4" xfId="15373" hidden="1"/>
    <cellStyle name="입력 4" xfId="14869" hidden="1"/>
    <cellStyle name="입력 4" xfId="15553" hidden="1"/>
    <cellStyle name="입력 4" xfId="15593" hidden="1"/>
    <cellStyle name="입력 4" xfId="15633" hidden="1"/>
    <cellStyle name="입력 4" xfId="15673" hidden="1"/>
    <cellStyle name="입력 4" xfId="15713" hidden="1"/>
    <cellStyle name="입력 4" xfId="15753" hidden="1"/>
    <cellStyle name="입력 4" xfId="15793" hidden="1"/>
    <cellStyle name="입력 4" xfId="15833" hidden="1"/>
    <cellStyle name="입력 4" xfId="15873" hidden="1"/>
    <cellStyle name="입력 4" xfId="15913" hidden="1"/>
    <cellStyle name="입력 4" xfId="15953" hidden="1"/>
    <cellStyle name="입력 4" xfId="15993" hidden="1"/>
    <cellStyle name="입력 4" xfId="15479" hidden="1"/>
    <cellStyle name="입력 4" xfId="15440" hidden="1"/>
    <cellStyle name="입력 4" xfId="16034" hidden="1"/>
    <cellStyle name="입력 4" xfId="16076" hidden="1"/>
    <cellStyle name="입력 4" xfId="16118" hidden="1"/>
    <cellStyle name="입력 4" xfId="16160" hidden="1"/>
    <cellStyle name="입력 4" xfId="16202" hidden="1"/>
    <cellStyle name="입력 4" xfId="16244" hidden="1"/>
    <cellStyle name="입력 4" xfId="16286" hidden="1"/>
    <cellStyle name="입력 4" xfId="16328" hidden="1"/>
    <cellStyle name="입력 4" xfId="16370" hidden="1"/>
    <cellStyle name="입력 4" xfId="16412" hidden="1"/>
    <cellStyle name="입력 4" xfId="15533" hidden="1"/>
    <cellStyle name="입력 4" xfId="15496" hidden="1"/>
    <cellStyle name="입력 4" xfId="16481" hidden="1"/>
    <cellStyle name="입력 4" xfId="16521" hidden="1"/>
    <cellStyle name="입력 4" xfId="16561" hidden="1"/>
    <cellStyle name="입력 4" xfId="16601" hidden="1"/>
    <cellStyle name="입력 4" xfId="16641" hidden="1"/>
    <cellStyle name="입력 4" xfId="16681" hidden="1"/>
    <cellStyle name="입력 4" xfId="16721" hidden="1"/>
    <cellStyle name="입력 4" xfId="16761" hidden="1"/>
    <cellStyle name="입력 4" xfId="16801" hidden="1"/>
    <cellStyle name="입력 4" xfId="16841" hidden="1"/>
    <cellStyle name="입력 4" xfId="16881" hidden="1"/>
    <cellStyle name="입력 4" xfId="14336" hidden="1"/>
    <cellStyle name="입력 4" xfId="16932" hidden="1"/>
    <cellStyle name="입력 4" xfId="16973" hidden="1"/>
    <cellStyle name="입력 4" xfId="17013" hidden="1"/>
    <cellStyle name="입력 4" xfId="17053" hidden="1"/>
    <cellStyle name="입력 4" xfId="17093" hidden="1"/>
    <cellStyle name="입력 4" xfId="17133" hidden="1"/>
    <cellStyle name="입력 4" xfId="17173" hidden="1"/>
    <cellStyle name="입력 4" xfId="17213" hidden="1"/>
    <cellStyle name="입력 4" xfId="17253" hidden="1"/>
    <cellStyle name="입력 4" xfId="17293" hidden="1"/>
    <cellStyle name="입력 4" xfId="17333" hidden="1"/>
    <cellStyle name="입력 4" xfId="17417" hidden="1"/>
    <cellStyle name="입력 4" xfId="17457" hidden="1"/>
    <cellStyle name="입력 4" xfId="17499" hidden="1"/>
    <cellStyle name="입력 4" xfId="17541" hidden="1"/>
    <cellStyle name="입력 4" xfId="17583" hidden="1"/>
    <cellStyle name="입력 4" xfId="17625" hidden="1"/>
    <cellStyle name="입력 4" xfId="17667" hidden="1"/>
    <cellStyle name="입력 4" xfId="17709" hidden="1"/>
    <cellStyle name="입력 4" xfId="17751" hidden="1"/>
    <cellStyle name="입력 4" xfId="17793" hidden="1"/>
    <cellStyle name="입력 4" xfId="17835" hidden="1"/>
    <cellStyle name="입력 4" xfId="17877" hidden="1"/>
    <cellStyle name="입력 4" xfId="17373" hidden="1"/>
    <cellStyle name="입력 4" xfId="18057" hidden="1"/>
    <cellStyle name="입력 4" xfId="18097" hidden="1"/>
    <cellStyle name="입력 4" xfId="18137" hidden="1"/>
    <cellStyle name="입력 4" xfId="18177" hidden="1"/>
    <cellStyle name="입력 4" xfId="18217" hidden="1"/>
    <cellStyle name="입력 4" xfId="18257" hidden="1"/>
    <cellStyle name="입력 4" xfId="18297" hidden="1"/>
    <cellStyle name="입력 4" xfId="18337" hidden="1"/>
    <cellStyle name="입력 4" xfId="18377" hidden="1"/>
    <cellStyle name="입력 4" xfId="18417" hidden="1"/>
    <cellStyle name="입력 4" xfId="18457" hidden="1"/>
    <cellStyle name="입력 4" xfId="18497" hidden="1"/>
    <cellStyle name="입력 4" xfId="17983" hidden="1"/>
    <cellStyle name="입력 4" xfId="17944" hidden="1"/>
    <cellStyle name="입력 4" xfId="18538" hidden="1"/>
    <cellStyle name="입력 4" xfId="18580" hidden="1"/>
    <cellStyle name="입력 4" xfId="18622" hidden="1"/>
    <cellStyle name="입력 4" xfId="18664" hidden="1"/>
    <cellStyle name="입력 4" xfId="18706" hidden="1"/>
    <cellStyle name="입력 4" xfId="18748" hidden="1"/>
    <cellStyle name="입력 4" xfId="18790" hidden="1"/>
    <cellStyle name="입력 4" xfId="18832" hidden="1"/>
    <cellStyle name="입력 4" xfId="18874" hidden="1"/>
    <cellStyle name="입력 4" xfId="18916" hidden="1"/>
    <cellStyle name="입력 4" xfId="18037" hidden="1"/>
    <cellStyle name="입력 4" xfId="18000" hidden="1"/>
    <cellStyle name="입력 4" xfId="18985" hidden="1"/>
    <cellStyle name="입력 4" xfId="19025" hidden="1"/>
    <cellStyle name="입력 4" xfId="19065" hidden="1"/>
    <cellStyle name="입력 4" xfId="19105" hidden="1"/>
    <cellStyle name="입력 4" xfId="19145" hidden="1"/>
    <cellStyle name="입력 4" xfId="19185" hidden="1"/>
    <cellStyle name="입력 4" xfId="19225" hidden="1"/>
    <cellStyle name="입력 4" xfId="19265" hidden="1"/>
    <cellStyle name="입력 4" xfId="19305" hidden="1"/>
    <cellStyle name="입력 4" xfId="19345" hidden="1"/>
    <cellStyle name="입력 4" xfId="19385" hidden="1"/>
    <cellStyle name="입력 4" xfId="14356" hidden="1"/>
    <cellStyle name="입력 4" xfId="19435" hidden="1"/>
    <cellStyle name="입력 4" xfId="19475" hidden="1"/>
    <cellStyle name="입력 4" xfId="19515" hidden="1"/>
    <cellStyle name="입력 4" xfId="19555" hidden="1"/>
    <cellStyle name="입력 4" xfId="19595" hidden="1"/>
    <cellStyle name="입력 4" xfId="19635" hidden="1"/>
    <cellStyle name="입력 4" xfId="19675" hidden="1"/>
    <cellStyle name="입력 4" xfId="19715" hidden="1"/>
    <cellStyle name="입력 4" xfId="19755" hidden="1"/>
    <cellStyle name="입력 4" xfId="19795" hidden="1"/>
    <cellStyle name="입력 4" xfId="19835" hidden="1"/>
    <cellStyle name="입력 4" xfId="19919" hidden="1"/>
    <cellStyle name="입력 4" xfId="19959" hidden="1"/>
    <cellStyle name="입력 4" xfId="20001" hidden="1"/>
    <cellStyle name="입력 4" xfId="20043" hidden="1"/>
    <cellStyle name="입력 4" xfId="20085" hidden="1"/>
    <cellStyle name="입력 4" xfId="20127" hidden="1"/>
    <cellStyle name="입력 4" xfId="20169" hidden="1"/>
    <cellStyle name="입력 4" xfId="20211" hidden="1"/>
    <cellStyle name="입력 4" xfId="20253" hidden="1"/>
    <cellStyle name="입력 4" xfId="20295" hidden="1"/>
    <cellStyle name="입력 4" xfId="20337" hidden="1"/>
    <cellStyle name="입력 4" xfId="20379" hidden="1"/>
    <cellStyle name="입력 4" xfId="19875" hidden="1"/>
    <cellStyle name="입력 4" xfId="20559" hidden="1"/>
    <cellStyle name="입력 4" xfId="20599" hidden="1"/>
    <cellStyle name="입력 4" xfId="20639" hidden="1"/>
    <cellStyle name="입력 4" xfId="20679" hidden="1"/>
    <cellStyle name="입력 4" xfId="20719" hidden="1"/>
    <cellStyle name="입력 4" xfId="20759" hidden="1"/>
    <cellStyle name="입력 4" xfId="20799" hidden="1"/>
    <cellStyle name="입력 4" xfId="20839" hidden="1"/>
    <cellStyle name="입력 4" xfId="20879" hidden="1"/>
    <cellStyle name="입력 4" xfId="20919" hidden="1"/>
    <cellStyle name="입력 4" xfId="20959" hidden="1"/>
    <cellStyle name="입력 4" xfId="20999" hidden="1"/>
    <cellStyle name="입력 4" xfId="20485" hidden="1"/>
    <cellStyle name="입력 4" xfId="20446" hidden="1"/>
    <cellStyle name="입력 4" xfId="21040" hidden="1"/>
    <cellStyle name="입력 4" xfId="21082" hidden="1"/>
    <cellStyle name="입력 4" xfId="21124" hidden="1"/>
    <cellStyle name="입력 4" xfId="21166" hidden="1"/>
    <cellStyle name="입력 4" xfId="21208" hidden="1"/>
    <cellStyle name="입력 4" xfId="21250" hidden="1"/>
    <cellStyle name="입력 4" xfId="21292" hidden="1"/>
    <cellStyle name="입력 4" xfId="21334" hidden="1"/>
    <cellStyle name="입력 4" xfId="21376" hidden="1"/>
    <cellStyle name="입력 4" xfId="21418" hidden="1"/>
    <cellStyle name="입력 4" xfId="20539" hidden="1"/>
    <cellStyle name="입력 4" xfId="20502" hidden="1"/>
    <cellStyle name="입력 4" xfId="21487" hidden="1"/>
    <cellStyle name="입력 4" xfId="21527" hidden="1"/>
    <cellStyle name="입력 4" xfId="21567" hidden="1"/>
    <cellStyle name="입력 4" xfId="21607" hidden="1"/>
    <cellStyle name="입력 4" xfId="21647" hidden="1"/>
    <cellStyle name="입력 4" xfId="21687" hidden="1"/>
    <cellStyle name="입력 4" xfId="21727" hidden="1"/>
    <cellStyle name="입력 4" xfId="21767" hidden="1"/>
    <cellStyle name="입력 4" xfId="21807" hidden="1"/>
    <cellStyle name="입력 4" xfId="21847" hidden="1"/>
    <cellStyle name="입력 4" xfId="21887" hidden="1"/>
    <cellStyle name="입력 4" xfId="21955" hidden="1"/>
    <cellStyle name="입력 4" xfId="21995" hidden="1"/>
    <cellStyle name="입력 4" xfId="22035" hidden="1"/>
    <cellStyle name="입력 4" xfId="22075" hidden="1"/>
    <cellStyle name="입력 4" xfId="22115" hidden="1"/>
    <cellStyle name="입력 4" xfId="22155" hidden="1"/>
    <cellStyle name="입력 4" xfId="22195" hidden="1"/>
    <cellStyle name="입력 4" xfId="22235" hidden="1"/>
    <cellStyle name="입력 4" xfId="22275" hidden="1"/>
    <cellStyle name="입력 4" xfId="22315" hidden="1"/>
    <cellStyle name="입력 4" xfId="22355" hidden="1"/>
    <cellStyle name="입력 4" xfId="22395" hidden="1"/>
    <cellStyle name="입력 4" xfId="22479" hidden="1"/>
    <cellStyle name="입력 4" xfId="22519" hidden="1"/>
    <cellStyle name="입력 4" xfId="22561" hidden="1"/>
    <cellStyle name="입력 4" xfId="22603" hidden="1"/>
    <cellStyle name="입력 4" xfId="22645" hidden="1"/>
    <cellStyle name="입력 4" xfId="22687" hidden="1"/>
    <cellStyle name="입력 4" xfId="22729" hidden="1"/>
    <cellStyle name="입력 4" xfId="22771" hidden="1"/>
    <cellStyle name="입력 4" xfId="22813" hidden="1"/>
    <cellStyle name="입력 4" xfId="22855" hidden="1"/>
    <cellStyle name="입력 4" xfId="22897" hidden="1"/>
    <cellStyle name="입력 4" xfId="22939" hidden="1"/>
    <cellStyle name="입력 4" xfId="22435" hidden="1"/>
    <cellStyle name="입력 4" xfId="23119" hidden="1"/>
    <cellStyle name="입력 4" xfId="23159" hidden="1"/>
    <cellStyle name="입력 4" xfId="23199" hidden="1"/>
    <cellStyle name="입력 4" xfId="23239" hidden="1"/>
    <cellStyle name="입력 4" xfId="23279" hidden="1"/>
    <cellStyle name="입력 4" xfId="23319" hidden="1"/>
    <cellStyle name="입력 4" xfId="23359" hidden="1"/>
    <cellStyle name="입력 4" xfId="23399" hidden="1"/>
    <cellStyle name="입력 4" xfId="23439" hidden="1"/>
    <cellStyle name="입력 4" xfId="23479" hidden="1"/>
    <cellStyle name="입력 4" xfId="23519" hidden="1"/>
    <cellStyle name="입력 4" xfId="23559" hidden="1"/>
    <cellStyle name="입력 4" xfId="23045" hidden="1"/>
    <cellStyle name="입력 4" xfId="23006" hidden="1"/>
    <cellStyle name="입력 4" xfId="23600" hidden="1"/>
    <cellStyle name="입력 4" xfId="23642" hidden="1"/>
    <cellStyle name="입력 4" xfId="23684" hidden="1"/>
    <cellStyle name="입력 4" xfId="23726" hidden="1"/>
    <cellStyle name="입력 4" xfId="23768" hidden="1"/>
    <cellStyle name="입력 4" xfId="23810" hidden="1"/>
    <cellStyle name="입력 4" xfId="23852" hidden="1"/>
    <cellStyle name="입력 4" xfId="23894" hidden="1"/>
    <cellStyle name="입력 4" xfId="23936" hidden="1"/>
    <cellStyle name="입력 4" xfId="23978" hidden="1"/>
    <cellStyle name="입력 4" xfId="23099" hidden="1"/>
    <cellStyle name="입력 4" xfId="23062" hidden="1"/>
    <cellStyle name="입력 4" xfId="24047" hidden="1"/>
    <cellStyle name="입력 4" xfId="24087" hidden="1"/>
    <cellStyle name="입력 4" xfId="24127" hidden="1"/>
    <cellStyle name="입력 4" xfId="24167" hidden="1"/>
    <cellStyle name="입력 4" xfId="24207" hidden="1"/>
    <cellStyle name="입력 4" xfId="24247" hidden="1"/>
    <cellStyle name="입력 4" xfId="24287" hidden="1"/>
    <cellStyle name="입력 4" xfId="24327" hidden="1"/>
    <cellStyle name="입력 4" xfId="24367" hidden="1"/>
    <cellStyle name="입력 4" xfId="24407" hidden="1"/>
    <cellStyle name="입력 4" xfId="24447" hidden="1"/>
    <cellStyle name="입력 4" xfId="24545" hidden="1"/>
    <cellStyle name="입력 4" xfId="24585" hidden="1"/>
    <cellStyle name="입력 4" xfId="24626" hidden="1"/>
    <cellStyle name="입력 4" xfId="24668" hidden="1"/>
    <cellStyle name="입력 4" xfId="24708" hidden="1"/>
    <cellStyle name="입력 4" xfId="24748" hidden="1"/>
    <cellStyle name="입력 4" xfId="24788" hidden="1"/>
    <cellStyle name="입력 4" xfId="24828" hidden="1"/>
    <cellStyle name="입력 4" xfId="24868" hidden="1"/>
    <cellStyle name="입력 4" xfId="24908" hidden="1"/>
    <cellStyle name="입력 4" xfId="24948" hidden="1"/>
    <cellStyle name="입력 4" xfId="24988" hidden="1"/>
    <cellStyle name="입력 4" xfId="25072" hidden="1"/>
    <cellStyle name="입력 4" xfId="25112" hidden="1"/>
    <cellStyle name="입력 4" xfId="25154" hidden="1"/>
    <cellStyle name="입력 4" xfId="25196" hidden="1"/>
    <cellStyle name="입력 4" xfId="25238" hidden="1"/>
    <cellStyle name="입력 4" xfId="25280" hidden="1"/>
    <cellStyle name="입력 4" xfId="25322" hidden="1"/>
    <cellStyle name="입력 4" xfId="25364" hidden="1"/>
    <cellStyle name="입력 4" xfId="25406" hidden="1"/>
    <cellStyle name="입력 4" xfId="25448" hidden="1"/>
    <cellStyle name="입력 4" xfId="25490" hidden="1"/>
    <cellStyle name="입력 4" xfId="25532" hidden="1"/>
    <cellStyle name="입력 4" xfId="25028" hidden="1"/>
    <cellStyle name="입력 4" xfId="25712" hidden="1"/>
    <cellStyle name="입력 4" xfId="25752" hidden="1"/>
    <cellStyle name="입력 4" xfId="25792" hidden="1"/>
    <cellStyle name="입력 4" xfId="25832" hidden="1"/>
    <cellStyle name="입력 4" xfId="25872" hidden="1"/>
    <cellStyle name="입력 4" xfId="25912" hidden="1"/>
    <cellStyle name="입력 4" xfId="25952" hidden="1"/>
    <cellStyle name="입력 4" xfId="25992" hidden="1"/>
    <cellStyle name="입력 4" xfId="26032" hidden="1"/>
    <cellStyle name="입력 4" xfId="26072" hidden="1"/>
    <cellStyle name="입력 4" xfId="26112" hidden="1"/>
    <cellStyle name="입력 4" xfId="26152" hidden="1"/>
    <cellStyle name="입력 4" xfId="25638" hidden="1"/>
    <cellStyle name="입력 4" xfId="25599" hidden="1"/>
    <cellStyle name="입력 4" xfId="26193" hidden="1"/>
    <cellStyle name="입력 4" xfId="26235" hidden="1"/>
    <cellStyle name="입력 4" xfId="26277" hidden="1"/>
    <cellStyle name="입력 4" xfId="26319" hidden="1"/>
    <cellStyle name="입력 4" xfId="26361" hidden="1"/>
    <cellStyle name="입력 4" xfId="26403" hidden="1"/>
    <cellStyle name="입력 4" xfId="26445" hidden="1"/>
    <cellStyle name="입력 4" xfId="26487" hidden="1"/>
    <cellStyle name="입력 4" xfId="26529" hidden="1"/>
    <cellStyle name="입력 4" xfId="26571" hidden="1"/>
    <cellStyle name="입력 4" xfId="25692" hidden="1"/>
    <cellStyle name="입력 4" xfId="25655" hidden="1"/>
    <cellStyle name="입력 4" xfId="26640" hidden="1"/>
    <cellStyle name="입력 4" xfId="26680" hidden="1"/>
    <cellStyle name="입력 4" xfId="26720" hidden="1"/>
    <cellStyle name="입력 4" xfId="26760" hidden="1"/>
    <cellStyle name="입력 4" xfId="26800" hidden="1"/>
    <cellStyle name="입력 4" xfId="26840" hidden="1"/>
    <cellStyle name="입력 4" xfId="26880" hidden="1"/>
    <cellStyle name="입력 4" xfId="26920" hidden="1"/>
    <cellStyle name="입력 4" xfId="26960" hidden="1"/>
    <cellStyle name="입력 4" xfId="27000" hidden="1"/>
    <cellStyle name="입력 4" xfId="27040" hidden="1"/>
    <cellStyle name="입력 4" xfId="24498" hidden="1"/>
    <cellStyle name="입력 4" xfId="27091" hidden="1"/>
    <cellStyle name="입력 4" xfId="27131" hidden="1"/>
    <cellStyle name="입력 4" xfId="27171" hidden="1"/>
    <cellStyle name="입력 4" xfId="27211" hidden="1"/>
    <cellStyle name="입력 4" xfId="27251" hidden="1"/>
    <cellStyle name="입력 4" xfId="27291" hidden="1"/>
    <cellStyle name="입력 4" xfId="27331" hidden="1"/>
    <cellStyle name="입력 4" xfId="27371" hidden="1"/>
    <cellStyle name="입력 4" xfId="27411" hidden="1"/>
    <cellStyle name="입력 4" xfId="27451" hidden="1"/>
    <cellStyle name="입력 4" xfId="27491" hidden="1"/>
    <cellStyle name="입력 4" xfId="27575" hidden="1"/>
    <cellStyle name="입력 4" xfId="27615" hidden="1"/>
    <cellStyle name="입력 4" xfId="27657" hidden="1"/>
    <cellStyle name="입력 4" xfId="27699" hidden="1"/>
    <cellStyle name="입력 4" xfId="27741" hidden="1"/>
    <cellStyle name="입력 4" xfId="27783" hidden="1"/>
    <cellStyle name="입력 4" xfId="27825" hidden="1"/>
    <cellStyle name="입력 4" xfId="27867" hidden="1"/>
    <cellStyle name="입력 4" xfId="27909" hidden="1"/>
    <cellStyle name="입력 4" xfId="27951" hidden="1"/>
    <cellStyle name="입력 4" xfId="27993" hidden="1"/>
    <cellStyle name="입력 4" xfId="28035" hidden="1"/>
    <cellStyle name="입력 4" xfId="27531" hidden="1"/>
    <cellStyle name="입력 4" xfId="28215" hidden="1"/>
    <cellStyle name="입력 4" xfId="28255" hidden="1"/>
    <cellStyle name="입력 4" xfId="28295" hidden="1"/>
    <cellStyle name="입력 4" xfId="28335" hidden="1"/>
    <cellStyle name="입력 4" xfId="28375" hidden="1"/>
    <cellStyle name="입력 4" xfId="28415" hidden="1"/>
    <cellStyle name="입력 4" xfId="28455" hidden="1"/>
    <cellStyle name="입력 4" xfId="28495" hidden="1"/>
    <cellStyle name="입력 4" xfId="28535" hidden="1"/>
    <cellStyle name="입력 4" xfId="28575" hidden="1"/>
    <cellStyle name="입력 4" xfId="28615" hidden="1"/>
    <cellStyle name="입력 4" xfId="28655" hidden="1"/>
    <cellStyle name="입력 4" xfId="28141" hidden="1"/>
    <cellStyle name="입력 4" xfId="28102" hidden="1"/>
    <cellStyle name="입력 4" xfId="28696" hidden="1"/>
    <cellStyle name="입력 4" xfId="28738" hidden="1"/>
    <cellStyle name="입력 4" xfId="28780" hidden="1"/>
    <cellStyle name="입력 4" xfId="28822" hidden="1"/>
    <cellStyle name="입력 4" xfId="28864" hidden="1"/>
    <cellStyle name="입력 4" xfId="28906" hidden="1"/>
    <cellStyle name="입력 4" xfId="28948" hidden="1"/>
    <cellStyle name="입력 4" xfId="28990" hidden="1"/>
    <cellStyle name="입력 4" xfId="29032" hidden="1"/>
    <cellStyle name="입력 4" xfId="29074" hidden="1"/>
    <cellStyle name="입력 4" xfId="28195" hidden="1"/>
    <cellStyle name="입력 4" xfId="28158" hidden="1"/>
    <cellStyle name="입력 4" xfId="29143" hidden="1"/>
    <cellStyle name="입력 4" xfId="29183" hidden="1"/>
    <cellStyle name="입력 4" xfId="29223" hidden="1"/>
    <cellStyle name="입력 4" xfId="29263" hidden="1"/>
    <cellStyle name="입력 4" xfId="29303" hidden="1"/>
    <cellStyle name="입력 4" xfId="29343" hidden="1"/>
    <cellStyle name="입력 4" xfId="29383" hidden="1"/>
    <cellStyle name="입력 4" xfId="29423" hidden="1"/>
    <cellStyle name="입력 4" xfId="29463" hidden="1"/>
    <cellStyle name="입력 4" xfId="29503" hidden="1"/>
    <cellStyle name="입력 4" xfId="29543" hidden="1"/>
    <cellStyle name="입력 4" xfId="24514" hidden="1"/>
    <cellStyle name="입력 4" xfId="29593" hidden="1"/>
    <cellStyle name="입력 4" xfId="29633" hidden="1"/>
    <cellStyle name="입력 4" xfId="29673" hidden="1"/>
    <cellStyle name="입력 4" xfId="29713" hidden="1"/>
    <cellStyle name="입력 4" xfId="29753" hidden="1"/>
    <cellStyle name="입력 4" xfId="29793" hidden="1"/>
    <cellStyle name="입력 4" xfId="29833" hidden="1"/>
    <cellStyle name="입력 4" xfId="29873" hidden="1"/>
    <cellStyle name="입력 4" xfId="29913" hidden="1"/>
    <cellStyle name="입력 4" xfId="29953" hidden="1"/>
    <cellStyle name="입력 4" xfId="29993" hidden="1"/>
    <cellStyle name="입력 4" xfId="30077" hidden="1"/>
    <cellStyle name="입력 4" xfId="30117" hidden="1"/>
    <cellStyle name="입력 4" xfId="30159" hidden="1"/>
    <cellStyle name="입력 4" xfId="30201" hidden="1"/>
    <cellStyle name="입력 4" xfId="30243" hidden="1"/>
    <cellStyle name="입력 4" xfId="30285" hidden="1"/>
    <cellStyle name="입력 4" xfId="30327" hidden="1"/>
    <cellStyle name="입력 4" xfId="30369" hidden="1"/>
    <cellStyle name="입력 4" xfId="30411" hidden="1"/>
    <cellStyle name="입력 4" xfId="30453" hidden="1"/>
    <cellStyle name="입력 4" xfId="30495" hidden="1"/>
    <cellStyle name="입력 4" xfId="30537" hidden="1"/>
    <cellStyle name="입력 4" xfId="30033" hidden="1"/>
    <cellStyle name="입력 4" xfId="30717" hidden="1"/>
    <cellStyle name="입력 4" xfId="30757" hidden="1"/>
    <cellStyle name="입력 4" xfId="30797" hidden="1"/>
    <cellStyle name="입력 4" xfId="30837" hidden="1"/>
    <cellStyle name="입력 4" xfId="30877" hidden="1"/>
    <cellStyle name="입력 4" xfId="30917" hidden="1"/>
    <cellStyle name="입력 4" xfId="30957" hidden="1"/>
    <cellStyle name="입력 4" xfId="30997" hidden="1"/>
    <cellStyle name="입력 4" xfId="31037" hidden="1"/>
    <cellStyle name="입력 4" xfId="31077" hidden="1"/>
    <cellStyle name="입력 4" xfId="31117" hidden="1"/>
    <cellStyle name="입력 4" xfId="31157" hidden="1"/>
    <cellStyle name="입력 4" xfId="30643" hidden="1"/>
    <cellStyle name="입력 4" xfId="30604" hidden="1"/>
    <cellStyle name="입력 4" xfId="31198" hidden="1"/>
    <cellStyle name="입력 4" xfId="31240" hidden="1"/>
    <cellStyle name="입력 4" xfId="31282" hidden="1"/>
    <cellStyle name="입력 4" xfId="31324" hidden="1"/>
    <cellStyle name="입력 4" xfId="31366" hidden="1"/>
    <cellStyle name="입력 4" xfId="31408" hidden="1"/>
    <cellStyle name="입력 4" xfId="31450" hidden="1"/>
    <cellStyle name="입력 4" xfId="31492" hidden="1"/>
    <cellStyle name="입력 4" xfId="31534" hidden="1"/>
    <cellStyle name="입력 4" xfId="31576" hidden="1"/>
    <cellStyle name="입력 4" xfId="30697" hidden="1"/>
    <cellStyle name="입력 4" xfId="30660" hidden="1"/>
    <cellStyle name="입력 4" xfId="31645" hidden="1"/>
    <cellStyle name="입력 4" xfId="31685" hidden="1"/>
    <cellStyle name="입력 4" xfId="31725" hidden="1"/>
    <cellStyle name="입력 4" xfId="31765" hidden="1"/>
    <cellStyle name="입력 4" xfId="31805" hidden="1"/>
    <cellStyle name="입력 4" xfId="31845" hidden="1"/>
    <cellStyle name="입력 4" xfId="31885" hidden="1"/>
    <cellStyle name="입력 4" xfId="31925" hidden="1"/>
    <cellStyle name="입력 4" xfId="31965" hidden="1"/>
    <cellStyle name="입력 4" xfId="32005" hidden="1"/>
    <cellStyle name="입력 4" xfId="32045" hidden="1"/>
    <cellStyle name="입력 4" xfId="32107" hidden="1"/>
    <cellStyle name="입력 4" xfId="32147" hidden="1"/>
    <cellStyle name="입력 4" xfId="32187" hidden="1"/>
    <cellStyle name="입력 4" xfId="32227" hidden="1"/>
    <cellStyle name="입력 4" xfId="32267" hidden="1"/>
    <cellStyle name="입력 4" xfId="32307" hidden="1"/>
    <cellStyle name="입력 4" xfId="32347" hidden="1"/>
    <cellStyle name="입력 4" xfId="32387" hidden="1"/>
    <cellStyle name="입력 4" xfId="32427" hidden="1"/>
    <cellStyle name="입력 4" xfId="32467" hidden="1"/>
    <cellStyle name="입력 4" xfId="32507" hidden="1"/>
    <cellStyle name="입력 4" xfId="32547" hidden="1"/>
    <cellStyle name="입력 4" xfId="32632" hidden="1"/>
    <cellStyle name="입력 4" xfId="32672" hidden="1"/>
    <cellStyle name="입력 4" xfId="32714" hidden="1"/>
    <cellStyle name="입력 4" xfId="32756" hidden="1"/>
    <cellStyle name="입력 4" xfId="32798" hidden="1"/>
    <cellStyle name="입력 4" xfId="32840" hidden="1"/>
    <cellStyle name="입력 4" xfId="32882" hidden="1"/>
    <cellStyle name="입력 4" xfId="32924" hidden="1"/>
    <cellStyle name="입력 4" xfId="32966" hidden="1"/>
    <cellStyle name="입력 4" xfId="33008" hidden="1"/>
    <cellStyle name="입력 4" xfId="33050" hidden="1"/>
    <cellStyle name="입력 4" xfId="33092" hidden="1"/>
    <cellStyle name="입력 4" xfId="32588" hidden="1"/>
    <cellStyle name="입력 4" xfId="33272" hidden="1"/>
    <cellStyle name="입력 4" xfId="33312" hidden="1"/>
    <cellStyle name="입력 4" xfId="33352" hidden="1"/>
    <cellStyle name="입력 4" xfId="33392" hidden="1"/>
    <cellStyle name="입력 4" xfId="33432" hidden="1"/>
    <cellStyle name="입력 4" xfId="33472" hidden="1"/>
    <cellStyle name="입력 4" xfId="33512" hidden="1"/>
    <cellStyle name="입력 4" xfId="33552" hidden="1"/>
    <cellStyle name="입력 4" xfId="33592" hidden="1"/>
    <cellStyle name="입력 4" xfId="33632" hidden="1"/>
    <cellStyle name="입력 4" xfId="33672" hidden="1"/>
    <cellStyle name="입력 4" xfId="33712" hidden="1"/>
    <cellStyle name="입력 4" xfId="33198" hidden="1"/>
    <cellStyle name="입력 4" xfId="33159" hidden="1"/>
    <cellStyle name="입력 4" xfId="33753" hidden="1"/>
    <cellStyle name="입력 4" xfId="33795" hidden="1"/>
    <cellStyle name="입력 4" xfId="33837" hidden="1"/>
    <cellStyle name="입력 4" xfId="33879" hidden="1"/>
    <cellStyle name="입력 4" xfId="33921" hidden="1"/>
    <cellStyle name="입력 4" xfId="33963" hidden="1"/>
    <cellStyle name="입력 4" xfId="34005" hidden="1"/>
    <cellStyle name="입력 4" xfId="34047" hidden="1"/>
    <cellStyle name="입력 4" xfId="34089" hidden="1"/>
    <cellStyle name="입력 4" xfId="34131" hidden="1"/>
    <cellStyle name="입력 4" xfId="33252" hidden="1"/>
    <cellStyle name="입력 4" xfId="33215" hidden="1"/>
    <cellStyle name="입력 4" xfId="34200" hidden="1"/>
    <cellStyle name="입력 4" xfId="34240" hidden="1"/>
    <cellStyle name="입력 4" xfId="34280" hidden="1"/>
    <cellStyle name="입력 4" xfId="34320" hidden="1"/>
    <cellStyle name="입력 4" xfId="34360" hidden="1"/>
    <cellStyle name="입력 4" xfId="34400" hidden="1"/>
    <cellStyle name="입력 4" xfId="34440" hidden="1"/>
    <cellStyle name="입력 4" xfId="34480" hidden="1"/>
    <cellStyle name="입력 4" xfId="34520" hidden="1"/>
    <cellStyle name="입력 4" xfId="34560" hidden="1"/>
    <cellStyle name="입력 4" xfId="34600" hidden="1"/>
    <cellStyle name="입력 4" xfId="34697" hidden="1"/>
    <cellStyle name="입력 4" xfId="34737" hidden="1"/>
    <cellStyle name="입력 4" xfId="34777" hidden="1"/>
    <cellStyle name="입력 4" xfId="34817" hidden="1"/>
    <cellStyle name="입력 4" xfId="34857" hidden="1"/>
    <cellStyle name="입력 4" xfId="34897" hidden="1"/>
    <cellStyle name="입력 4" xfId="34937" hidden="1"/>
    <cellStyle name="입력 4" xfId="34977" hidden="1"/>
    <cellStyle name="입력 4" xfId="35017" hidden="1"/>
    <cellStyle name="입력 4" xfId="35057" hidden="1"/>
    <cellStyle name="입력 4" xfId="35097" hidden="1"/>
    <cellStyle name="입력 4" xfId="35137" hidden="1"/>
    <cellStyle name="입력 4" xfId="35221" hidden="1"/>
    <cellStyle name="입력 4" xfId="35261" hidden="1"/>
    <cellStyle name="입력 4" xfId="35303" hidden="1"/>
    <cellStyle name="입력 4" xfId="35345" hidden="1"/>
    <cellStyle name="입력 4" xfId="35387" hidden="1"/>
    <cellStyle name="입력 4" xfId="35429" hidden="1"/>
    <cellStyle name="입력 4" xfId="35471" hidden="1"/>
    <cellStyle name="입력 4" xfId="35513" hidden="1"/>
    <cellStyle name="입력 4" xfId="35555" hidden="1"/>
    <cellStyle name="입력 4" xfId="35597" hidden="1"/>
    <cellStyle name="입력 4" xfId="35639" hidden="1"/>
    <cellStyle name="입력 4" xfId="35681" hidden="1"/>
    <cellStyle name="입력 4" xfId="35177" hidden="1"/>
    <cellStyle name="입력 4" xfId="35861" hidden="1"/>
    <cellStyle name="입력 4" xfId="35901" hidden="1"/>
    <cellStyle name="입력 4" xfId="35941" hidden="1"/>
    <cellStyle name="입력 4" xfId="35981" hidden="1"/>
    <cellStyle name="입력 4" xfId="36021" hidden="1"/>
    <cellStyle name="입력 4" xfId="36061" hidden="1"/>
    <cellStyle name="입력 4" xfId="36101" hidden="1"/>
    <cellStyle name="입력 4" xfId="36141" hidden="1"/>
    <cellStyle name="입력 4" xfId="36181" hidden="1"/>
    <cellStyle name="입력 4" xfId="36221" hidden="1"/>
    <cellStyle name="입력 4" xfId="36261" hidden="1"/>
    <cellStyle name="입력 4" xfId="36301" hidden="1"/>
    <cellStyle name="입력 4" xfId="35787" hidden="1"/>
    <cellStyle name="입력 4" xfId="35748" hidden="1"/>
    <cellStyle name="입력 4" xfId="36342" hidden="1"/>
    <cellStyle name="입력 4" xfId="36384" hidden="1"/>
    <cellStyle name="입력 4" xfId="36426" hidden="1"/>
    <cellStyle name="입력 4" xfId="36468" hidden="1"/>
    <cellStyle name="입력 4" xfId="36510" hidden="1"/>
    <cellStyle name="입력 4" xfId="36552" hidden="1"/>
    <cellStyle name="입력 4" xfId="36594" hidden="1"/>
    <cellStyle name="입력 4" xfId="36636" hidden="1"/>
    <cellStyle name="입력 4" xfId="36678" hidden="1"/>
    <cellStyle name="입력 4" xfId="36720" hidden="1"/>
    <cellStyle name="입력 4" xfId="35841" hidden="1"/>
    <cellStyle name="입력 4" xfId="35804" hidden="1"/>
    <cellStyle name="입력 4" xfId="36789" hidden="1"/>
    <cellStyle name="입력 4" xfId="36829" hidden="1"/>
    <cellStyle name="입력 4" xfId="36869" hidden="1"/>
    <cellStyle name="입력 4" xfId="36909" hidden="1"/>
    <cellStyle name="입력 4" xfId="36949" hidden="1"/>
    <cellStyle name="입력 4" xfId="36989" hidden="1"/>
    <cellStyle name="입력 4" xfId="37029" hidden="1"/>
    <cellStyle name="입력 4" xfId="37069" hidden="1"/>
    <cellStyle name="입력 4" xfId="37109" hidden="1"/>
    <cellStyle name="입력 4" xfId="37149" hidden="1"/>
    <cellStyle name="입력 4" xfId="37189" hidden="1"/>
    <cellStyle name="입력 4" xfId="34650" hidden="1"/>
    <cellStyle name="입력 4" xfId="37240" hidden="1"/>
    <cellStyle name="입력 4" xfId="37281" hidden="1"/>
    <cellStyle name="입력 4" xfId="37321" hidden="1"/>
    <cellStyle name="입력 4" xfId="37361" hidden="1"/>
    <cellStyle name="입력 4" xfId="37401" hidden="1"/>
    <cellStyle name="입력 4" xfId="37441" hidden="1"/>
    <cellStyle name="입력 4" xfId="37481" hidden="1"/>
    <cellStyle name="입력 4" xfId="37521" hidden="1"/>
    <cellStyle name="입력 4" xfId="37561" hidden="1"/>
    <cellStyle name="입력 4" xfId="37601" hidden="1"/>
    <cellStyle name="입력 4" xfId="37641" hidden="1"/>
    <cellStyle name="입력 4" xfId="37725" hidden="1"/>
    <cellStyle name="입력 4" xfId="37765" hidden="1"/>
    <cellStyle name="입력 4" xfId="37807" hidden="1"/>
    <cellStyle name="입력 4" xfId="37849" hidden="1"/>
    <cellStyle name="입력 4" xfId="37891" hidden="1"/>
    <cellStyle name="입력 4" xfId="37933" hidden="1"/>
    <cellStyle name="입력 4" xfId="37975" hidden="1"/>
    <cellStyle name="입력 4" xfId="38017" hidden="1"/>
    <cellStyle name="입력 4" xfId="38059" hidden="1"/>
    <cellStyle name="입력 4" xfId="38101" hidden="1"/>
    <cellStyle name="입력 4" xfId="38143" hidden="1"/>
    <cellStyle name="입력 4" xfId="38185" hidden="1"/>
    <cellStyle name="입력 4" xfId="37681" hidden="1"/>
    <cellStyle name="입력 4" xfId="38365" hidden="1"/>
    <cellStyle name="입력 4" xfId="38405" hidden="1"/>
    <cellStyle name="입력 4" xfId="38445" hidden="1"/>
    <cellStyle name="입력 4" xfId="38485" hidden="1"/>
    <cellStyle name="입력 4" xfId="38525" hidden="1"/>
    <cellStyle name="입력 4" xfId="38565" hidden="1"/>
    <cellStyle name="입력 4" xfId="38605" hidden="1"/>
    <cellStyle name="입력 4" xfId="38645" hidden="1"/>
    <cellStyle name="입력 4" xfId="38685" hidden="1"/>
    <cellStyle name="입력 4" xfId="38725" hidden="1"/>
    <cellStyle name="입력 4" xfId="38765" hidden="1"/>
    <cellStyle name="입력 4" xfId="38805" hidden="1"/>
    <cellStyle name="입력 4" xfId="38291" hidden="1"/>
    <cellStyle name="입력 4" xfId="38252" hidden="1"/>
    <cellStyle name="입력 4" xfId="38846" hidden="1"/>
    <cellStyle name="입력 4" xfId="38888" hidden="1"/>
    <cellStyle name="입력 4" xfId="38930" hidden="1"/>
    <cellStyle name="입력 4" xfId="38972" hidden="1"/>
    <cellStyle name="입력 4" xfId="39014" hidden="1"/>
    <cellStyle name="입력 4" xfId="39056" hidden="1"/>
    <cellStyle name="입력 4" xfId="39098" hidden="1"/>
    <cellStyle name="입력 4" xfId="39140" hidden="1"/>
    <cellStyle name="입력 4" xfId="39182" hidden="1"/>
    <cellStyle name="입력 4" xfId="39224" hidden="1"/>
    <cellStyle name="입력 4" xfId="38345" hidden="1"/>
    <cellStyle name="입력 4" xfId="38308" hidden="1"/>
    <cellStyle name="입력 4" xfId="39293" hidden="1"/>
    <cellStyle name="입력 4" xfId="39333" hidden="1"/>
    <cellStyle name="입력 4" xfId="39373" hidden="1"/>
    <cellStyle name="입력 4" xfId="39413" hidden="1"/>
    <cellStyle name="입력 4" xfId="39453" hidden="1"/>
    <cellStyle name="입력 4" xfId="39493" hidden="1"/>
    <cellStyle name="입력 4" xfId="39533" hidden="1"/>
    <cellStyle name="입력 4" xfId="39573" hidden="1"/>
    <cellStyle name="입력 4" xfId="39613" hidden="1"/>
    <cellStyle name="입력 4" xfId="39653" hidden="1"/>
    <cellStyle name="입력 4" xfId="39693" hidden="1"/>
    <cellStyle name="입력 4" xfId="34666" hidden="1"/>
    <cellStyle name="입력 4" xfId="39743" hidden="1"/>
    <cellStyle name="입력 4" xfId="39783" hidden="1"/>
    <cellStyle name="입력 4" xfId="39823" hidden="1"/>
    <cellStyle name="입력 4" xfId="39863" hidden="1"/>
    <cellStyle name="입력 4" xfId="39903" hidden="1"/>
    <cellStyle name="입력 4" xfId="39943" hidden="1"/>
    <cellStyle name="입력 4" xfId="39983" hidden="1"/>
    <cellStyle name="입력 4" xfId="40023" hidden="1"/>
    <cellStyle name="입력 4" xfId="40063" hidden="1"/>
    <cellStyle name="입력 4" xfId="40103" hidden="1"/>
    <cellStyle name="입력 4" xfId="40143" hidden="1"/>
    <cellStyle name="입력 4" xfId="40227" hidden="1"/>
    <cellStyle name="입력 4" xfId="40267" hidden="1"/>
    <cellStyle name="입력 4" xfId="40309" hidden="1"/>
    <cellStyle name="입력 4" xfId="40351" hidden="1"/>
    <cellStyle name="입력 4" xfId="40393" hidden="1"/>
    <cellStyle name="입력 4" xfId="40435" hidden="1"/>
    <cellStyle name="입력 4" xfId="40477" hidden="1"/>
    <cellStyle name="입력 4" xfId="40519" hidden="1"/>
    <cellStyle name="입력 4" xfId="40561" hidden="1"/>
    <cellStyle name="입력 4" xfId="40603" hidden="1"/>
    <cellStyle name="입력 4" xfId="40645" hidden="1"/>
    <cellStyle name="입력 4" xfId="40687" hidden="1"/>
    <cellStyle name="입력 4" xfId="40183" hidden="1"/>
    <cellStyle name="입력 4" xfId="40867" hidden="1"/>
    <cellStyle name="입력 4" xfId="40907" hidden="1"/>
    <cellStyle name="입력 4" xfId="40947" hidden="1"/>
    <cellStyle name="입력 4" xfId="40987" hidden="1"/>
    <cellStyle name="입력 4" xfId="41027" hidden="1"/>
    <cellStyle name="입력 4" xfId="41067" hidden="1"/>
    <cellStyle name="입력 4" xfId="41107" hidden="1"/>
    <cellStyle name="입력 4" xfId="41147" hidden="1"/>
    <cellStyle name="입력 4" xfId="41187" hidden="1"/>
    <cellStyle name="입력 4" xfId="41227" hidden="1"/>
    <cellStyle name="입력 4" xfId="41267" hidden="1"/>
    <cellStyle name="입력 4" xfId="41307" hidden="1"/>
    <cellStyle name="입력 4" xfId="40793" hidden="1"/>
    <cellStyle name="입력 4" xfId="40754" hidden="1"/>
    <cellStyle name="입력 4" xfId="41348" hidden="1"/>
    <cellStyle name="입력 4" xfId="41390" hidden="1"/>
    <cellStyle name="입력 4" xfId="41432" hidden="1"/>
    <cellStyle name="입력 4" xfId="41474" hidden="1"/>
    <cellStyle name="입력 4" xfId="41516" hidden="1"/>
    <cellStyle name="입력 4" xfId="41558" hidden="1"/>
    <cellStyle name="입력 4" xfId="41600" hidden="1"/>
    <cellStyle name="입력 4" xfId="41642" hidden="1"/>
    <cellStyle name="입력 4" xfId="41684" hidden="1"/>
    <cellStyle name="입력 4" xfId="41726" hidden="1"/>
    <cellStyle name="입력 4" xfId="40847" hidden="1"/>
    <cellStyle name="입력 4" xfId="40810" hidden="1"/>
    <cellStyle name="입력 4" xfId="41795" hidden="1"/>
    <cellStyle name="입력 4" xfId="41835" hidden="1"/>
    <cellStyle name="입력 4" xfId="41875" hidden="1"/>
    <cellStyle name="입력 4" xfId="41915" hidden="1"/>
    <cellStyle name="입력 4" xfId="41955" hidden="1"/>
    <cellStyle name="입력 4" xfId="41995" hidden="1"/>
    <cellStyle name="입력 4" xfId="42035" hidden="1"/>
    <cellStyle name="입력 4" xfId="42075" hidden="1"/>
    <cellStyle name="입력 4" xfId="42115" hidden="1"/>
    <cellStyle name="입력 4" xfId="42155" hidden="1"/>
    <cellStyle name="입력 4" xfId="42195" hidden="1"/>
    <cellStyle name="입력 4" xfId="42238" hidden="1"/>
    <cellStyle name="입력 4" xfId="42278" hidden="1"/>
    <cellStyle name="입력 4" xfId="42318" hidden="1"/>
    <cellStyle name="입력 4" xfId="42358" hidden="1"/>
    <cellStyle name="입력 4" xfId="42398" hidden="1"/>
    <cellStyle name="입력 4" xfId="42438" hidden="1"/>
    <cellStyle name="입력 4" xfId="42478" hidden="1"/>
    <cellStyle name="입력 4" xfId="42518" hidden="1"/>
    <cellStyle name="입력 4" xfId="42558" hidden="1"/>
    <cellStyle name="입력 4" xfId="42598" hidden="1"/>
    <cellStyle name="입력 4" xfId="42638" hidden="1"/>
    <cellStyle name="입력 4" xfId="42678" hidden="1"/>
    <cellStyle name="입력 4" xfId="42762" hidden="1"/>
    <cellStyle name="입력 4" xfId="42802" hidden="1"/>
    <cellStyle name="입력 4" xfId="42844" hidden="1"/>
    <cellStyle name="입력 4" xfId="42886" hidden="1"/>
    <cellStyle name="입력 4" xfId="42928" hidden="1"/>
    <cellStyle name="입력 4" xfId="42970" hidden="1"/>
    <cellStyle name="입력 4" xfId="43012" hidden="1"/>
    <cellStyle name="입력 4" xfId="43054" hidden="1"/>
    <cellStyle name="입력 4" xfId="43096" hidden="1"/>
    <cellStyle name="입력 4" xfId="43138" hidden="1"/>
    <cellStyle name="입력 4" xfId="43180" hidden="1"/>
    <cellStyle name="입력 4" xfId="43222" hidden="1"/>
    <cellStyle name="입력 4" xfId="42718" hidden="1"/>
    <cellStyle name="입력 4" xfId="43402" hidden="1"/>
    <cellStyle name="입력 4" xfId="43442" hidden="1"/>
    <cellStyle name="입력 4" xfId="43482" hidden="1"/>
    <cellStyle name="입력 4" xfId="43522" hidden="1"/>
    <cellStyle name="입력 4" xfId="43562" hidden="1"/>
    <cellStyle name="입력 4" xfId="43602" hidden="1"/>
    <cellStyle name="입력 4" xfId="43642" hidden="1"/>
    <cellStyle name="입력 4" xfId="43682" hidden="1"/>
    <cellStyle name="입력 4" xfId="43722" hidden="1"/>
    <cellStyle name="입력 4" xfId="43762" hidden="1"/>
    <cellStyle name="입력 4" xfId="43802" hidden="1"/>
    <cellStyle name="입력 4" xfId="43842" hidden="1"/>
    <cellStyle name="입력 4" xfId="43328" hidden="1"/>
    <cellStyle name="입력 4" xfId="43289" hidden="1"/>
    <cellStyle name="입력 4" xfId="43883" hidden="1"/>
    <cellStyle name="입력 4" xfId="43925" hidden="1"/>
    <cellStyle name="입력 4" xfId="43967" hidden="1"/>
    <cellStyle name="입력 4" xfId="44009" hidden="1"/>
    <cellStyle name="입력 4" xfId="44051" hidden="1"/>
    <cellStyle name="입력 4" xfId="44093" hidden="1"/>
    <cellStyle name="입력 4" xfId="44135" hidden="1"/>
    <cellStyle name="입력 4" xfId="44177" hidden="1"/>
    <cellStyle name="입력 4" xfId="44219" hidden="1"/>
    <cellStyle name="입력 4" xfId="44261" hidden="1"/>
    <cellStyle name="입력 4" xfId="43382" hidden="1"/>
    <cellStyle name="입력 4" xfId="43345" hidden="1"/>
    <cellStyle name="입력 4" xfId="44330" hidden="1"/>
    <cellStyle name="입력 4" xfId="44370" hidden="1"/>
    <cellStyle name="입력 4" xfId="44410" hidden="1"/>
    <cellStyle name="입력 4" xfId="44450" hidden="1"/>
    <cellStyle name="입력 4" xfId="44490" hidden="1"/>
    <cellStyle name="입력 4" xfId="44530" hidden="1"/>
    <cellStyle name="입력 4" xfId="44570" hidden="1"/>
    <cellStyle name="입력 4" xfId="44610" hidden="1"/>
    <cellStyle name="입력 4" xfId="44650" hidden="1"/>
    <cellStyle name="입력 4" xfId="44690" hidden="1"/>
    <cellStyle name="입력 4" xfId="44730" hidden="1"/>
    <cellStyle name="입력 4" xfId="44826" hidden="1"/>
    <cellStyle name="입력 4" xfId="44866" hidden="1"/>
    <cellStyle name="입력 4" xfId="44907" hidden="1"/>
    <cellStyle name="입력 4" xfId="44949" hidden="1"/>
    <cellStyle name="입력 4" xfId="44989" hidden="1"/>
    <cellStyle name="입력 4" xfId="45029" hidden="1"/>
    <cellStyle name="입력 4" xfId="45069" hidden="1"/>
    <cellStyle name="입력 4" xfId="45109" hidden="1"/>
    <cellStyle name="입력 4" xfId="45149" hidden="1"/>
    <cellStyle name="입력 4" xfId="45189" hidden="1"/>
    <cellStyle name="입력 4" xfId="45229" hidden="1"/>
    <cellStyle name="입력 4" xfId="45269" hidden="1"/>
    <cellStyle name="입력 4" xfId="45353" hidden="1"/>
    <cellStyle name="입력 4" xfId="45393" hidden="1"/>
    <cellStyle name="입력 4" xfId="45435" hidden="1"/>
    <cellStyle name="입력 4" xfId="45477" hidden="1"/>
    <cellStyle name="입력 4" xfId="45519" hidden="1"/>
    <cellStyle name="입력 4" xfId="45561" hidden="1"/>
    <cellStyle name="입력 4" xfId="45603" hidden="1"/>
    <cellStyle name="입력 4" xfId="45645" hidden="1"/>
    <cellStyle name="입력 4" xfId="45687" hidden="1"/>
    <cellStyle name="입력 4" xfId="45729" hidden="1"/>
    <cellStyle name="입력 4" xfId="45771" hidden="1"/>
    <cellStyle name="입력 4" xfId="45813" hidden="1"/>
    <cellStyle name="입력 4" xfId="45309" hidden="1"/>
    <cellStyle name="입력 4" xfId="45993" hidden="1"/>
    <cellStyle name="입력 4" xfId="46033" hidden="1"/>
    <cellStyle name="입력 4" xfId="46073" hidden="1"/>
    <cellStyle name="입력 4" xfId="46113" hidden="1"/>
    <cellStyle name="입력 4" xfId="46153" hidden="1"/>
    <cellStyle name="입력 4" xfId="46193" hidden="1"/>
    <cellStyle name="입력 4" xfId="46233" hidden="1"/>
    <cellStyle name="입력 4" xfId="46273" hidden="1"/>
    <cellStyle name="입력 4" xfId="46313" hidden="1"/>
    <cellStyle name="입력 4" xfId="46353" hidden="1"/>
    <cellStyle name="입력 4" xfId="46393" hidden="1"/>
    <cellStyle name="입력 4" xfId="46433" hidden="1"/>
    <cellStyle name="입력 4" xfId="45919" hidden="1"/>
    <cellStyle name="입력 4" xfId="45880" hidden="1"/>
    <cellStyle name="입력 4" xfId="46474" hidden="1"/>
    <cellStyle name="입력 4" xfId="46516" hidden="1"/>
    <cellStyle name="입력 4" xfId="46558" hidden="1"/>
    <cellStyle name="입력 4" xfId="46600" hidden="1"/>
    <cellStyle name="입력 4" xfId="46642" hidden="1"/>
    <cellStyle name="입력 4" xfId="46684" hidden="1"/>
    <cellStyle name="입력 4" xfId="46726" hidden="1"/>
    <cellStyle name="입력 4" xfId="46768" hidden="1"/>
    <cellStyle name="입력 4" xfId="46810" hidden="1"/>
    <cellStyle name="입력 4" xfId="46852" hidden="1"/>
    <cellStyle name="입력 4" xfId="45973" hidden="1"/>
    <cellStyle name="입력 4" xfId="45936" hidden="1"/>
    <cellStyle name="입력 4" xfId="46921" hidden="1"/>
    <cellStyle name="입력 4" xfId="46961" hidden="1"/>
    <cellStyle name="입력 4" xfId="47001" hidden="1"/>
    <cellStyle name="입력 4" xfId="47041" hidden="1"/>
    <cellStyle name="입력 4" xfId="47081" hidden="1"/>
    <cellStyle name="입력 4" xfId="47121" hidden="1"/>
    <cellStyle name="입력 4" xfId="47161" hidden="1"/>
    <cellStyle name="입력 4" xfId="47201" hidden="1"/>
    <cellStyle name="입력 4" xfId="47241" hidden="1"/>
    <cellStyle name="입력 4" xfId="47281" hidden="1"/>
    <cellStyle name="입력 4" xfId="47321" hidden="1"/>
    <cellStyle name="입력 4" xfId="44780" hidden="1"/>
    <cellStyle name="입력 4" xfId="47372" hidden="1"/>
    <cellStyle name="입력 4" xfId="47412" hidden="1"/>
    <cellStyle name="입력 4" xfId="47452" hidden="1"/>
    <cellStyle name="입력 4" xfId="47492" hidden="1"/>
    <cellStyle name="입력 4" xfId="47532" hidden="1"/>
    <cellStyle name="입력 4" xfId="47572" hidden="1"/>
    <cellStyle name="입력 4" xfId="47612" hidden="1"/>
    <cellStyle name="입력 4" xfId="47652" hidden="1"/>
    <cellStyle name="입력 4" xfId="47692" hidden="1"/>
    <cellStyle name="입력 4" xfId="47732" hidden="1"/>
    <cellStyle name="입력 4" xfId="47772" hidden="1"/>
    <cellStyle name="입력 4" xfId="47856" hidden="1"/>
    <cellStyle name="입력 4" xfId="47896" hidden="1"/>
    <cellStyle name="입력 4" xfId="47938" hidden="1"/>
    <cellStyle name="입력 4" xfId="47980" hidden="1"/>
    <cellStyle name="입력 4" xfId="48022" hidden="1"/>
    <cellStyle name="입력 4" xfId="48064" hidden="1"/>
    <cellStyle name="입력 4" xfId="48106" hidden="1"/>
    <cellStyle name="입력 4" xfId="48148" hidden="1"/>
    <cellStyle name="입력 4" xfId="48190" hidden="1"/>
    <cellStyle name="입력 4" xfId="48232" hidden="1"/>
    <cellStyle name="입력 4" xfId="48274" hidden="1"/>
    <cellStyle name="입력 4" xfId="48316" hidden="1"/>
    <cellStyle name="입력 4" xfId="47812" hidden="1"/>
    <cellStyle name="입력 4" xfId="48496" hidden="1"/>
    <cellStyle name="입력 4" xfId="48536" hidden="1"/>
    <cellStyle name="입력 4" xfId="48576" hidden="1"/>
    <cellStyle name="입력 4" xfId="48616" hidden="1"/>
    <cellStyle name="입력 4" xfId="48656" hidden="1"/>
    <cellStyle name="입력 4" xfId="48696" hidden="1"/>
    <cellStyle name="입력 4" xfId="48736" hidden="1"/>
    <cellStyle name="입력 4" xfId="48776" hidden="1"/>
    <cellStyle name="입력 4" xfId="48816" hidden="1"/>
    <cellStyle name="입력 4" xfId="48856" hidden="1"/>
    <cellStyle name="입력 4" xfId="48896" hidden="1"/>
    <cellStyle name="입력 4" xfId="48936" hidden="1"/>
    <cellStyle name="입력 4" xfId="48422" hidden="1"/>
    <cellStyle name="입력 4" xfId="48383" hidden="1"/>
    <cellStyle name="입력 4" xfId="48977" hidden="1"/>
    <cellStyle name="입력 4" xfId="49019" hidden="1"/>
    <cellStyle name="입력 4" xfId="49061" hidden="1"/>
    <cellStyle name="입력 4" xfId="49103" hidden="1"/>
    <cellStyle name="입력 4" xfId="49145" hidden="1"/>
    <cellStyle name="입력 4" xfId="49187" hidden="1"/>
    <cellStyle name="입력 4" xfId="49229" hidden="1"/>
    <cellStyle name="입력 4" xfId="49271" hidden="1"/>
    <cellStyle name="입력 4" xfId="49313" hidden="1"/>
    <cellStyle name="입력 4" xfId="49355" hidden="1"/>
    <cellStyle name="입력 4" xfId="48476" hidden="1"/>
    <cellStyle name="입력 4" xfId="48439" hidden="1"/>
    <cellStyle name="입력 4" xfId="49424" hidden="1"/>
    <cellStyle name="입력 4" xfId="49464" hidden="1"/>
    <cellStyle name="입력 4" xfId="49504" hidden="1"/>
    <cellStyle name="입력 4" xfId="49544" hidden="1"/>
    <cellStyle name="입력 4" xfId="49584" hidden="1"/>
    <cellStyle name="입력 4" xfId="49624" hidden="1"/>
    <cellStyle name="입력 4" xfId="49664" hidden="1"/>
    <cellStyle name="입력 4" xfId="49704" hidden="1"/>
    <cellStyle name="입력 4" xfId="49744" hidden="1"/>
    <cellStyle name="입력 4" xfId="49784" hidden="1"/>
    <cellStyle name="입력 4" xfId="49824" hidden="1"/>
    <cellStyle name="입력 4" xfId="44795" hidden="1"/>
    <cellStyle name="입력 4" xfId="49874" hidden="1"/>
    <cellStyle name="입력 4" xfId="49914" hidden="1"/>
    <cellStyle name="입력 4" xfId="49954" hidden="1"/>
    <cellStyle name="입력 4" xfId="49994" hidden="1"/>
    <cellStyle name="입력 4" xfId="50034" hidden="1"/>
    <cellStyle name="입력 4" xfId="50074" hidden="1"/>
    <cellStyle name="입력 4" xfId="50114" hidden="1"/>
    <cellStyle name="입력 4" xfId="50154" hidden="1"/>
    <cellStyle name="입력 4" xfId="50194" hidden="1"/>
    <cellStyle name="입력 4" xfId="50234" hidden="1"/>
    <cellStyle name="입력 4" xfId="50274" hidden="1"/>
    <cellStyle name="입력 4" xfId="50358" hidden="1"/>
    <cellStyle name="입력 4" xfId="50398" hidden="1"/>
    <cellStyle name="입력 4" xfId="50440" hidden="1"/>
    <cellStyle name="입력 4" xfId="50482" hidden="1"/>
    <cellStyle name="입력 4" xfId="50524" hidden="1"/>
    <cellStyle name="입력 4" xfId="50566" hidden="1"/>
    <cellStyle name="입력 4" xfId="50608" hidden="1"/>
    <cellStyle name="입력 4" xfId="50650" hidden="1"/>
    <cellStyle name="입력 4" xfId="50692" hidden="1"/>
    <cellStyle name="입력 4" xfId="50734" hidden="1"/>
    <cellStyle name="입력 4" xfId="50776" hidden="1"/>
    <cellStyle name="입력 4" xfId="50818" hidden="1"/>
    <cellStyle name="입력 4" xfId="50314" hidden="1"/>
    <cellStyle name="입력 4" xfId="50998" hidden="1"/>
    <cellStyle name="입력 4" xfId="51038" hidden="1"/>
    <cellStyle name="입력 4" xfId="51078" hidden="1"/>
    <cellStyle name="입력 4" xfId="51118" hidden="1"/>
    <cellStyle name="입력 4" xfId="51158" hidden="1"/>
    <cellStyle name="입력 4" xfId="51198" hidden="1"/>
    <cellStyle name="입력 4" xfId="51238" hidden="1"/>
    <cellStyle name="입력 4" xfId="51278" hidden="1"/>
    <cellStyle name="입력 4" xfId="51318" hidden="1"/>
    <cellStyle name="입력 4" xfId="51358" hidden="1"/>
    <cellStyle name="입력 4" xfId="51398" hidden="1"/>
    <cellStyle name="입력 4" xfId="51438" hidden="1"/>
    <cellStyle name="입력 4" xfId="50924" hidden="1"/>
    <cellStyle name="입력 4" xfId="50885" hidden="1"/>
    <cellStyle name="입력 4" xfId="51479" hidden="1"/>
    <cellStyle name="입력 4" xfId="51521" hidden="1"/>
    <cellStyle name="입력 4" xfId="51563" hidden="1"/>
    <cellStyle name="입력 4" xfId="51605" hidden="1"/>
    <cellStyle name="입력 4" xfId="51647" hidden="1"/>
    <cellStyle name="입력 4" xfId="51689" hidden="1"/>
    <cellStyle name="입력 4" xfId="51731" hidden="1"/>
    <cellStyle name="입력 4" xfId="51773" hidden="1"/>
    <cellStyle name="입력 4" xfId="51815" hidden="1"/>
    <cellStyle name="입력 4" xfId="51857" hidden="1"/>
    <cellStyle name="입력 4" xfId="50978" hidden="1"/>
    <cellStyle name="입력 4" xfId="50941" hidden="1"/>
    <cellStyle name="입력 4" xfId="51926" hidden="1"/>
    <cellStyle name="입력 4" xfId="51966" hidden="1"/>
    <cellStyle name="입력 4" xfId="52006" hidden="1"/>
    <cellStyle name="입력 4" xfId="52046" hidden="1"/>
    <cellStyle name="입력 4" xfId="52086" hidden="1"/>
    <cellStyle name="입력 4" xfId="52126" hidden="1"/>
    <cellStyle name="입력 4" xfId="52166" hidden="1"/>
    <cellStyle name="입력 4" xfId="52206" hidden="1"/>
    <cellStyle name="입력 4" xfId="52246" hidden="1"/>
    <cellStyle name="입력 4" xfId="52286" hidden="1"/>
    <cellStyle name="입력 4" xfId="52326" hidden="1"/>
    <cellStyle name="입력 4 2" xfId="7361"/>
    <cellStyle name="입력 4 3" xfId="7362"/>
    <cellStyle name="입력 4 4" xfId="7363"/>
    <cellStyle name="입력 4 5" xfId="7364"/>
    <cellStyle name="입력 40" xfId="7365"/>
    <cellStyle name="입력 41" xfId="7366"/>
    <cellStyle name="입력 42" xfId="7367"/>
    <cellStyle name="입력 43" xfId="7368"/>
    <cellStyle name="입력 44" xfId="7369"/>
    <cellStyle name="입력 45" xfId="7370"/>
    <cellStyle name="입력 46" xfId="7371"/>
    <cellStyle name="입력 47" xfId="7372"/>
    <cellStyle name="입력 48" xfId="7373"/>
    <cellStyle name="입력 49" xfId="7374"/>
    <cellStyle name="입력 5" xfId="7375"/>
    <cellStyle name="입력 50" xfId="7376"/>
    <cellStyle name="입력 51" xfId="7377"/>
    <cellStyle name="입력 52" xfId="7378"/>
    <cellStyle name="입력 6" xfId="7379"/>
    <cellStyle name="입력 7" xfId="7380"/>
    <cellStyle name="입력 8" xfId="7381"/>
    <cellStyle name="입력 9" xfId="7382"/>
    <cellStyle name="제목 1 1" xfId="7383"/>
    <cellStyle name="제목 1 10" xfId="7384"/>
    <cellStyle name="제목 1 11" xfId="7385"/>
    <cellStyle name="제목 1 12" xfId="7386"/>
    <cellStyle name="제목 1 13" xfId="7387"/>
    <cellStyle name="제목 1 14" xfId="7388"/>
    <cellStyle name="제목 1 15" xfId="7389"/>
    <cellStyle name="제목 1 16" xfId="7390"/>
    <cellStyle name="제목 1 17" xfId="7391"/>
    <cellStyle name="제목 1 18" xfId="7392"/>
    <cellStyle name="제목 1 19" xfId="7393"/>
    <cellStyle name="제목 1 2" xfId="388"/>
    <cellStyle name="제목 1 2 10" xfId="7394"/>
    <cellStyle name="제목 1 2 100" xfId="7395"/>
    <cellStyle name="제목 1 2 101" xfId="7396"/>
    <cellStyle name="제목 1 2 102" xfId="7397"/>
    <cellStyle name="제목 1 2 103" xfId="7398"/>
    <cellStyle name="제목 1 2 104" xfId="7399"/>
    <cellStyle name="제목 1 2 105" xfId="7400"/>
    <cellStyle name="제목 1 2 106" xfId="7401"/>
    <cellStyle name="제목 1 2 107" xfId="7402"/>
    <cellStyle name="제목 1 2 108" xfId="7403"/>
    <cellStyle name="제목 1 2 109" xfId="7404"/>
    <cellStyle name="제목 1 2 11" xfId="7405"/>
    <cellStyle name="제목 1 2 110" xfId="7406"/>
    <cellStyle name="제목 1 2 111" xfId="7407"/>
    <cellStyle name="제목 1 2 112" xfId="7408"/>
    <cellStyle name="제목 1 2 12" xfId="7409"/>
    <cellStyle name="제목 1 2 13" xfId="7410"/>
    <cellStyle name="제목 1 2 14" xfId="7411"/>
    <cellStyle name="제목 1 2 15" xfId="7412"/>
    <cellStyle name="제목 1 2 16" xfId="7413"/>
    <cellStyle name="제목 1 2 17" xfId="7414"/>
    <cellStyle name="제목 1 2 18" xfId="7415"/>
    <cellStyle name="제목 1 2 19" xfId="7416"/>
    <cellStyle name="제목 1 2 2" xfId="7417"/>
    <cellStyle name="제목 1 2 2 2" xfId="7418"/>
    <cellStyle name="제목 1 2 2 3" xfId="7419"/>
    <cellStyle name="제목 1 2 2 4" xfId="7420"/>
    <cellStyle name="제목 1 2 2 5" xfId="7421"/>
    <cellStyle name="제목 1 2 20" xfId="7422"/>
    <cellStyle name="제목 1 2 21" xfId="7423"/>
    <cellStyle name="제목 1 2 22" xfId="7424"/>
    <cellStyle name="제목 1 2 23" xfId="7425"/>
    <cellStyle name="제목 1 2 24" xfId="7426"/>
    <cellStyle name="제목 1 2 25" xfId="7427"/>
    <cellStyle name="제목 1 2 26" xfId="7428"/>
    <cellStyle name="제목 1 2 27" xfId="7429"/>
    <cellStyle name="제목 1 2 28" xfId="7430"/>
    <cellStyle name="제목 1 2 29" xfId="7431"/>
    <cellStyle name="제목 1 2 3" xfId="7432"/>
    <cellStyle name="제목 1 2 30" xfId="7433"/>
    <cellStyle name="제목 1 2 31" xfId="7434"/>
    <cellStyle name="제목 1 2 32" xfId="7435"/>
    <cellStyle name="제목 1 2 33" xfId="7436"/>
    <cellStyle name="제목 1 2 34" xfId="7437"/>
    <cellStyle name="제목 1 2 35" xfId="7438"/>
    <cellStyle name="제목 1 2 36" xfId="7439"/>
    <cellStyle name="제목 1 2 37" xfId="7440"/>
    <cellStyle name="제목 1 2 38" xfId="7441"/>
    <cellStyle name="제목 1 2 39" xfId="7442"/>
    <cellStyle name="제목 1 2 4" xfId="7443"/>
    <cellStyle name="제목 1 2 40" xfId="7444"/>
    <cellStyle name="제목 1 2 41" xfId="7445"/>
    <cellStyle name="제목 1 2 42" xfId="7446"/>
    <cellStyle name="제목 1 2 43" xfId="7447"/>
    <cellStyle name="제목 1 2 44" xfId="7448"/>
    <cellStyle name="제목 1 2 45" xfId="7449"/>
    <cellStyle name="제목 1 2 46" xfId="7450"/>
    <cellStyle name="제목 1 2 47" xfId="7451"/>
    <cellStyle name="제목 1 2 48" xfId="7452"/>
    <cellStyle name="제목 1 2 49" xfId="7453"/>
    <cellStyle name="제목 1 2 5" xfId="7454"/>
    <cellStyle name="제목 1 2 50" xfId="7455"/>
    <cellStyle name="제목 1 2 51" xfId="7456"/>
    <cellStyle name="제목 1 2 52" xfId="7457"/>
    <cellStyle name="제목 1 2 53" xfId="7458"/>
    <cellStyle name="제목 1 2 54" xfId="7459"/>
    <cellStyle name="제목 1 2 55" xfId="7460"/>
    <cellStyle name="제목 1 2 56" xfId="7461"/>
    <cellStyle name="제목 1 2 57" xfId="7462"/>
    <cellStyle name="제목 1 2 58" xfId="7463"/>
    <cellStyle name="제목 1 2 59" xfId="7464"/>
    <cellStyle name="제목 1 2 6" xfId="7465"/>
    <cellStyle name="제목 1 2 60" xfId="7466"/>
    <cellStyle name="제목 1 2 61" xfId="7467"/>
    <cellStyle name="제목 1 2 62" xfId="7468"/>
    <cellStyle name="제목 1 2 63" xfId="7469"/>
    <cellStyle name="제목 1 2 64" xfId="7470"/>
    <cellStyle name="제목 1 2 65" xfId="7471"/>
    <cellStyle name="제목 1 2 66" xfId="7472"/>
    <cellStyle name="제목 1 2 67" xfId="7473"/>
    <cellStyle name="제목 1 2 68" xfId="7474"/>
    <cellStyle name="제목 1 2 69" xfId="7475"/>
    <cellStyle name="제목 1 2 7" xfId="7476"/>
    <cellStyle name="제목 1 2 70" xfId="7477"/>
    <cellStyle name="제목 1 2 71" xfId="7478"/>
    <cellStyle name="제목 1 2 72" xfId="7479"/>
    <cellStyle name="제목 1 2 73" xfId="7480"/>
    <cellStyle name="제목 1 2 74" xfId="7481"/>
    <cellStyle name="제목 1 2 75" xfId="7482"/>
    <cellStyle name="제목 1 2 76" xfId="7483"/>
    <cellStyle name="제목 1 2 77" xfId="7484"/>
    <cellStyle name="제목 1 2 78" xfId="7485"/>
    <cellStyle name="제목 1 2 79" xfId="7486"/>
    <cellStyle name="제목 1 2 8" xfId="7487"/>
    <cellStyle name="제목 1 2 80" xfId="7488"/>
    <cellStyle name="제목 1 2 81" xfId="7489"/>
    <cellStyle name="제목 1 2 82" xfId="7490"/>
    <cellStyle name="제목 1 2 83" xfId="7491"/>
    <cellStyle name="제목 1 2 84" xfId="7492"/>
    <cellStyle name="제목 1 2 85" xfId="7493"/>
    <cellStyle name="제목 1 2 86" xfId="7494"/>
    <cellStyle name="제목 1 2 87" xfId="7495"/>
    <cellStyle name="제목 1 2 88" xfId="7496"/>
    <cellStyle name="제목 1 2 89" xfId="7497"/>
    <cellStyle name="제목 1 2 9" xfId="7498"/>
    <cellStyle name="제목 1 2 90" xfId="7499"/>
    <cellStyle name="제목 1 2 91" xfId="7500"/>
    <cellStyle name="제목 1 2 92" xfId="7501"/>
    <cellStyle name="제목 1 2 93" xfId="7502"/>
    <cellStyle name="제목 1 2 94" xfId="7503"/>
    <cellStyle name="제목 1 2 95" xfId="7504"/>
    <cellStyle name="제목 1 2 96" xfId="7505"/>
    <cellStyle name="제목 1 2 97" xfId="7506"/>
    <cellStyle name="제목 1 2 98" xfId="7507"/>
    <cellStyle name="제목 1 2 99" xfId="7508"/>
    <cellStyle name="제목 1 20" xfId="7509"/>
    <cellStyle name="제목 1 21" xfId="7510"/>
    <cellStyle name="제목 1 22" xfId="7511"/>
    <cellStyle name="제목 1 23" xfId="7512"/>
    <cellStyle name="제목 1 24" xfId="7513"/>
    <cellStyle name="제목 1 25" xfId="7514"/>
    <cellStyle name="제목 1 26" xfId="7515"/>
    <cellStyle name="제목 1 27" xfId="7516"/>
    <cellStyle name="제목 1 28" xfId="7517"/>
    <cellStyle name="제목 1 29" xfId="7518"/>
    <cellStyle name="제목 1 3" xfId="389"/>
    <cellStyle name="제목 1 30" xfId="7519"/>
    <cellStyle name="제목 1 31" xfId="7520"/>
    <cellStyle name="제목 1 32" xfId="7521"/>
    <cellStyle name="제목 1 33" xfId="7522"/>
    <cellStyle name="제목 1 34" xfId="7523"/>
    <cellStyle name="제목 1 35" xfId="7524"/>
    <cellStyle name="제목 1 36" xfId="7525"/>
    <cellStyle name="제목 1 37" xfId="7526"/>
    <cellStyle name="제목 1 38" xfId="7527"/>
    <cellStyle name="제목 1 39" xfId="7528"/>
    <cellStyle name="제목 1 4" xfId="11709" hidden="1"/>
    <cellStyle name="제목 1 4" xfId="11755" hidden="1"/>
    <cellStyle name="제목 1 4" xfId="11801" hidden="1"/>
    <cellStyle name="제목 1 4" xfId="11847" hidden="1"/>
    <cellStyle name="제목 1 4" xfId="11893" hidden="1"/>
    <cellStyle name="제목 1 4" xfId="11939" hidden="1"/>
    <cellStyle name="제목 1 4" xfId="11985" hidden="1"/>
    <cellStyle name="제목 1 4" xfId="12031" hidden="1"/>
    <cellStyle name="제목 1 4" xfId="12077" hidden="1"/>
    <cellStyle name="제목 1 4" xfId="12123" hidden="1"/>
    <cellStyle name="제목 1 4" xfId="12169" hidden="1"/>
    <cellStyle name="제목 1 4" xfId="12215" hidden="1"/>
    <cellStyle name="제목 1 4" xfId="12305" hidden="1"/>
    <cellStyle name="제목 1 4" xfId="12345" hidden="1"/>
    <cellStyle name="제목 1 4" xfId="12387" hidden="1"/>
    <cellStyle name="제목 1 4" xfId="12429" hidden="1"/>
    <cellStyle name="제목 1 4" xfId="12471" hidden="1"/>
    <cellStyle name="제목 1 4" xfId="12513" hidden="1"/>
    <cellStyle name="제목 1 4" xfId="12555" hidden="1"/>
    <cellStyle name="제목 1 4" xfId="12597" hidden="1"/>
    <cellStyle name="제목 1 4" xfId="12639" hidden="1"/>
    <cellStyle name="제목 1 4" xfId="12681" hidden="1"/>
    <cellStyle name="제목 1 4" xfId="12723" hidden="1"/>
    <cellStyle name="제목 1 4" xfId="12765" hidden="1"/>
    <cellStyle name="제목 1 4" xfId="12259" hidden="1"/>
    <cellStyle name="제목 1 4" xfId="12948" hidden="1"/>
    <cellStyle name="제목 1 4" xfId="12988" hidden="1"/>
    <cellStyle name="제목 1 4" xfId="13028" hidden="1"/>
    <cellStyle name="제목 1 4" xfId="13068" hidden="1"/>
    <cellStyle name="제목 1 4" xfId="13108" hidden="1"/>
    <cellStyle name="제목 1 4" xfId="13148" hidden="1"/>
    <cellStyle name="제목 1 4" xfId="13188" hidden="1"/>
    <cellStyle name="제목 1 4" xfId="13228" hidden="1"/>
    <cellStyle name="제목 1 4" xfId="13268" hidden="1"/>
    <cellStyle name="제목 1 4" xfId="13308" hidden="1"/>
    <cellStyle name="제목 1 4" xfId="13348" hidden="1"/>
    <cellStyle name="제목 1 4" xfId="13388" hidden="1"/>
    <cellStyle name="제목 1 4" xfId="12886" hidden="1"/>
    <cellStyle name="제목 1 4" xfId="12847" hidden="1"/>
    <cellStyle name="제목 1 4" xfId="13429" hidden="1"/>
    <cellStyle name="제목 1 4" xfId="13471" hidden="1"/>
    <cellStyle name="제목 1 4" xfId="13513" hidden="1"/>
    <cellStyle name="제목 1 4" xfId="13555" hidden="1"/>
    <cellStyle name="제목 1 4" xfId="13597" hidden="1"/>
    <cellStyle name="제목 1 4" xfId="13639" hidden="1"/>
    <cellStyle name="제목 1 4" xfId="13681" hidden="1"/>
    <cellStyle name="제목 1 4" xfId="13723" hidden="1"/>
    <cellStyle name="제목 1 4" xfId="13765" hidden="1"/>
    <cellStyle name="제목 1 4" xfId="13807" hidden="1"/>
    <cellStyle name="제목 1 4" xfId="12941" hidden="1"/>
    <cellStyle name="제목 1 4" xfId="12892" hidden="1"/>
    <cellStyle name="제목 1 4" xfId="13876" hidden="1"/>
    <cellStyle name="제목 1 4" xfId="13916" hidden="1"/>
    <cellStyle name="제목 1 4" xfId="13956" hidden="1"/>
    <cellStyle name="제목 1 4" xfId="13996" hidden="1"/>
    <cellStyle name="제목 1 4" xfId="14036" hidden="1"/>
    <cellStyle name="제목 1 4" xfId="14076" hidden="1"/>
    <cellStyle name="제목 1 4" xfId="14116" hidden="1"/>
    <cellStyle name="제목 1 4" xfId="14156" hidden="1"/>
    <cellStyle name="제목 1 4" xfId="14196" hidden="1"/>
    <cellStyle name="제목 1 4" xfId="14236" hidden="1"/>
    <cellStyle name="제목 1 4" xfId="14276" hidden="1"/>
    <cellStyle name="제목 1 4" xfId="14382" hidden="1"/>
    <cellStyle name="제목 1 4" xfId="14422" hidden="1"/>
    <cellStyle name="제목 1 4" xfId="14462" hidden="1"/>
    <cellStyle name="제목 1 4" xfId="14502" hidden="1"/>
    <cellStyle name="제목 1 4" xfId="14542" hidden="1"/>
    <cellStyle name="제목 1 4" xfId="14582" hidden="1"/>
    <cellStyle name="제목 1 4" xfId="14622" hidden="1"/>
    <cellStyle name="제목 1 4" xfId="14662" hidden="1"/>
    <cellStyle name="제목 1 4" xfId="14702" hidden="1"/>
    <cellStyle name="제목 1 4" xfId="14742" hidden="1"/>
    <cellStyle name="제목 1 4" xfId="14782" hidden="1"/>
    <cellStyle name="제목 1 4" xfId="14822" hidden="1"/>
    <cellStyle name="제목 1 4" xfId="14906" hidden="1"/>
    <cellStyle name="제목 1 4" xfId="14946" hidden="1"/>
    <cellStyle name="제목 1 4" xfId="14988" hidden="1"/>
    <cellStyle name="제목 1 4" xfId="15030" hidden="1"/>
    <cellStyle name="제목 1 4" xfId="15072" hidden="1"/>
    <cellStyle name="제목 1 4" xfId="15114" hidden="1"/>
    <cellStyle name="제목 1 4" xfId="15156" hidden="1"/>
    <cellStyle name="제목 1 4" xfId="15198" hidden="1"/>
    <cellStyle name="제목 1 4" xfId="15240" hidden="1"/>
    <cellStyle name="제목 1 4" xfId="15282" hidden="1"/>
    <cellStyle name="제목 1 4" xfId="15324" hidden="1"/>
    <cellStyle name="제목 1 4" xfId="15366" hidden="1"/>
    <cellStyle name="제목 1 4" xfId="14862" hidden="1"/>
    <cellStyle name="제목 1 4" xfId="15546" hidden="1"/>
    <cellStyle name="제목 1 4" xfId="15586" hidden="1"/>
    <cellStyle name="제목 1 4" xfId="15626" hidden="1"/>
    <cellStyle name="제목 1 4" xfId="15666" hidden="1"/>
    <cellStyle name="제목 1 4" xfId="15706" hidden="1"/>
    <cellStyle name="제목 1 4" xfId="15746" hidden="1"/>
    <cellStyle name="제목 1 4" xfId="15786" hidden="1"/>
    <cellStyle name="제목 1 4" xfId="15826" hidden="1"/>
    <cellStyle name="제목 1 4" xfId="15866" hidden="1"/>
    <cellStyle name="제목 1 4" xfId="15906" hidden="1"/>
    <cellStyle name="제목 1 4" xfId="15946" hidden="1"/>
    <cellStyle name="제목 1 4" xfId="15986" hidden="1"/>
    <cellStyle name="제목 1 4" xfId="15486" hidden="1"/>
    <cellStyle name="제목 1 4" xfId="15447" hidden="1"/>
    <cellStyle name="제목 1 4" xfId="16027" hidden="1"/>
    <cellStyle name="제목 1 4" xfId="16069" hidden="1"/>
    <cellStyle name="제목 1 4" xfId="16111" hidden="1"/>
    <cellStyle name="제목 1 4" xfId="16153" hidden="1"/>
    <cellStyle name="제목 1 4" xfId="16195" hidden="1"/>
    <cellStyle name="제목 1 4" xfId="16237" hidden="1"/>
    <cellStyle name="제목 1 4" xfId="16279" hidden="1"/>
    <cellStyle name="제목 1 4" xfId="16321" hidden="1"/>
    <cellStyle name="제목 1 4" xfId="16363" hidden="1"/>
    <cellStyle name="제목 1 4" xfId="16405" hidden="1"/>
    <cellStyle name="제목 1 4" xfId="15540" hidden="1"/>
    <cellStyle name="제목 1 4" xfId="15491" hidden="1"/>
    <cellStyle name="제목 1 4" xfId="16474" hidden="1"/>
    <cellStyle name="제목 1 4" xfId="16514" hidden="1"/>
    <cellStyle name="제목 1 4" xfId="16554" hidden="1"/>
    <cellStyle name="제목 1 4" xfId="16594" hidden="1"/>
    <cellStyle name="제목 1 4" xfId="16634" hidden="1"/>
    <cellStyle name="제목 1 4" xfId="16674" hidden="1"/>
    <cellStyle name="제목 1 4" xfId="16714" hidden="1"/>
    <cellStyle name="제목 1 4" xfId="16754" hidden="1"/>
    <cellStyle name="제목 1 4" xfId="16794" hidden="1"/>
    <cellStyle name="제목 1 4" xfId="16834" hidden="1"/>
    <cellStyle name="제목 1 4" xfId="16874" hidden="1"/>
    <cellStyle name="제목 1 4" xfId="14342" hidden="1"/>
    <cellStyle name="제목 1 4" xfId="16925" hidden="1"/>
    <cellStyle name="제목 1 4" xfId="16966" hidden="1"/>
    <cellStyle name="제목 1 4" xfId="17006" hidden="1"/>
    <cellStyle name="제목 1 4" xfId="17046" hidden="1"/>
    <cellStyle name="제목 1 4" xfId="17086" hidden="1"/>
    <cellStyle name="제목 1 4" xfId="17126" hidden="1"/>
    <cellStyle name="제목 1 4" xfId="17166" hidden="1"/>
    <cellStyle name="제목 1 4" xfId="17206" hidden="1"/>
    <cellStyle name="제목 1 4" xfId="17246" hidden="1"/>
    <cellStyle name="제목 1 4" xfId="17286" hidden="1"/>
    <cellStyle name="제목 1 4" xfId="17326" hidden="1"/>
    <cellStyle name="제목 1 4" xfId="17410" hidden="1"/>
    <cellStyle name="제목 1 4" xfId="17450" hidden="1"/>
    <cellStyle name="제목 1 4" xfId="17492" hidden="1"/>
    <cellStyle name="제목 1 4" xfId="17534" hidden="1"/>
    <cellStyle name="제목 1 4" xfId="17576" hidden="1"/>
    <cellStyle name="제목 1 4" xfId="17618" hidden="1"/>
    <cellStyle name="제목 1 4" xfId="17660" hidden="1"/>
    <cellStyle name="제목 1 4" xfId="17702" hidden="1"/>
    <cellStyle name="제목 1 4" xfId="17744" hidden="1"/>
    <cellStyle name="제목 1 4" xfId="17786" hidden="1"/>
    <cellStyle name="제목 1 4" xfId="17828" hidden="1"/>
    <cellStyle name="제목 1 4" xfId="17870" hidden="1"/>
    <cellStyle name="제목 1 4" xfId="17366" hidden="1"/>
    <cellStyle name="제목 1 4" xfId="18050" hidden="1"/>
    <cellStyle name="제목 1 4" xfId="18090" hidden="1"/>
    <cellStyle name="제목 1 4" xfId="18130" hidden="1"/>
    <cellStyle name="제목 1 4" xfId="18170" hidden="1"/>
    <cellStyle name="제목 1 4" xfId="18210" hidden="1"/>
    <cellStyle name="제목 1 4" xfId="18250" hidden="1"/>
    <cellStyle name="제목 1 4" xfId="18290" hidden="1"/>
    <cellStyle name="제목 1 4" xfId="18330" hidden="1"/>
    <cellStyle name="제목 1 4" xfId="18370" hidden="1"/>
    <cellStyle name="제목 1 4" xfId="18410" hidden="1"/>
    <cellStyle name="제목 1 4" xfId="18450" hidden="1"/>
    <cellStyle name="제목 1 4" xfId="18490" hidden="1"/>
    <cellStyle name="제목 1 4" xfId="17990" hidden="1"/>
    <cellStyle name="제목 1 4" xfId="17951" hidden="1"/>
    <cellStyle name="제목 1 4" xfId="18531" hidden="1"/>
    <cellStyle name="제목 1 4" xfId="18573" hidden="1"/>
    <cellStyle name="제목 1 4" xfId="18615" hidden="1"/>
    <cellStyle name="제목 1 4" xfId="18657" hidden="1"/>
    <cellStyle name="제목 1 4" xfId="18699" hidden="1"/>
    <cellStyle name="제목 1 4" xfId="18741" hidden="1"/>
    <cellStyle name="제목 1 4" xfId="18783" hidden="1"/>
    <cellStyle name="제목 1 4" xfId="18825" hidden="1"/>
    <cellStyle name="제목 1 4" xfId="18867" hidden="1"/>
    <cellStyle name="제목 1 4" xfId="18909" hidden="1"/>
    <cellStyle name="제목 1 4" xfId="18044" hidden="1"/>
    <cellStyle name="제목 1 4" xfId="17995" hidden="1"/>
    <cellStyle name="제목 1 4" xfId="18978" hidden="1"/>
    <cellStyle name="제목 1 4" xfId="19018" hidden="1"/>
    <cellStyle name="제목 1 4" xfId="19058" hidden="1"/>
    <cellStyle name="제목 1 4" xfId="19098" hidden="1"/>
    <cellStyle name="제목 1 4" xfId="19138" hidden="1"/>
    <cellStyle name="제목 1 4" xfId="19178" hidden="1"/>
    <cellStyle name="제목 1 4" xfId="19218" hidden="1"/>
    <cellStyle name="제목 1 4" xfId="19258" hidden="1"/>
    <cellStyle name="제목 1 4" xfId="19298" hidden="1"/>
    <cellStyle name="제목 1 4" xfId="19338" hidden="1"/>
    <cellStyle name="제목 1 4" xfId="19378" hidden="1"/>
    <cellStyle name="제목 1 4" xfId="14350" hidden="1"/>
    <cellStyle name="제목 1 4" xfId="19428" hidden="1"/>
    <cellStyle name="제목 1 4" xfId="19468" hidden="1"/>
    <cellStyle name="제목 1 4" xfId="19508" hidden="1"/>
    <cellStyle name="제목 1 4" xfId="19548" hidden="1"/>
    <cellStyle name="제목 1 4" xfId="19588" hidden="1"/>
    <cellStyle name="제목 1 4" xfId="19628" hidden="1"/>
    <cellStyle name="제목 1 4" xfId="19668" hidden="1"/>
    <cellStyle name="제목 1 4" xfId="19708" hidden="1"/>
    <cellStyle name="제목 1 4" xfId="19748" hidden="1"/>
    <cellStyle name="제목 1 4" xfId="19788" hidden="1"/>
    <cellStyle name="제목 1 4" xfId="19828" hidden="1"/>
    <cellStyle name="제목 1 4" xfId="19912" hidden="1"/>
    <cellStyle name="제목 1 4" xfId="19952" hidden="1"/>
    <cellStyle name="제목 1 4" xfId="19994" hidden="1"/>
    <cellStyle name="제목 1 4" xfId="20036" hidden="1"/>
    <cellStyle name="제목 1 4" xfId="20078" hidden="1"/>
    <cellStyle name="제목 1 4" xfId="20120" hidden="1"/>
    <cellStyle name="제목 1 4" xfId="20162" hidden="1"/>
    <cellStyle name="제목 1 4" xfId="20204" hidden="1"/>
    <cellStyle name="제목 1 4" xfId="20246" hidden="1"/>
    <cellStyle name="제목 1 4" xfId="20288" hidden="1"/>
    <cellStyle name="제목 1 4" xfId="20330" hidden="1"/>
    <cellStyle name="제목 1 4" xfId="20372" hidden="1"/>
    <cellStyle name="제목 1 4" xfId="19868" hidden="1"/>
    <cellStyle name="제목 1 4" xfId="20552" hidden="1"/>
    <cellStyle name="제목 1 4" xfId="20592" hidden="1"/>
    <cellStyle name="제목 1 4" xfId="20632" hidden="1"/>
    <cellStyle name="제목 1 4" xfId="20672" hidden="1"/>
    <cellStyle name="제목 1 4" xfId="20712" hidden="1"/>
    <cellStyle name="제목 1 4" xfId="20752" hidden="1"/>
    <cellStyle name="제목 1 4" xfId="20792" hidden="1"/>
    <cellStyle name="제목 1 4" xfId="20832" hidden="1"/>
    <cellStyle name="제목 1 4" xfId="20872" hidden="1"/>
    <cellStyle name="제목 1 4" xfId="20912" hidden="1"/>
    <cellStyle name="제목 1 4" xfId="20952" hidden="1"/>
    <cellStyle name="제목 1 4" xfId="20992" hidden="1"/>
    <cellStyle name="제목 1 4" xfId="20492" hidden="1"/>
    <cellStyle name="제목 1 4" xfId="20453" hidden="1"/>
    <cellStyle name="제목 1 4" xfId="21033" hidden="1"/>
    <cellStyle name="제목 1 4" xfId="21075" hidden="1"/>
    <cellStyle name="제목 1 4" xfId="21117" hidden="1"/>
    <cellStyle name="제목 1 4" xfId="21159" hidden="1"/>
    <cellStyle name="제목 1 4" xfId="21201" hidden="1"/>
    <cellStyle name="제목 1 4" xfId="21243" hidden="1"/>
    <cellStyle name="제목 1 4" xfId="21285" hidden="1"/>
    <cellStyle name="제목 1 4" xfId="21327" hidden="1"/>
    <cellStyle name="제목 1 4" xfId="21369" hidden="1"/>
    <cellStyle name="제목 1 4" xfId="21411" hidden="1"/>
    <cellStyle name="제목 1 4" xfId="20546" hidden="1"/>
    <cellStyle name="제목 1 4" xfId="20497" hidden="1"/>
    <cellStyle name="제목 1 4" xfId="21480" hidden="1"/>
    <cellStyle name="제목 1 4" xfId="21520" hidden="1"/>
    <cellStyle name="제목 1 4" xfId="21560" hidden="1"/>
    <cellStyle name="제목 1 4" xfId="21600" hidden="1"/>
    <cellStyle name="제목 1 4" xfId="21640" hidden="1"/>
    <cellStyle name="제목 1 4" xfId="21680" hidden="1"/>
    <cellStyle name="제목 1 4" xfId="21720" hidden="1"/>
    <cellStyle name="제목 1 4" xfId="21760" hidden="1"/>
    <cellStyle name="제목 1 4" xfId="21800" hidden="1"/>
    <cellStyle name="제목 1 4" xfId="21840" hidden="1"/>
    <cellStyle name="제목 1 4" xfId="21880" hidden="1"/>
    <cellStyle name="제목 1 4" xfId="21948" hidden="1"/>
    <cellStyle name="제목 1 4" xfId="21988" hidden="1"/>
    <cellStyle name="제목 1 4" xfId="22028" hidden="1"/>
    <cellStyle name="제목 1 4" xfId="22068" hidden="1"/>
    <cellStyle name="제목 1 4" xfId="22108" hidden="1"/>
    <cellStyle name="제목 1 4" xfId="22148" hidden="1"/>
    <cellStyle name="제목 1 4" xfId="22188" hidden="1"/>
    <cellStyle name="제목 1 4" xfId="22228" hidden="1"/>
    <cellStyle name="제목 1 4" xfId="22268" hidden="1"/>
    <cellStyle name="제목 1 4" xfId="22308" hidden="1"/>
    <cellStyle name="제목 1 4" xfId="22348" hidden="1"/>
    <cellStyle name="제목 1 4" xfId="22388" hidden="1"/>
    <cellStyle name="제목 1 4" xfId="22472" hidden="1"/>
    <cellStyle name="제목 1 4" xfId="22512" hidden="1"/>
    <cellStyle name="제목 1 4" xfId="22554" hidden="1"/>
    <cellStyle name="제목 1 4" xfId="22596" hidden="1"/>
    <cellStyle name="제목 1 4" xfId="22638" hidden="1"/>
    <cellStyle name="제목 1 4" xfId="22680" hidden="1"/>
    <cellStyle name="제목 1 4" xfId="22722" hidden="1"/>
    <cellStyle name="제목 1 4" xfId="22764" hidden="1"/>
    <cellStyle name="제목 1 4" xfId="22806" hidden="1"/>
    <cellStyle name="제목 1 4" xfId="22848" hidden="1"/>
    <cellStyle name="제목 1 4" xfId="22890" hidden="1"/>
    <cellStyle name="제목 1 4" xfId="22932" hidden="1"/>
    <cellStyle name="제목 1 4" xfId="22428" hidden="1"/>
    <cellStyle name="제목 1 4" xfId="23112" hidden="1"/>
    <cellStyle name="제목 1 4" xfId="23152" hidden="1"/>
    <cellStyle name="제목 1 4" xfId="23192" hidden="1"/>
    <cellStyle name="제목 1 4" xfId="23232" hidden="1"/>
    <cellStyle name="제목 1 4" xfId="23272" hidden="1"/>
    <cellStyle name="제목 1 4" xfId="23312" hidden="1"/>
    <cellStyle name="제목 1 4" xfId="23352" hidden="1"/>
    <cellStyle name="제목 1 4" xfId="23392" hidden="1"/>
    <cellStyle name="제목 1 4" xfId="23432" hidden="1"/>
    <cellStyle name="제목 1 4" xfId="23472" hidden="1"/>
    <cellStyle name="제목 1 4" xfId="23512" hidden="1"/>
    <cellStyle name="제목 1 4" xfId="23552" hidden="1"/>
    <cellStyle name="제목 1 4" xfId="23052" hidden="1"/>
    <cellStyle name="제목 1 4" xfId="23013" hidden="1"/>
    <cellStyle name="제목 1 4" xfId="23593" hidden="1"/>
    <cellStyle name="제목 1 4" xfId="23635" hidden="1"/>
    <cellStyle name="제목 1 4" xfId="23677" hidden="1"/>
    <cellStyle name="제목 1 4" xfId="23719" hidden="1"/>
    <cellStyle name="제목 1 4" xfId="23761" hidden="1"/>
    <cellStyle name="제목 1 4" xfId="23803" hidden="1"/>
    <cellStyle name="제목 1 4" xfId="23845" hidden="1"/>
    <cellStyle name="제목 1 4" xfId="23887" hidden="1"/>
    <cellStyle name="제목 1 4" xfId="23929" hidden="1"/>
    <cellStyle name="제목 1 4" xfId="23971" hidden="1"/>
    <cellStyle name="제목 1 4" xfId="23106" hidden="1"/>
    <cellStyle name="제목 1 4" xfId="23057" hidden="1"/>
    <cellStyle name="제목 1 4" xfId="24040" hidden="1"/>
    <cellStyle name="제목 1 4" xfId="24080" hidden="1"/>
    <cellStyle name="제목 1 4" xfId="24120" hidden="1"/>
    <cellStyle name="제목 1 4" xfId="24160" hidden="1"/>
    <cellStyle name="제목 1 4" xfId="24200" hidden="1"/>
    <cellStyle name="제목 1 4" xfId="24240" hidden="1"/>
    <cellStyle name="제목 1 4" xfId="24280" hidden="1"/>
    <cellStyle name="제목 1 4" xfId="24320" hidden="1"/>
    <cellStyle name="제목 1 4" xfId="24360" hidden="1"/>
    <cellStyle name="제목 1 4" xfId="24400" hidden="1"/>
    <cellStyle name="제목 1 4" xfId="24440" hidden="1"/>
    <cellStyle name="제목 1 4" xfId="24538" hidden="1"/>
    <cellStyle name="제목 1 4" xfId="24578" hidden="1"/>
    <cellStyle name="제목 1 4" xfId="24619" hidden="1"/>
    <cellStyle name="제목 1 4" xfId="24661" hidden="1"/>
    <cellStyle name="제목 1 4" xfId="24701" hidden="1"/>
    <cellStyle name="제목 1 4" xfId="24741" hidden="1"/>
    <cellStyle name="제목 1 4" xfId="24781" hidden="1"/>
    <cellStyle name="제목 1 4" xfId="24821" hidden="1"/>
    <cellStyle name="제목 1 4" xfId="24861" hidden="1"/>
    <cellStyle name="제목 1 4" xfId="24901" hidden="1"/>
    <cellStyle name="제목 1 4" xfId="24941" hidden="1"/>
    <cellStyle name="제목 1 4" xfId="24981" hidden="1"/>
    <cellStyle name="제목 1 4" xfId="25065" hidden="1"/>
    <cellStyle name="제목 1 4" xfId="25105" hidden="1"/>
    <cellStyle name="제목 1 4" xfId="25147" hidden="1"/>
    <cellStyle name="제목 1 4" xfId="25189" hidden="1"/>
    <cellStyle name="제목 1 4" xfId="25231" hidden="1"/>
    <cellStyle name="제목 1 4" xfId="25273" hidden="1"/>
    <cellStyle name="제목 1 4" xfId="25315" hidden="1"/>
    <cellStyle name="제목 1 4" xfId="25357" hidden="1"/>
    <cellStyle name="제목 1 4" xfId="25399" hidden="1"/>
    <cellStyle name="제목 1 4" xfId="25441" hidden="1"/>
    <cellStyle name="제목 1 4" xfId="25483" hidden="1"/>
    <cellStyle name="제목 1 4" xfId="25525" hidden="1"/>
    <cellStyle name="제목 1 4" xfId="25021" hidden="1"/>
    <cellStyle name="제목 1 4" xfId="25705" hidden="1"/>
    <cellStyle name="제목 1 4" xfId="25745" hidden="1"/>
    <cellStyle name="제목 1 4" xfId="25785" hidden="1"/>
    <cellStyle name="제목 1 4" xfId="25825" hidden="1"/>
    <cellStyle name="제목 1 4" xfId="25865" hidden="1"/>
    <cellStyle name="제목 1 4" xfId="25905" hidden="1"/>
    <cellStyle name="제목 1 4" xfId="25945" hidden="1"/>
    <cellStyle name="제목 1 4" xfId="25985" hidden="1"/>
    <cellStyle name="제목 1 4" xfId="26025" hidden="1"/>
    <cellStyle name="제목 1 4" xfId="26065" hidden="1"/>
    <cellStyle name="제목 1 4" xfId="26105" hidden="1"/>
    <cellStyle name="제목 1 4" xfId="26145" hidden="1"/>
    <cellStyle name="제목 1 4" xfId="25645" hidden="1"/>
    <cellStyle name="제목 1 4" xfId="25606" hidden="1"/>
    <cellStyle name="제목 1 4" xfId="26186" hidden="1"/>
    <cellStyle name="제목 1 4" xfId="26228" hidden="1"/>
    <cellStyle name="제목 1 4" xfId="26270" hidden="1"/>
    <cellStyle name="제목 1 4" xfId="26312" hidden="1"/>
    <cellStyle name="제목 1 4" xfId="26354" hidden="1"/>
    <cellStyle name="제목 1 4" xfId="26396" hidden="1"/>
    <cellStyle name="제목 1 4" xfId="26438" hidden="1"/>
    <cellStyle name="제목 1 4" xfId="26480" hidden="1"/>
    <cellStyle name="제목 1 4" xfId="26522" hidden="1"/>
    <cellStyle name="제목 1 4" xfId="26564" hidden="1"/>
    <cellStyle name="제목 1 4" xfId="25699" hidden="1"/>
    <cellStyle name="제목 1 4" xfId="25650" hidden="1"/>
    <cellStyle name="제목 1 4" xfId="26633" hidden="1"/>
    <cellStyle name="제목 1 4" xfId="26673" hidden="1"/>
    <cellStyle name="제목 1 4" xfId="26713" hidden="1"/>
    <cellStyle name="제목 1 4" xfId="26753" hidden="1"/>
    <cellStyle name="제목 1 4" xfId="26793" hidden="1"/>
    <cellStyle name="제목 1 4" xfId="26833" hidden="1"/>
    <cellStyle name="제목 1 4" xfId="26873" hidden="1"/>
    <cellStyle name="제목 1 4" xfId="26913" hidden="1"/>
    <cellStyle name="제목 1 4" xfId="26953" hidden="1"/>
    <cellStyle name="제목 1 4" xfId="26993" hidden="1"/>
    <cellStyle name="제목 1 4" xfId="27033" hidden="1"/>
    <cellStyle name="제목 1 4" xfId="24504" hidden="1"/>
    <cellStyle name="제목 1 4" xfId="27084" hidden="1"/>
    <cellStyle name="제목 1 4" xfId="27124" hidden="1"/>
    <cellStyle name="제목 1 4" xfId="27164" hidden="1"/>
    <cellStyle name="제목 1 4" xfId="27204" hidden="1"/>
    <cellStyle name="제목 1 4" xfId="27244" hidden="1"/>
    <cellStyle name="제목 1 4" xfId="27284" hidden="1"/>
    <cellStyle name="제목 1 4" xfId="27324" hidden="1"/>
    <cellStyle name="제목 1 4" xfId="27364" hidden="1"/>
    <cellStyle name="제목 1 4" xfId="27404" hidden="1"/>
    <cellStyle name="제목 1 4" xfId="27444" hidden="1"/>
    <cellStyle name="제목 1 4" xfId="27484" hidden="1"/>
    <cellStyle name="제목 1 4" xfId="27568" hidden="1"/>
    <cellStyle name="제목 1 4" xfId="27608" hidden="1"/>
    <cellStyle name="제목 1 4" xfId="27650" hidden="1"/>
    <cellStyle name="제목 1 4" xfId="27692" hidden="1"/>
    <cellStyle name="제목 1 4" xfId="27734" hidden="1"/>
    <cellStyle name="제목 1 4" xfId="27776" hidden="1"/>
    <cellStyle name="제목 1 4" xfId="27818" hidden="1"/>
    <cellStyle name="제목 1 4" xfId="27860" hidden="1"/>
    <cellStyle name="제목 1 4" xfId="27902" hidden="1"/>
    <cellStyle name="제목 1 4" xfId="27944" hidden="1"/>
    <cellStyle name="제목 1 4" xfId="27986" hidden="1"/>
    <cellStyle name="제목 1 4" xfId="28028" hidden="1"/>
    <cellStyle name="제목 1 4" xfId="27524" hidden="1"/>
    <cellStyle name="제목 1 4" xfId="28208" hidden="1"/>
    <cellStyle name="제목 1 4" xfId="28248" hidden="1"/>
    <cellStyle name="제목 1 4" xfId="28288" hidden="1"/>
    <cellStyle name="제목 1 4" xfId="28328" hidden="1"/>
    <cellStyle name="제목 1 4" xfId="28368" hidden="1"/>
    <cellStyle name="제목 1 4" xfId="28408" hidden="1"/>
    <cellStyle name="제목 1 4" xfId="28448" hidden="1"/>
    <cellStyle name="제목 1 4" xfId="28488" hidden="1"/>
    <cellStyle name="제목 1 4" xfId="28528" hidden="1"/>
    <cellStyle name="제목 1 4" xfId="28568" hidden="1"/>
    <cellStyle name="제목 1 4" xfId="28608" hidden="1"/>
    <cellStyle name="제목 1 4" xfId="28648" hidden="1"/>
    <cellStyle name="제목 1 4" xfId="28148" hidden="1"/>
    <cellStyle name="제목 1 4" xfId="28109" hidden="1"/>
    <cellStyle name="제목 1 4" xfId="28689" hidden="1"/>
    <cellStyle name="제목 1 4" xfId="28731" hidden="1"/>
    <cellStyle name="제목 1 4" xfId="28773" hidden="1"/>
    <cellStyle name="제목 1 4" xfId="28815" hidden="1"/>
    <cellStyle name="제목 1 4" xfId="28857" hidden="1"/>
    <cellStyle name="제목 1 4" xfId="28899" hidden="1"/>
    <cellStyle name="제목 1 4" xfId="28941" hidden="1"/>
    <cellStyle name="제목 1 4" xfId="28983" hidden="1"/>
    <cellStyle name="제목 1 4" xfId="29025" hidden="1"/>
    <cellStyle name="제목 1 4" xfId="29067" hidden="1"/>
    <cellStyle name="제목 1 4" xfId="28202" hidden="1"/>
    <cellStyle name="제목 1 4" xfId="28153" hidden="1"/>
    <cellStyle name="제목 1 4" xfId="29136" hidden="1"/>
    <cellStyle name="제목 1 4" xfId="29176" hidden="1"/>
    <cellStyle name="제목 1 4" xfId="29216" hidden="1"/>
    <cellStyle name="제목 1 4" xfId="29256" hidden="1"/>
    <cellStyle name="제목 1 4" xfId="29296" hidden="1"/>
    <cellStyle name="제목 1 4" xfId="29336" hidden="1"/>
    <cellStyle name="제목 1 4" xfId="29376" hidden="1"/>
    <cellStyle name="제목 1 4" xfId="29416" hidden="1"/>
    <cellStyle name="제목 1 4" xfId="29456" hidden="1"/>
    <cellStyle name="제목 1 4" xfId="29496" hidden="1"/>
    <cellStyle name="제목 1 4" xfId="29536" hidden="1"/>
    <cellStyle name="제목 1 4" xfId="24508" hidden="1"/>
    <cellStyle name="제목 1 4" xfId="29586" hidden="1"/>
    <cellStyle name="제목 1 4" xfId="29626" hidden="1"/>
    <cellStyle name="제목 1 4" xfId="29666" hidden="1"/>
    <cellStyle name="제목 1 4" xfId="29706" hidden="1"/>
    <cellStyle name="제목 1 4" xfId="29746" hidden="1"/>
    <cellStyle name="제목 1 4" xfId="29786" hidden="1"/>
    <cellStyle name="제목 1 4" xfId="29826" hidden="1"/>
    <cellStyle name="제목 1 4" xfId="29866" hidden="1"/>
    <cellStyle name="제목 1 4" xfId="29906" hidden="1"/>
    <cellStyle name="제목 1 4" xfId="29946" hidden="1"/>
    <cellStyle name="제목 1 4" xfId="29986" hidden="1"/>
    <cellStyle name="제목 1 4" xfId="30070" hidden="1"/>
    <cellStyle name="제목 1 4" xfId="30110" hidden="1"/>
    <cellStyle name="제목 1 4" xfId="30152" hidden="1"/>
    <cellStyle name="제목 1 4" xfId="30194" hidden="1"/>
    <cellStyle name="제목 1 4" xfId="30236" hidden="1"/>
    <cellStyle name="제목 1 4" xfId="30278" hidden="1"/>
    <cellStyle name="제목 1 4" xfId="30320" hidden="1"/>
    <cellStyle name="제목 1 4" xfId="30362" hidden="1"/>
    <cellStyle name="제목 1 4" xfId="30404" hidden="1"/>
    <cellStyle name="제목 1 4" xfId="30446" hidden="1"/>
    <cellStyle name="제목 1 4" xfId="30488" hidden="1"/>
    <cellStyle name="제목 1 4" xfId="30530" hidden="1"/>
    <cellStyle name="제목 1 4" xfId="30026" hidden="1"/>
    <cellStyle name="제목 1 4" xfId="30710" hidden="1"/>
    <cellStyle name="제목 1 4" xfId="30750" hidden="1"/>
    <cellStyle name="제목 1 4" xfId="30790" hidden="1"/>
    <cellStyle name="제목 1 4" xfId="30830" hidden="1"/>
    <cellStyle name="제목 1 4" xfId="30870" hidden="1"/>
    <cellStyle name="제목 1 4" xfId="30910" hidden="1"/>
    <cellStyle name="제목 1 4" xfId="30950" hidden="1"/>
    <cellStyle name="제목 1 4" xfId="30990" hidden="1"/>
    <cellStyle name="제목 1 4" xfId="31030" hidden="1"/>
    <cellStyle name="제목 1 4" xfId="31070" hidden="1"/>
    <cellStyle name="제목 1 4" xfId="31110" hidden="1"/>
    <cellStyle name="제목 1 4" xfId="31150" hidden="1"/>
    <cellStyle name="제목 1 4" xfId="30650" hidden="1"/>
    <cellStyle name="제목 1 4" xfId="30611" hidden="1"/>
    <cellStyle name="제목 1 4" xfId="31191" hidden="1"/>
    <cellStyle name="제목 1 4" xfId="31233" hidden="1"/>
    <cellStyle name="제목 1 4" xfId="31275" hidden="1"/>
    <cellStyle name="제목 1 4" xfId="31317" hidden="1"/>
    <cellStyle name="제목 1 4" xfId="31359" hidden="1"/>
    <cellStyle name="제목 1 4" xfId="31401" hidden="1"/>
    <cellStyle name="제목 1 4" xfId="31443" hidden="1"/>
    <cellStyle name="제목 1 4" xfId="31485" hidden="1"/>
    <cellStyle name="제목 1 4" xfId="31527" hidden="1"/>
    <cellStyle name="제목 1 4" xfId="31569" hidden="1"/>
    <cellStyle name="제목 1 4" xfId="30704" hidden="1"/>
    <cellStyle name="제목 1 4" xfId="30655" hidden="1"/>
    <cellStyle name="제목 1 4" xfId="31638" hidden="1"/>
    <cellStyle name="제목 1 4" xfId="31678" hidden="1"/>
    <cellStyle name="제목 1 4" xfId="31718" hidden="1"/>
    <cellStyle name="제목 1 4" xfId="31758" hidden="1"/>
    <cellStyle name="제목 1 4" xfId="31798" hidden="1"/>
    <cellStyle name="제목 1 4" xfId="31838" hidden="1"/>
    <cellStyle name="제목 1 4" xfId="31878" hidden="1"/>
    <cellStyle name="제목 1 4" xfId="31918" hidden="1"/>
    <cellStyle name="제목 1 4" xfId="31958" hidden="1"/>
    <cellStyle name="제목 1 4" xfId="31998" hidden="1"/>
    <cellStyle name="제목 1 4" xfId="32038" hidden="1"/>
    <cellStyle name="제목 1 4" xfId="32100" hidden="1"/>
    <cellStyle name="제목 1 4" xfId="32140" hidden="1"/>
    <cellStyle name="제목 1 4" xfId="32180" hidden="1"/>
    <cellStyle name="제목 1 4" xfId="32220" hidden="1"/>
    <cellStyle name="제목 1 4" xfId="32260" hidden="1"/>
    <cellStyle name="제목 1 4" xfId="32300" hidden="1"/>
    <cellStyle name="제목 1 4" xfId="32340" hidden="1"/>
    <cellStyle name="제목 1 4" xfId="32380" hidden="1"/>
    <cellStyle name="제목 1 4" xfId="32420" hidden="1"/>
    <cellStyle name="제목 1 4" xfId="32460" hidden="1"/>
    <cellStyle name="제목 1 4" xfId="32500" hidden="1"/>
    <cellStyle name="제목 1 4" xfId="32540" hidden="1"/>
    <cellStyle name="제목 1 4" xfId="32625" hidden="1"/>
    <cellStyle name="제목 1 4" xfId="32665" hidden="1"/>
    <cellStyle name="제목 1 4" xfId="32707" hidden="1"/>
    <cellStyle name="제목 1 4" xfId="32749" hidden="1"/>
    <cellStyle name="제목 1 4" xfId="32791" hidden="1"/>
    <cellStyle name="제목 1 4" xfId="32833" hidden="1"/>
    <cellStyle name="제목 1 4" xfId="32875" hidden="1"/>
    <cellStyle name="제목 1 4" xfId="32917" hidden="1"/>
    <cellStyle name="제목 1 4" xfId="32959" hidden="1"/>
    <cellStyle name="제목 1 4" xfId="33001" hidden="1"/>
    <cellStyle name="제목 1 4" xfId="33043" hidden="1"/>
    <cellStyle name="제목 1 4" xfId="33085" hidden="1"/>
    <cellStyle name="제목 1 4" xfId="32581" hidden="1"/>
    <cellStyle name="제목 1 4" xfId="33265" hidden="1"/>
    <cellStyle name="제목 1 4" xfId="33305" hidden="1"/>
    <cellStyle name="제목 1 4" xfId="33345" hidden="1"/>
    <cellStyle name="제목 1 4" xfId="33385" hidden="1"/>
    <cellStyle name="제목 1 4" xfId="33425" hidden="1"/>
    <cellStyle name="제목 1 4" xfId="33465" hidden="1"/>
    <cellStyle name="제목 1 4" xfId="33505" hidden="1"/>
    <cellStyle name="제목 1 4" xfId="33545" hidden="1"/>
    <cellStyle name="제목 1 4" xfId="33585" hidden="1"/>
    <cellStyle name="제목 1 4" xfId="33625" hidden="1"/>
    <cellStyle name="제목 1 4" xfId="33665" hidden="1"/>
    <cellStyle name="제목 1 4" xfId="33705" hidden="1"/>
    <cellStyle name="제목 1 4" xfId="33205" hidden="1"/>
    <cellStyle name="제목 1 4" xfId="33166" hidden="1"/>
    <cellStyle name="제목 1 4" xfId="33746" hidden="1"/>
    <cellStyle name="제목 1 4" xfId="33788" hidden="1"/>
    <cellStyle name="제목 1 4" xfId="33830" hidden="1"/>
    <cellStyle name="제목 1 4" xfId="33872" hidden="1"/>
    <cellStyle name="제목 1 4" xfId="33914" hidden="1"/>
    <cellStyle name="제목 1 4" xfId="33956" hidden="1"/>
    <cellStyle name="제목 1 4" xfId="33998" hidden="1"/>
    <cellStyle name="제목 1 4" xfId="34040" hidden="1"/>
    <cellStyle name="제목 1 4" xfId="34082" hidden="1"/>
    <cellStyle name="제목 1 4" xfId="34124" hidden="1"/>
    <cellStyle name="제목 1 4" xfId="33259" hidden="1"/>
    <cellStyle name="제목 1 4" xfId="33210" hidden="1"/>
    <cellStyle name="제목 1 4" xfId="34193" hidden="1"/>
    <cellStyle name="제목 1 4" xfId="34233" hidden="1"/>
    <cellStyle name="제목 1 4" xfId="34273" hidden="1"/>
    <cellStyle name="제목 1 4" xfId="34313" hidden="1"/>
    <cellStyle name="제목 1 4" xfId="34353" hidden="1"/>
    <cellStyle name="제목 1 4" xfId="34393" hidden="1"/>
    <cellStyle name="제목 1 4" xfId="34433" hidden="1"/>
    <cellStyle name="제목 1 4" xfId="34473" hidden="1"/>
    <cellStyle name="제목 1 4" xfId="34513" hidden="1"/>
    <cellStyle name="제목 1 4" xfId="34553" hidden="1"/>
    <cellStyle name="제목 1 4" xfId="34593" hidden="1"/>
    <cellStyle name="제목 1 4" xfId="34690" hidden="1"/>
    <cellStyle name="제목 1 4" xfId="34730" hidden="1"/>
    <cellStyle name="제목 1 4" xfId="34770" hidden="1"/>
    <cellStyle name="제목 1 4" xfId="34810" hidden="1"/>
    <cellStyle name="제목 1 4" xfId="34850" hidden="1"/>
    <cellStyle name="제목 1 4" xfId="34890" hidden="1"/>
    <cellStyle name="제목 1 4" xfId="34930" hidden="1"/>
    <cellStyle name="제목 1 4" xfId="34970" hidden="1"/>
    <cellStyle name="제목 1 4" xfId="35010" hidden="1"/>
    <cellStyle name="제목 1 4" xfId="35050" hidden="1"/>
    <cellStyle name="제목 1 4" xfId="35090" hidden="1"/>
    <cellStyle name="제목 1 4" xfId="35130" hidden="1"/>
    <cellStyle name="제목 1 4" xfId="35214" hidden="1"/>
    <cellStyle name="제목 1 4" xfId="35254" hidden="1"/>
    <cellStyle name="제목 1 4" xfId="35296" hidden="1"/>
    <cellStyle name="제목 1 4" xfId="35338" hidden="1"/>
    <cellStyle name="제목 1 4" xfId="35380" hidden="1"/>
    <cellStyle name="제목 1 4" xfId="35422" hidden="1"/>
    <cellStyle name="제목 1 4" xfId="35464" hidden="1"/>
    <cellStyle name="제목 1 4" xfId="35506" hidden="1"/>
    <cellStyle name="제목 1 4" xfId="35548" hidden="1"/>
    <cellStyle name="제목 1 4" xfId="35590" hidden="1"/>
    <cellStyle name="제목 1 4" xfId="35632" hidden="1"/>
    <cellStyle name="제목 1 4" xfId="35674" hidden="1"/>
    <cellStyle name="제목 1 4" xfId="35170" hidden="1"/>
    <cellStyle name="제목 1 4" xfId="35854" hidden="1"/>
    <cellStyle name="제목 1 4" xfId="35894" hidden="1"/>
    <cellStyle name="제목 1 4" xfId="35934" hidden="1"/>
    <cellStyle name="제목 1 4" xfId="35974" hidden="1"/>
    <cellStyle name="제목 1 4" xfId="36014" hidden="1"/>
    <cellStyle name="제목 1 4" xfId="36054" hidden="1"/>
    <cellStyle name="제목 1 4" xfId="36094" hidden="1"/>
    <cellStyle name="제목 1 4" xfId="36134" hidden="1"/>
    <cellStyle name="제목 1 4" xfId="36174" hidden="1"/>
    <cellStyle name="제목 1 4" xfId="36214" hidden="1"/>
    <cellStyle name="제목 1 4" xfId="36254" hidden="1"/>
    <cellStyle name="제목 1 4" xfId="36294" hidden="1"/>
    <cellStyle name="제목 1 4" xfId="35794" hidden="1"/>
    <cellStyle name="제목 1 4" xfId="35755" hidden="1"/>
    <cellStyle name="제목 1 4" xfId="36335" hidden="1"/>
    <cellStyle name="제목 1 4" xfId="36377" hidden="1"/>
    <cellStyle name="제목 1 4" xfId="36419" hidden="1"/>
    <cellStyle name="제목 1 4" xfId="36461" hidden="1"/>
    <cellStyle name="제목 1 4" xfId="36503" hidden="1"/>
    <cellStyle name="제목 1 4" xfId="36545" hidden="1"/>
    <cellStyle name="제목 1 4" xfId="36587" hidden="1"/>
    <cellStyle name="제목 1 4" xfId="36629" hidden="1"/>
    <cellStyle name="제목 1 4" xfId="36671" hidden="1"/>
    <cellStyle name="제목 1 4" xfId="36713" hidden="1"/>
    <cellStyle name="제목 1 4" xfId="35848" hidden="1"/>
    <cellStyle name="제목 1 4" xfId="35799" hidden="1"/>
    <cellStyle name="제목 1 4" xfId="36782" hidden="1"/>
    <cellStyle name="제목 1 4" xfId="36822" hidden="1"/>
    <cellStyle name="제목 1 4" xfId="36862" hidden="1"/>
    <cellStyle name="제목 1 4" xfId="36902" hidden="1"/>
    <cellStyle name="제목 1 4" xfId="36942" hidden="1"/>
    <cellStyle name="제목 1 4" xfId="36982" hidden="1"/>
    <cellStyle name="제목 1 4" xfId="37022" hidden="1"/>
    <cellStyle name="제목 1 4" xfId="37062" hidden="1"/>
    <cellStyle name="제목 1 4" xfId="37102" hidden="1"/>
    <cellStyle name="제목 1 4" xfId="37142" hidden="1"/>
    <cellStyle name="제목 1 4" xfId="37182" hidden="1"/>
    <cellStyle name="제목 1 4" xfId="34656" hidden="1"/>
    <cellStyle name="제목 1 4" xfId="37233" hidden="1"/>
    <cellStyle name="제목 1 4" xfId="37274" hidden="1"/>
    <cellStyle name="제목 1 4" xfId="37314" hidden="1"/>
    <cellStyle name="제목 1 4" xfId="37354" hidden="1"/>
    <cellStyle name="제목 1 4" xfId="37394" hidden="1"/>
    <cellStyle name="제목 1 4" xfId="37434" hidden="1"/>
    <cellStyle name="제목 1 4" xfId="37474" hidden="1"/>
    <cellStyle name="제목 1 4" xfId="37514" hidden="1"/>
    <cellStyle name="제목 1 4" xfId="37554" hidden="1"/>
    <cellStyle name="제목 1 4" xfId="37594" hidden="1"/>
    <cellStyle name="제목 1 4" xfId="37634" hidden="1"/>
    <cellStyle name="제목 1 4" xfId="37718" hidden="1"/>
    <cellStyle name="제목 1 4" xfId="37758" hidden="1"/>
    <cellStyle name="제목 1 4" xfId="37800" hidden="1"/>
    <cellStyle name="제목 1 4" xfId="37842" hidden="1"/>
    <cellStyle name="제목 1 4" xfId="37884" hidden="1"/>
    <cellStyle name="제목 1 4" xfId="37926" hidden="1"/>
    <cellStyle name="제목 1 4" xfId="37968" hidden="1"/>
    <cellStyle name="제목 1 4" xfId="38010" hidden="1"/>
    <cellStyle name="제목 1 4" xfId="38052" hidden="1"/>
    <cellStyle name="제목 1 4" xfId="38094" hidden="1"/>
    <cellStyle name="제목 1 4" xfId="38136" hidden="1"/>
    <cellStyle name="제목 1 4" xfId="38178" hidden="1"/>
    <cellStyle name="제목 1 4" xfId="37674" hidden="1"/>
    <cellStyle name="제목 1 4" xfId="38358" hidden="1"/>
    <cellStyle name="제목 1 4" xfId="38398" hidden="1"/>
    <cellStyle name="제목 1 4" xfId="38438" hidden="1"/>
    <cellStyle name="제목 1 4" xfId="38478" hidden="1"/>
    <cellStyle name="제목 1 4" xfId="38518" hidden="1"/>
    <cellStyle name="제목 1 4" xfId="38558" hidden="1"/>
    <cellStyle name="제목 1 4" xfId="38598" hidden="1"/>
    <cellStyle name="제목 1 4" xfId="38638" hidden="1"/>
    <cellStyle name="제목 1 4" xfId="38678" hidden="1"/>
    <cellStyle name="제목 1 4" xfId="38718" hidden="1"/>
    <cellStyle name="제목 1 4" xfId="38758" hidden="1"/>
    <cellStyle name="제목 1 4" xfId="38798" hidden="1"/>
    <cellStyle name="제목 1 4" xfId="38298" hidden="1"/>
    <cellStyle name="제목 1 4" xfId="38259" hidden="1"/>
    <cellStyle name="제목 1 4" xfId="38839" hidden="1"/>
    <cellStyle name="제목 1 4" xfId="38881" hidden="1"/>
    <cellStyle name="제목 1 4" xfId="38923" hidden="1"/>
    <cellStyle name="제목 1 4" xfId="38965" hidden="1"/>
    <cellStyle name="제목 1 4" xfId="39007" hidden="1"/>
    <cellStyle name="제목 1 4" xfId="39049" hidden="1"/>
    <cellStyle name="제목 1 4" xfId="39091" hidden="1"/>
    <cellStyle name="제목 1 4" xfId="39133" hidden="1"/>
    <cellStyle name="제목 1 4" xfId="39175" hidden="1"/>
    <cellStyle name="제목 1 4" xfId="39217" hidden="1"/>
    <cellStyle name="제목 1 4" xfId="38352" hidden="1"/>
    <cellStyle name="제목 1 4" xfId="38303" hidden="1"/>
    <cellStyle name="제목 1 4" xfId="39286" hidden="1"/>
    <cellStyle name="제목 1 4" xfId="39326" hidden="1"/>
    <cellStyle name="제목 1 4" xfId="39366" hidden="1"/>
    <cellStyle name="제목 1 4" xfId="39406" hidden="1"/>
    <cellStyle name="제목 1 4" xfId="39446" hidden="1"/>
    <cellStyle name="제목 1 4" xfId="39486" hidden="1"/>
    <cellStyle name="제목 1 4" xfId="39526" hidden="1"/>
    <cellStyle name="제목 1 4" xfId="39566" hidden="1"/>
    <cellStyle name="제목 1 4" xfId="39606" hidden="1"/>
    <cellStyle name="제목 1 4" xfId="39646" hidden="1"/>
    <cellStyle name="제목 1 4" xfId="39686" hidden="1"/>
    <cellStyle name="제목 1 4" xfId="34660" hidden="1"/>
    <cellStyle name="제목 1 4" xfId="39736" hidden="1"/>
    <cellStyle name="제목 1 4" xfId="39776" hidden="1"/>
    <cellStyle name="제목 1 4" xfId="39816" hidden="1"/>
    <cellStyle name="제목 1 4" xfId="39856" hidden="1"/>
    <cellStyle name="제목 1 4" xfId="39896" hidden="1"/>
    <cellStyle name="제목 1 4" xfId="39936" hidden="1"/>
    <cellStyle name="제목 1 4" xfId="39976" hidden="1"/>
    <cellStyle name="제목 1 4" xfId="40016" hidden="1"/>
    <cellStyle name="제목 1 4" xfId="40056" hidden="1"/>
    <cellStyle name="제목 1 4" xfId="40096" hidden="1"/>
    <cellStyle name="제목 1 4" xfId="40136" hidden="1"/>
    <cellStyle name="제목 1 4" xfId="40220" hidden="1"/>
    <cellStyle name="제목 1 4" xfId="40260" hidden="1"/>
    <cellStyle name="제목 1 4" xfId="40302" hidden="1"/>
    <cellStyle name="제목 1 4" xfId="40344" hidden="1"/>
    <cellStyle name="제목 1 4" xfId="40386" hidden="1"/>
    <cellStyle name="제목 1 4" xfId="40428" hidden="1"/>
    <cellStyle name="제목 1 4" xfId="40470" hidden="1"/>
    <cellStyle name="제목 1 4" xfId="40512" hidden="1"/>
    <cellStyle name="제목 1 4" xfId="40554" hidden="1"/>
    <cellStyle name="제목 1 4" xfId="40596" hidden="1"/>
    <cellStyle name="제목 1 4" xfId="40638" hidden="1"/>
    <cellStyle name="제목 1 4" xfId="40680" hidden="1"/>
    <cellStyle name="제목 1 4" xfId="40176" hidden="1"/>
    <cellStyle name="제목 1 4" xfId="40860" hidden="1"/>
    <cellStyle name="제목 1 4" xfId="40900" hidden="1"/>
    <cellStyle name="제목 1 4" xfId="40940" hidden="1"/>
    <cellStyle name="제목 1 4" xfId="40980" hidden="1"/>
    <cellStyle name="제목 1 4" xfId="41020" hidden="1"/>
    <cellStyle name="제목 1 4" xfId="41060" hidden="1"/>
    <cellStyle name="제목 1 4" xfId="41100" hidden="1"/>
    <cellStyle name="제목 1 4" xfId="41140" hidden="1"/>
    <cellStyle name="제목 1 4" xfId="41180" hidden="1"/>
    <cellStyle name="제목 1 4" xfId="41220" hidden="1"/>
    <cellStyle name="제목 1 4" xfId="41260" hidden="1"/>
    <cellStyle name="제목 1 4" xfId="41300" hidden="1"/>
    <cellStyle name="제목 1 4" xfId="40800" hidden="1"/>
    <cellStyle name="제목 1 4" xfId="40761" hidden="1"/>
    <cellStyle name="제목 1 4" xfId="41341" hidden="1"/>
    <cellStyle name="제목 1 4" xfId="41383" hidden="1"/>
    <cellStyle name="제목 1 4" xfId="41425" hidden="1"/>
    <cellStyle name="제목 1 4" xfId="41467" hidden="1"/>
    <cellStyle name="제목 1 4" xfId="41509" hidden="1"/>
    <cellStyle name="제목 1 4" xfId="41551" hidden="1"/>
    <cellStyle name="제목 1 4" xfId="41593" hidden="1"/>
    <cellStyle name="제목 1 4" xfId="41635" hidden="1"/>
    <cellStyle name="제목 1 4" xfId="41677" hidden="1"/>
    <cellStyle name="제목 1 4" xfId="41719" hidden="1"/>
    <cellStyle name="제목 1 4" xfId="40854" hidden="1"/>
    <cellStyle name="제목 1 4" xfId="40805" hidden="1"/>
    <cellStyle name="제목 1 4" xfId="41788" hidden="1"/>
    <cellStyle name="제목 1 4" xfId="41828" hidden="1"/>
    <cellStyle name="제목 1 4" xfId="41868" hidden="1"/>
    <cellStyle name="제목 1 4" xfId="41908" hidden="1"/>
    <cellStyle name="제목 1 4" xfId="41948" hidden="1"/>
    <cellStyle name="제목 1 4" xfId="41988" hidden="1"/>
    <cellStyle name="제목 1 4" xfId="42028" hidden="1"/>
    <cellStyle name="제목 1 4" xfId="42068" hidden="1"/>
    <cellStyle name="제목 1 4" xfId="42108" hidden="1"/>
    <cellStyle name="제목 1 4" xfId="42148" hidden="1"/>
    <cellStyle name="제목 1 4" xfId="42188" hidden="1"/>
    <cellStyle name="제목 1 4" xfId="42231" hidden="1"/>
    <cellStyle name="제목 1 4" xfId="42271" hidden="1"/>
    <cellStyle name="제목 1 4" xfId="42311" hidden="1"/>
    <cellStyle name="제목 1 4" xfId="42351" hidden="1"/>
    <cellStyle name="제목 1 4" xfId="42391" hidden="1"/>
    <cellStyle name="제목 1 4" xfId="42431" hidden="1"/>
    <cellStyle name="제목 1 4" xfId="42471" hidden="1"/>
    <cellStyle name="제목 1 4" xfId="42511" hidden="1"/>
    <cellStyle name="제목 1 4" xfId="42551" hidden="1"/>
    <cellStyle name="제목 1 4" xfId="42591" hidden="1"/>
    <cellStyle name="제목 1 4" xfId="42631" hidden="1"/>
    <cellStyle name="제목 1 4" xfId="42671" hidden="1"/>
    <cellStyle name="제목 1 4" xfId="42755" hidden="1"/>
    <cellStyle name="제목 1 4" xfId="42795" hidden="1"/>
    <cellStyle name="제목 1 4" xfId="42837" hidden="1"/>
    <cellStyle name="제목 1 4" xfId="42879" hidden="1"/>
    <cellStyle name="제목 1 4" xfId="42921" hidden="1"/>
    <cellStyle name="제목 1 4" xfId="42963" hidden="1"/>
    <cellStyle name="제목 1 4" xfId="43005" hidden="1"/>
    <cellStyle name="제목 1 4" xfId="43047" hidden="1"/>
    <cellStyle name="제목 1 4" xfId="43089" hidden="1"/>
    <cellStyle name="제목 1 4" xfId="43131" hidden="1"/>
    <cellStyle name="제목 1 4" xfId="43173" hidden="1"/>
    <cellStyle name="제목 1 4" xfId="43215" hidden="1"/>
    <cellStyle name="제목 1 4" xfId="42711" hidden="1"/>
    <cellStyle name="제목 1 4" xfId="43395" hidden="1"/>
    <cellStyle name="제목 1 4" xfId="43435" hidden="1"/>
    <cellStyle name="제목 1 4" xfId="43475" hidden="1"/>
    <cellStyle name="제목 1 4" xfId="43515" hidden="1"/>
    <cellStyle name="제목 1 4" xfId="43555" hidden="1"/>
    <cellStyle name="제목 1 4" xfId="43595" hidden="1"/>
    <cellStyle name="제목 1 4" xfId="43635" hidden="1"/>
    <cellStyle name="제목 1 4" xfId="43675" hidden="1"/>
    <cellStyle name="제목 1 4" xfId="43715" hidden="1"/>
    <cellStyle name="제목 1 4" xfId="43755" hidden="1"/>
    <cellStyle name="제목 1 4" xfId="43795" hidden="1"/>
    <cellStyle name="제목 1 4" xfId="43835" hidden="1"/>
    <cellStyle name="제목 1 4" xfId="43335" hidden="1"/>
    <cellStyle name="제목 1 4" xfId="43296" hidden="1"/>
    <cellStyle name="제목 1 4" xfId="43876" hidden="1"/>
    <cellStyle name="제목 1 4" xfId="43918" hidden="1"/>
    <cellStyle name="제목 1 4" xfId="43960" hidden="1"/>
    <cellStyle name="제목 1 4" xfId="44002" hidden="1"/>
    <cellStyle name="제목 1 4" xfId="44044" hidden="1"/>
    <cellStyle name="제목 1 4" xfId="44086" hidden="1"/>
    <cellStyle name="제목 1 4" xfId="44128" hidden="1"/>
    <cellStyle name="제목 1 4" xfId="44170" hidden="1"/>
    <cellStyle name="제목 1 4" xfId="44212" hidden="1"/>
    <cellStyle name="제목 1 4" xfId="44254" hidden="1"/>
    <cellStyle name="제목 1 4" xfId="43389" hidden="1"/>
    <cellStyle name="제목 1 4" xfId="43340" hidden="1"/>
    <cellStyle name="제목 1 4" xfId="44323" hidden="1"/>
    <cellStyle name="제목 1 4" xfId="44363" hidden="1"/>
    <cellStyle name="제목 1 4" xfId="44403" hidden="1"/>
    <cellStyle name="제목 1 4" xfId="44443" hidden="1"/>
    <cellStyle name="제목 1 4" xfId="44483" hidden="1"/>
    <cellStyle name="제목 1 4" xfId="44523" hidden="1"/>
    <cellStyle name="제목 1 4" xfId="44563" hidden="1"/>
    <cellStyle name="제목 1 4" xfId="44603" hidden="1"/>
    <cellStyle name="제목 1 4" xfId="44643" hidden="1"/>
    <cellStyle name="제목 1 4" xfId="44683" hidden="1"/>
    <cellStyle name="제목 1 4" xfId="44723" hidden="1"/>
    <cellStyle name="제목 1 4" xfId="44819" hidden="1"/>
    <cellStyle name="제목 1 4" xfId="44859" hidden="1"/>
    <cellStyle name="제목 1 4" xfId="44900" hidden="1"/>
    <cellStyle name="제목 1 4" xfId="44942" hidden="1"/>
    <cellStyle name="제목 1 4" xfId="44982" hidden="1"/>
    <cellStyle name="제목 1 4" xfId="45022" hidden="1"/>
    <cellStyle name="제목 1 4" xfId="45062" hidden="1"/>
    <cellStyle name="제목 1 4" xfId="45102" hidden="1"/>
    <cellStyle name="제목 1 4" xfId="45142" hidden="1"/>
    <cellStyle name="제목 1 4" xfId="45182" hidden="1"/>
    <cellStyle name="제목 1 4" xfId="45222" hidden="1"/>
    <cellStyle name="제목 1 4" xfId="45262" hidden="1"/>
    <cellStyle name="제목 1 4" xfId="45346" hidden="1"/>
    <cellStyle name="제목 1 4" xfId="45386" hidden="1"/>
    <cellStyle name="제목 1 4" xfId="45428" hidden="1"/>
    <cellStyle name="제목 1 4" xfId="45470" hidden="1"/>
    <cellStyle name="제목 1 4" xfId="45512" hidden="1"/>
    <cellStyle name="제목 1 4" xfId="45554" hidden="1"/>
    <cellStyle name="제목 1 4" xfId="45596" hidden="1"/>
    <cellStyle name="제목 1 4" xfId="45638" hidden="1"/>
    <cellStyle name="제목 1 4" xfId="45680" hidden="1"/>
    <cellStyle name="제목 1 4" xfId="45722" hidden="1"/>
    <cellStyle name="제목 1 4" xfId="45764" hidden="1"/>
    <cellStyle name="제목 1 4" xfId="45806" hidden="1"/>
    <cellStyle name="제목 1 4" xfId="45302" hidden="1"/>
    <cellStyle name="제목 1 4" xfId="45986" hidden="1"/>
    <cellStyle name="제목 1 4" xfId="46026" hidden="1"/>
    <cellStyle name="제목 1 4" xfId="46066" hidden="1"/>
    <cellStyle name="제목 1 4" xfId="46106" hidden="1"/>
    <cellStyle name="제목 1 4" xfId="46146" hidden="1"/>
    <cellStyle name="제목 1 4" xfId="46186" hidden="1"/>
    <cellStyle name="제목 1 4" xfId="46226" hidden="1"/>
    <cellStyle name="제목 1 4" xfId="46266" hidden="1"/>
    <cellStyle name="제목 1 4" xfId="46306" hidden="1"/>
    <cellStyle name="제목 1 4" xfId="46346" hidden="1"/>
    <cellStyle name="제목 1 4" xfId="46386" hidden="1"/>
    <cellStyle name="제목 1 4" xfId="46426" hidden="1"/>
    <cellStyle name="제목 1 4" xfId="45926" hidden="1"/>
    <cellStyle name="제목 1 4" xfId="45887" hidden="1"/>
    <cellStyle name="제목 1 4" xfId="46467" hidden="1"/>
    <cellStyle name="제목 1 4" xfId="46509" hidden="1"/>
    <cellStyle name="제목 1 4" xfId="46551" hidden="1"/>
    <cellStyle name="제목 1 4" xfId="46593" hidden="1"/>
    <cellStyle name="제목 1 4" xfId="46635" hidden="1"/>
    <cellStyle name="제목 1 4" xfId="46677" hidden="1"/>
    <cellStyle name="제목 1 4" xfId="46719" hidden="1"/>
    <cellStyle name="제목 1 4" xfId="46761" hidden="1"/>
    <cellStyle name="제목 1 4" xfId="46803" hidden="1"/>
    <cellStyle name="제목 1 4" xfId="46845" hidden="1"/>
    <cellStyle name="제목 1 4" xfId="45980" hidden="1"/>
    <cellStyle name="제목 1 4" xfId="45931" hidden="1"/>
    <cellStyle name="제목 1 4" xfId="46914" hidden="1"/>
    <cellStyle name="제목 1 4" xfId="46954" hidden="1"/>
    <cellStyle name="제목 1 4" xfId="46994" hidden="1"/>
    <cellStyle name="제목 1 4" xfId="47034" hidden="1"/>
    <cellStyle name="제목 1 4" xfId="47074" hidden="1"/>
    <cellStyle name="제목 1 4" xfId="47114" hidden="1"/>
    <cellStyle name="제목 1 4" xfId="47154" hidden="1"/>
    <cellStyle name="제목 1 4" xfId="47194" hidden="1"/>
    <cellStyle name="제목 1 4" xfId="47234" hidden="1"/>
    <cellStyle name="제목 1 4" xfId="47274" hidden="1"/>
    <cellStyle name="제목 1 4" xfId="47314" hidden="1"/>
    <cellStyle name="제목 1 4" xfId="44786" hidden="1"/>
    <cellStyle name="제목 1 4" xfId="47365" hidden="1"/>
    <cellStyle name="제목 1 4" xfId="47405" hidden="1"/>
    <cellStyle name="제목 1 4" xfId="47445" hidden="1"/>
    <cellStyle name="제목 1 4" xfId="47485" hidden="1"/>
    <cellStyle name="제목 1 4" xfId="47525" hidden="1"/>
    <cellStyle name="제목 1 4" xfId="47565" hidden="1"/>
    <cellStyle name="제목 1 4" xfId="47605" hidden="1"/>
    <cellStyle name="제목 1 4" xfId="47645" hidden="1"/>
    <cellStyle name="제목 1 4" xfId="47685" hidden="1"/>
    <cellStyle name="제목 1 4" xfId="47725" hidden="1"/>
    <cellStyle name="제목 1 4" xfId="47765" hidden="1"/>
    <cellStyle name="제목 1 4" xfId="47849" hidden="1"/>
    <cellStyle name="제목 1 4" xfId="47889" hidden="1"/>
    <cellStyle name="제목 1 4" xfId="47931" hidden="1"/>
    <cellStyle name="제목 1 4" xfId="47973" hidden="1"/>
    <cellStyle name="제목 1 4" xfId="48015" hidden="1"/>
    <cellStyle name="제목 1 4" xfId="48057" hidden="1"/>
    <cellStyle name="제목 1 4" xfId="48099" hidden="1"/>
    <cellStyle name="제목 1 4" xfId="48141" hidden="1"/>
    <cellStyle name="제목 1 4" xfId="48183" hidden="1"/>
    <cellStyle name="제목 1 4" xfId="48225" hidden="1"/>
    <cellStyle name="제목 1 4" xfId="48267" hidden="1"/>
    <cellStyle name="제목 1 4" xfId="48309" hidden="1"/>
    <cellStyle name="제목 1 4" xfId="47805" hidden="1"/>
    <cellStyle name="제목 1 4" xfId="48489" hidden="1"/>
    <cellStyle name="제목 1 4" xfId="48529" hidden="1"/>
    <cellStyle name="제목 1 4" xfId="48569" hidden="1"/>
    <cellStyle name="제목 1 4" xfId="48609" hidden="1"/>
    <cellStyle name="제목 1 4" xfId="48649" hidden="1"/>
    <cellStyle name="제목 1 4" xfId="48689" hidden="1"/>
    <cellStyle name="제목 1 4" xfId="48729" hidden="1"/>
    <cellStyle name="제목 1 4" xfId="48769" hidden="1"/>
    <cellStyle name="제목 1 4" xfId="48809" hidden="1"/>
    <cellStyle name="제목 1 4" xfId="48849" hidden="1"/>
    <cellStyle name="제목 1 4" xfId="48889" hidden="1"/>
    <cellStyle name="제목 1 4" xfId="48929" hidden="1"/>
    <cellStyle name="제목 1 4" xfId="48429" hidden="1"/>
    <cellStyle name="제목 1 4" xfId="48390" hidden="1"/>
    <cellStyle name="제목 1 4" xfId="48970" hidden="1"/>
    <cellStyle name="제목 1 4" xfId="49012" hidden="1"/>
    <cellStyle name="제목 1 4" xfId="49054" hidden="1"/>
    <cellStyle name="제목 1 4" xfId="49096" hidden="1"/>
    <cellStyle name="제목 1 4" xfId="49138" hidden="1"/>
    <cellStyle name="제목 1 4" xfId="49180" hidden="1"/>
    <cellStyle name="제목 1 4" xfId="49222" hidden="1"/>
    <cellStyle name="제목 1 4" xfId="49264" hidden="1"/>
    <cellStyle name="제목 1 4" xfId="49306" hidden="1"/>
    <cellStyle name="제목 1 4" xfId="49348" hidden="1"/>
    <cellStyle name="제목 1 4" xfId="48483" hidden="1"/>
    <cellStyle name="제목 1 4" xfId="48434" hidden="1"/>
    <cellStyle name="제목 1 4" xfId="49417" hidden="1"/>
    <cellStyle name="제목 1 4" xfId="49457" hidden="1"/>
    <cellStyle name="제목 1 4" xfId="49497" hidden="1"/>
    <cellStyle name="제목 1 4" xfId="49537" hidden="1"/>
    <cellStyle name="제목 1 4" xfId="49577" hidden="1"/>
    <cellStyle name="제목 1 4" xfId="49617" hidden="1"/>
    <cellStyle name="제목 1 4" xfId="49657" hidden="1"/>
    <cellStyle name="제목 1 4" xfId="49697" hidden="1"/>
    <cellStyle name="제목 1 4" xfId="49737" hidden="1"/>
    <cellStyle name="제목 1 4" xfId="49777" hidden="1"/>
    <cellStyle name="제목 1 4" xfId="49817" hidden="1"/>
    <cellStyle name="제목 1 4" xfId="44789" hidden="1"/>
    <cellStyle name="제목 1 4" xfId="49867" hidden="1"/>
    <cellStyle name="제목 1 4" xfId="49907" hidden="1"/>
    <cellStyle name="제목 1 4" xfId="49947" hidden="1"/>
    <cellStyle name="제목 1 4" xfId="49987" hidden="1"/>
    <cellStyle name="제목 1 4" xfId="50027" hidden="1"/>
    <cellStyle name="제목 1 4" xfId="50067" hidden="1"/>
    <cellStyle name="제목 1 4" xfId="50107" hidden="1"/>
    <cellStyle name="제목 1 4" xfId="50147" hidden="1"/>
    <cellStyle name="제목 1 4" xfId="50187" hidden="1"/>
    <cellStyle name="제목 1 4" xfId="50227" hidden="1"/>
    <cellStyle name="제목 1 4" xfId="50267" hidden="1"/>
    <cellStyle name="제목 1 4" xfId="50351" hidden="1"/>
    <cellStyle name="제목 1 4" xfId="50391" hidden="1"/>
    <cellStyle name="제목 1 4" xfId="50433" hidden="1"/>
    <cellStyle name="제목 1 4" xfId="50475" hidden="1"/>
    <cellStyle name="제목 1 4" xfId="50517" hidden="1"/>
    <cellStyle name="제목 1 4" xfId="50559" hidden="1"/>
    <cellStyle name="제목 1 4" xfId="50601" hidden="1"/>
    <cellStyle name="제목 1 4" xfId="50643" hidden="1"/>
    <cellStyle name="제목 1 4" xfId="50685" hidden="1"/>
    <cellStyle name="제목 1 4" xfId="50727" hidden="1"/>
    <cellStyle name="제목 1 4" xfId="50769" hidden="1"/>
    <cellStyle name="제목 1 4" xfId="50811" hidden="1"/>
    <cellStyle name="제목 1 4" xfId="50307" hidden="1"/>
    <cellStyle name="제목 1 4" xfId="50991" hidden="1"/>
    <cellStyle name="제목 1 4" xfId="51031" hidden="1"/>
    <cellStyle name="제목 1 4" xfId="51071" hidden="1"/>
    <cellStyle name="제목 1 4" xfId="51111" hidden="1"/>
    <cellStyle name="제목 1 4" xfId="51151" hidden="1"/>
    <cellStyle name="제목 1 4" xfId="51191" hidden="1"/>
    <cellStyle name="제목 1 4" xfId="51231" hidden="1"/>
    <cellStyle name="제목 1 4" xfId="51271" hidden="1"/>
    <cellStyle name="제목 1 4" xfId="51311" hidden="1"/>
    <cellStyle name="제목 1 4" xfId="51351" hidden="1"/>
    <cellStyle name="제목 1 4" xfId="51391" hidden="1"/>
    <cellStyle name="제목 1 4" xfId="51431" hidden="1"/>
    <cellStyle name="제목 1 4" xfId="50931" hidden="1"/>
    <cellStyle name="제목 1 4" xfId="50892" hidden="1"/>
    <cellStyle name="제목 1 4" xfId="51472" hidden="1"/>
    <cellStyle name="제목 1 4" xfId="51514" hidden="1"/>
    <cellStyle name="제목 1 4" xfId="51556" hidden="1"/>
    <cellStyle name="제목 1 4" xfId="51598" hidden="1"/>
    <cellStyle name="제목 1 4" xfId="51640" hidden="1"/>
    <cellStyle name="제목 1 4" xfId="51682" hidden="1"/>
    <cellStyle name="제목 1 4" xfId="51724" hidden="1"/>
    <cellStyle name="제목 1 4" xfId="51766" hidden="1"/>
    <cellStyle name="제목 1 4" xfId="51808" hidden="1"/>
    <cellStyle name="제목 1 4" xfId="51850" hidden="1"/>
    <cellStyle name="제목 1 4" xfId="50985" hidden="1"/>
    <cellStyle name="제목 1 4" xfId="50936" hidden="1"/>
    <cellStyle name="제목 1 4" xfId="51919" hidden="1"/>
    <cellStyle name="제목 1 4" xfId="51959" hidden="1"/>
    <cellStyle name="제목 1 4" xfId="51999" hidden="1"/>
    <cellStyle name="제목 1 4" xfId="52039" hidden="1"/>
    <cellStyle name="제목 1 4" xfId="52079" hidden="1"/>
    <cellStyle name="제목 1 4" xfId="52119" hidden="1"/>
    <cellStyle name="제목 1 4" xfId="52159" hidden="1"/>
    <cellStyle name="제목 1 4" xfId="52199" hidden="1"/>
    <cellStyle name="제목 1 4" xfId="52239" hidden="1"/>
    <cellStyle name="제목 1 4" xfId="52279" hidden="1"/>
    <cellStyle name="제목 1 4" xfId="52319" hidden="1"/>
    <cellStyle name="제목 1 4 2" xfId="7529"/>
    <cellStyle name="제목 1 4 3" xfId="7530"/>
    <cellStyle name="제목 1 4 4" xfId="7531"/>
    <cellStyle name="제목 1 4 5" xfId="7532"/>
    <cellStyle name="제목 1 40" xfId="7533"/>
    <cellStyle name="제목 1 41" xfId="7534"/>
    <cellStyle name="제목 1 42" xfId="7535"/>
    <cellStyle name="제목 1 43" xfId="7536"/>
    <cellStyle name="제목 1 44" xfId="7537"/>
    <cellStyle name="제목 1 45" xfId="7538"/>
    <cellStyle name="제목 1 46" xfId="7539"/>
    <cellStyle name="제목 1 47" xfId="7540"/>
    <cellStyle name="제목 1 48" xfId="7541"/>
    <cellStyle name="제목 1 49" xfId="7542"/>
    <cellStyle name="제목 1 5" xfId="7543"/>
    <cellStyle name="제목 1 50" xfId="7544"/>
    <cellStyle name="제목 1 51" xfId="7545"/>
    <cellStyle name="제목 1 52" xfId="7546"/>
    <cellStyle name="제목 1 6" xfId="7547"/>
    <cellStyle name="제목 1 7" xfId="7548"/>
    <cellStyle name="제목 1 8" xfId="7549"/>
    <cellStyle name="제목 1 9" xfId="7550"/>
    <cellStyle name="제목 10" xfId="7551"/>
    <cellStyle name="제목 11" xfId="7552"/>
    <cellStyle name="제목 12" xfId="7553"/>
    <cellStyle name="제목 13" xfId="7554"/>
    <cellStyle name="제목 14" xfId="7555"/>
    <cellStyle name="제목 15" xfId="7556"/>
    <cellStyle name="제목 16" xfId="7557"/>
    <cellStyle name="제목 17" xfId="7558"/>
    <cellStyle name="제목 18" xfId="7559"/>
    <cellStyle name="제목 19" xfId="7560"/>
    <cellStyle name="제목 2 10" xfId="7561"/>
    <cellStyle name="제목 2 11" xfId="7562"/>
    <cellStyle name="제목 2 12" xfId="7563"/>
    <cellStyle name="제목 2 13" xfId="7564"/>
    <cellStyle name="제목 2 14" xfId="7565"/>
    <cellStyle name="제목 2 15" xfId="7566"/>
    <cellStyle name="제목 2 16" xfId="7567"/>
    <cellStyle name="제목 2 17" xfId="7568"/>
    <cellStyle name="제목 2 18" xfId="7569"/>
    <cellStyle name="제목 2 19" xfId="7570"/>
    <cellStyle name="제목 2 2" xfId="390"/>
    <cellStyle name="제목 2 2 10" xfId="7571"/>
    <cellStyle name="제목 2 2 100" xfId="7572"/>
    <cellStyle name="제목 2 2 101" xfId="7573"/>
    <cellStyle name="제목 2 2 102" xfId="7574"/>
    <cellStyle name="제목 2 2 103" xfId="7575"/>
    <cellStyle name="제목 2 2 104" xfId="7576"/>
    <cellStyle name="제목 2 2 105" xfId="7577"/>
    <cellStyle name="제목 2 2 106" xfId="7578"/>
    <cellStyle name="제목 2 2 107" xfId="7579"/>
    <cellStyle name="제목 2 2 108" xfId="7580"/>
    <cellStyle name="제목 2 2 109" xfId="7581"/>
    <cellStyle name="제목 2 2 11" xfId="7582"/>
    <cellStyle name="제목 2 2 110" xfId="7583"/>
    <cellStyle name="제목 2 2 111" xfId="7584"/>
    <cellStyle name="제목 2 2 112" xfId="7585"/>
    <cellStyle name="제목 2 2 12" xfId="7586"/>
    <cellStyle name="제목 2 2 13" xfId="7587"/>
    <cellStyle name="제목 2 2 14" xfId="7588"/>
    <cellStyle name="제목 2 2 15" xfId="7589"/>
    <cellStyle name="제목 2 2 16" xfId="7590"/>
    <cellStyle name="제목 2 2 17" xfId="7591"/>
    <cellStyle name="제목 2 2 18" xfId="7592"/>
    <cellStyle name="제목 2 2 19" xfId="7593"/>
    <cellStyle name="제목 2 2 2" xfId="7594"/>
    <cellStyle name="제목 2 2 2 2" xfId="7595"/>
    <cellStyle name="제목 2 2 2 3" xfId="7596"/>
    <cellStyle name="제목 2 2 2 4" xfId="7597"/>
    <cellStyle name="제목 2 2 2 5" xfId="7598"/>
    <cellStyle name="제목 2 2 20" xfId="7599"/>
    <cellStyle name="제목 2 2 21" xfId="7600"/>
    <cellStyle name="제목 2 2 22" xfId="7601"/>
    <cellStyle name="제목 2 2 23" xfId="7602"/>
    <cellStyle name="제목 2 2 24" xfId="7603"/>
    <cellStyle name="제목 2 2 25" xfId="7604"/>
    <cellStyle name="제목 2 2 26" xfId="7605"/>
    <cellStyle name="제목 2 2 27" xfId="7606"/>
    <cellStyle name="제목 2 2 28" xfId="7607"/>
    <cellStyle name="제목 2 2 29" xfId="7608"/>
    <cellStyle name="제목 2 2 3" xfId="7609"/>
    <cellStyle name="제목 2 2 30" xfId="7610"/>
    <cellStyle name="제목 2 2 31" xfId="7611"/>
    <cellStyle name="제목 2 2 32" xfId="7612"/>
    <cellStyle name="제목 2 2 33" xfId="7613"/>
    <cellStyle name="제목 2 2 34" xfId="7614"/>
    <cellStyle name="제목 2 2 35" xfId="7615"/>
    <cellStyle name="제목 2 2 36" xfId="7616"/>
    <cellStyle name="제목 2 2 37" xfId="7617"/>
    <cellStyle name="제목 2 2 38" xfId="7618"/>
    <cellStyle name="제목 2 2 39" xfId="7619"/>
    <cellStyle name="제목 2 2 4" xfId="7620"/>
    <cellStyle name="제목 2 2 40" xfId="7621"/>
    <cellStyle name="제목 2 2 41" xfId="7622"/>
    <cellStyle name="제목 2 2 42" xfId="7623"/>
    <cellStyle name="제목 2 2 43" xfId="7624"/>
    <cellStyle name="제목 2 2 44" xfId="7625"/>
    <cellStyle name="제목 2 2 45" xfId="7626"/>
    <cellStyle name="제목 2 2 46" xfId="7627"/>
    <cellStyle name="제목 2 2 47" xfId="7628"/>
    <cellStyle name="제목 2 2 48" xfId="7629"/>
    <cellStyle name="제목 2 2 49" xfId="7630"/>
    <cellStyle name="제목 2 2 5" xfId="7631"/>
    <cellStyle name="제목 2 2 50" xfId="7632"/>
    <cellStyle name="제목 2 2 51" xfId="7633"/>
    <cellStyle name="제목 2 2 52" xfId="7634"/>
    <cellStyle name="제목 2 2 53" xfId="7635"/>
    <cellStyle name="제목 2 2 54" xfId="7636"/>
    <cellStyle name="제목 2 2 55" xfId="7637"/>
    <cellStyle name="제목 2 2 56" xfId="7638"/>
    <cellStyle name="제목 2 2 57" xfId="7639"/>
    <cellStyle name="제목 2 2 58" xfId="7640"/>
    <cellStyle name="제목 2 2 59" xfId="7641"/>
    <cellStyle name="제목 2 2 6" xfId="7642"/>
    <cellStyle name="제목 2 2 60" xfId="7643"/>
    <cellStyle name="제목 2 2 61" xfId="7644"/>
    <cellStyle name="제목 2 2 62" xfId="7645"/>
    <cellStyle name="제목 2 2 63" xfId="7646"/>
    <cellStyle name="제목 2 2 64" xfId="7647"/>
    <cellStyle name="제목 2 2 65" xfId="7648"/>
    <cellStyle name="제목 2 2 66" xfId="7649"/>
    <cellStyle name="제목 2 2 67" xfId="7650"/>
    <cellStyle name="제목 2 2 68" xfId="7651"/>
    <cellStyle name="제목 2 2 69" xfId="7652"/>
    <cellStyle name="제목 2 2 7" xfId="7653"/>
    <cellStyle name="제목 2 2 70" xfId="7654"/>
    <cellStyle name="제목 2 2 71" xfId="7655"/>
    <cellStyle name="제목 2 2 72" xfId="7656"/>
    <cellStyle name="제목 2 2 73" xfId="7657"/>
    <cellStyle name="제목 2 2 74" xfId="7658"/>
    <cellStyle name="제목 2 2 75" xfId="7659"/>
    <cellStyle name="제목 2 2 76" xfId="7660"/>
    <cellStyle name="제목 2 2 77" xfId="7661"/>
    <cellStyle name="제목 2 2 78" xfId="7662"/>
    <cellStyle name="제목 2 2 79" xfId="7663"/>
    <cellStyle name="제목 2 2 8" xfId="7664"/>
    <cellStyle name="제목 2 2 80" xfId="7665"/>
    <cellStyle name="제목 2 2 81" xfId="7666"/>
    <cellStyle name="제목 2 2 82" xfId="7667"/>
    <cellStyle name="제목 2 2 83" xfId="7668"/>
    <cellStyle name="제목 2 2 84" xfId="7669"/>
    <cellStyle name="제목 2 2 85" xfId="7670"/>
    <cellStyle name="제목 2 2 86" xfId="7671"/>
    <cellStyle name="제목 2 2 87" xfId="7672"/>
    <cellStyle name="제목 2 2 88" xfId="7673"/>
    <cellStyle name="제목 2 2 89" xfId="7674"/>
    <cellStyle name="제목 2 2 9" xfId="7675"/>
    <cellStyle name="제목 2 2 90" xfId="7676"/>
    <cellStyle name="제목 2 2 91" xfId="7677"/>
    <cellStyle name="제목 2 2 92" xfId="7678"/>
    <cellStyle name="제목 2 2 93" xfId="7679"/>
    <cellStyle name="제목 2 2 94" xfId="7680"/>
    <cellStyle name="제목 2 2 95" xfId="7681"/>
    <cellStyle name="제목 2 2 96" xfId="7682"/>
    <cellStyle name="제목 2 2 97" xfId="7683"/>
    <cellStyle name="제목 2 2 98" xfId="7684"/>
    <cellStyle name="제목 2 2 99" xfId="7685"/>
    <cellStyle name="제목 2 20" xfId="7686"/>
    <cellStyle name="제목 2 21" xfId="7687"/>
    <cellStyle name="제목 2 22" xfId="7688"/>
    <cellStyle name="제목 2 23" xfId="7689"/>
    <cellStyle name="제목 2 24" xfId="7690"/>
    <cellStyle name="제목 2 25" xfId="7691"/>
    <cellStyle name="제목 2 26" xfId="7692"/>
    <cellStyle name="제목 2 27" xfId="7693"/>
    <cellStyle name="제목 2 28" xfId="7694"/>
    <cellStyle name="제목 2 29" xfId="7695"/>
    <cellStyle name="제목 2 3" xfId="391"/>
    <cellStyle name="제목 2 30" xfId="7696"/>
    <cellStyle name="제목 2 31" xfId="7697"/>
    <cellStyle name="제목 2 32" xfId="7698"/>
    <cellStyle name="제목 2 33" xfId="7699"/>
    <cellStyle name="제목 2 34" xfId="7700"/>
    <cellStyle name="제목 2 35" xfId="7701"/>
    <cellStyle name="제목 2 36" xfId="7702"/>
    <cellStyle name="제목 2 37" xfId="7703"/>
    <cellStyle name="제목 2 38" xfId="7704"/>
    <cellStyle name="제목 2 39" xfId="7705"/>
    <cellStyle name="제목 2 4" xfId="11710" hidden="1"/>
    <cellStyle name="제목 2 4" xfId="11756" hidden="1"/>
    <cellStyle name="제목 2 4" xfId="11802" hidden="1"/>
    <cellStyle name="제목 2 4" xfId="11848" hidden="1"/>
    <cellStyle name="제목 2 4" xfId="11894" hidden="1"/>
    <cellStyle name="제목 2 4" xfId="11940" hidden="1"/>
    <cellStyle name="제목 2 4" xfId="11986" hidden="1"/>
    <cellStyle name="제목 2 4" xfId="12032" hidden="1"/>
    <cellStyle name="제목 2 4" xfId="12078" hidden="1"/>
    <cellStyle name="제목 2 4" xfId="12124" hidden="1"/>
    <cellStyle name="제목 2 4" xfId="12170" hidden="1"/>
    <cellStyle name="제목 2 4" xfId="12216" hidden="1"/>
    <cellStyle name="제목 2 4" xfId="12306" hidden="1"/>
    <cellStyle name="제목 2 4" xfId="12346" hidden="1"/>
    <cellStyle name="제목 2 4" xfId="12388" hidden="1"/>
    <cellStyle name="제목 2 4" xfId="12430" hidden="1"/>
    <cellStyle name="제목 2 4" xfId="12472" hidden="1"/>
    <cellStyle name="제목 2 4" xfId="12514" hidden="1"/>
    <cellStyle name="제목 2 4" xfId="12556" hidden="1"/>
    <cellStyle name="제목 2 4" xfId="12598" hidden="1"/>
    <cellStyle name="제목 2 4" xfId="12640" hidden="1"/>
    <cellStyle name="제목 2 4" xfId="12682" hidden="1"/>
    <cellStyle name="제목 2 4" xfId="12724" hidden="1"/>
    <cellStyle name="제목 2 4" xfId="12766" hidden="1"/>
    <cellStyle name="제목 2 4" xfId="12260" hidden="1"/>
    <cellStyle name="제목 2 4" xfId="12949" hidden="1"/>
    <cellStyle name="제목 2 4" xfId="12989" hidden="1"/>
    <cellStyle name="제목 2 4" xfId="13029" hidden="1"/>
    <cellStyle name="제목 2 4" xfId="13069" hidden="1"/>
    <cellStyle name="제목 2 4" xfId="13109" hidden="1"/>
    <cellStyle name="제목 2 4" xfId="13149" hidden="1"/>
    <cellStyle name="제목 2 4" xfId="13189" hidden="1"/>
    <cellStyle name="제목 2 4" xfId="13229" hidden="1"/>
    <cellStyle name="제목 2 4" xfId="13269" hidden="1"/>
    <cellStyle name="제목 2 4" xfId="13309" hidden="1"/>
    <cellStyle name="제목 2 4" xfId="13349" hidden="1"/>
    <cellStyle name="제목 2 4" xfId="13389" hidden="1"/>
    <cellStyle name="제목 2 4" xfId="12885" hidden="1"/>
    <cellStyle name="제목 2 4" xfId="12846" hidden="1"/>
    <cellStyle name="제목 2 4" xfId="13430" hidden="1"/>
    <cellStyle name="제목 2 4" xfId="13472" hidden="1"/>
    <cellStyle name="제목 2 4" xfId="13514" hidden="1"/>
    <cellStyle name="제목 2 4" xfId="13556" hidden="1"/>
    <cellStyle name="제목 2 4" xfId="13598" hidden="1"/>
    <cellStyle name="제목 2 4" xfId="13640" hidden="1"/>
    <cellStyle name="제목 2 4" xfId="13682" hidden="1"/>
    <cellStyle name="제목 2 4" xfId="13724" hidden="1"/>
    <cellStyle name="제목 2 4" xfId="13766" hidden="1"/>
    <cellStyle name="제목 2 4" xfId="13808" hidden="1"/>
    <cellStyle name="제목 2 4" xfId="12940" hidden="1"/>
    <cellStyle name="제목 2 4" xfId="12943" hidden="1"/>
    <cellStyle name="제목 2 4" xfId="13877" hidden="1"/>
    <cellStyle name="제목 2 4" xfId="13917" hidden="1"/>
    <cellStyle name="제목 2 4" xfId="13957" hidden="1"/>
    <cellStyle name="제목 2 4" xfId="13997" hidden="1"/>
    <cellStyle name="제목 2 4" xfId="14037" hidden="1"/>
    <cellStyle name="제목 2 4" xfId="14077" hidden="1"/>
    <cellStyle name="제목 2 4" xfId="14117" hidden="1"/>
    <cellStyle name="제목 2 4" xfId="14157" hidden="1"/>
    <cellStyle name="제목 2 4" xfId="14197" hidden="1"/>
    <cellStyle name="제목 2 4" xfId="14237" hidden="1"/>
    <cellStyle name="제목 2 4" xfId="14277" hidden="1"/>
    <cellStyle name="제목 2 4" xfId="14383" hidden="1"/>
    <cellStyle name="제목 2 4" xfId="14423" hidden="1"/>
    <cellStyle name="제목 2 4" xfId="14463" hidden="1"/>
    <cellStyle name="제목 2 4" xfId="14503" hidden="1"/>
    <cellStyle name="제목 2 4" xfId="14543" hidden="1"/>
    <cellStyle name="제목 2 4" xfId="14583" hidden="1"/>
    <cellStyle name="제목 2 4" xfId="14623" hidden="1"/>
    <cellStyle name="제목 2 4" xfId="14663" hidden="1"/>
    <cellStyle name="제목 2 4" xfId="14703" hidden="1"/>
    <cellStyle name="제목 2 4" xfId="14743" hidden="1"/>
    <cellStyle name="제목 2 4" xfId="14783" hidden="1"/>
    <cellStyle name="제목 2 4" xfId="14823" hidden="1"/>
    <cellStyle name="제목 2 4" xfId="14907" hidden="1"/>
    <cellStyle name="제목 2 4" xfId="14947" hidden="1"/>
    <cellStyle name="제목 2 4" xfId="14989" hidden="1"/>
    <cellStyle name="제목 2 4" xfId="15031" hidden="1"/>
    <cellStyle name="제목 2 4" xfId="15073" hidden="1"/>
    <cellStyle name="제목 2 4" xfId="15115" hidden="1"/>
    <cellStyle name="제목 2 4" xfId="15157" hidden="1"/>
    <cellStyle name="제목 2 4" xfId="15199" hidden="1"/>
    <cellStyle name="제목 2 4" xfId="15241" hidden="1"/>
    <cellStyle name="제목 2 4" xfId="15283" hidden="1"/>
    <cellStyle name="제목 2 4" xfId="15325" hidden="1"/>
    <cellStyle name="제목 2 4" xfId="15367" hidden="1"/>
    <cellStyle name="제목 2 4" xfId="14863" hidden="1"/>
    <cellStyle name="제목 2 4" xfId="15547" hidden="1"/>
    <cellStyle name="제목 2 4" xfId="15587" hidden="1"/>
    <cellStyle name="제목 2 4" xfId="15627" hidden="1"/>
    <cellStyle name="제목 2 4" xfId="15667" hidden="1"/>
    <cellStyle name="제목 2 4" xfId="15707" hidden="1"/>
    <cellStyle name="제목 2 4" xfId="15747" hidden="1"/>
    <cellStyle name="제목 2 4" xfId="15787" hidden="1"/>
    <cellStyle name="제목 2 4" xfId="15827" hidden="1"/>
    <cellStyle name="제목 2 4" xfId="15867" hidden="1"/>
    <cellStyle name="제목 2 4" xfId="15907" hidden="1"/>
    <cellStyle name="제목 2 4" xfId="15947" hidden="1"/>
    <cellStyle name="제목 2 4" xfId="15987" hidden="1"/>
    <cellStyle name="제목 2 4" xfId="15485" hidden="1"/>
    <cellStyle name="제목 2 4" xfId="15446" hidden="1"/>
    <cellStyle name="제목 2 4" xfId="16028" hidden="1"/>
    <cellStyle name="제목 2 4" xfId="16070" hidden="1"/>
    <cellStyle name="제목 2 4" xfId="16112" hidden="1"/>
    <cellStyle name="제목 2 4" xfId="16154" hidden="1"/>
    <cellStyle name="제목 2 4" xfId="16196" hidden="1"/>
    <cellStyle name="제목 2 4" xfId="16238" hidden="1"/>
    <cellStyle name="제목 2 4" xfId="16280" hidden="1"/>
    <cellStyle name="제목 2 4" xfId="16322" hidden="1"/>
    <cellStyle name="제목 2 4" xfId="16364" hidden="1"/>
    <cellStyle name="제목 2 4" xfId="16406" hidden="1"/>
    <cellStyle name="제목 2 4" xfId="15539" hidden="1"/>
    <cellStyle name="제목 2 4" xfId="15542" hidden="1"/>
    <cellStyle name="제목 2 4" xfId="16475" hidden="1"/>
    <cellStyle name="제목 2 4" xfId="16515" hidden="1"/>
    <cellStyle name="제목 2 4" xfId="16555" hidden="1"/>
    <cellStyle name="제목 2 4" xfId="16595" hidden="1"/>
    <cellStyle name="제목 2 4" xfId="16635" hidden="1"/>
    <cellStyle name="제목 2 4" xfId="16675" hidden="1"/>
    <cellStyle name="제목 2 4" xfId="16715" hidden="1"/>
    <cellStyle name="제목 2 4" xfId="16755" hidden="1"/>
    <cellStyle name="제목 2 4" xfId="16795" hidden="1"/>
    <cellStyle name="제목 2 4" xfId="16835" hidden="1"/>
    <cellStyle name="제목 2 4" xfId="16875" hidden="1"/>
    <cellStyle name="제목 2 4" xfId="14341" hidden="1"/>
    <cellStyle name="제목 2 4" xfId="16926" hidden="1"/>
    <cellStyle name="제목 2 4" xfId="16967" hidden="1"/>
    <cellStyle name="제목 2 4" xfId="17007" hidden="1"/>
    <cellStyle name="제목 2 4" xfId="17047" hidden="1"/>
    <cellStyle name="제목 2 4" xfId="17087" hidden="1"/>
    <cellStyle name="제목 2 4" xfId="17127" hidden="1"/>
    <cellStyle name="제목 2 4" xfId="17167" hidden="1"/>
    <cellStyle name="제목 2 4" xfId="17207" hidden="1"/>
    <cellStyle name="제목 2 4" xfId="17247" hidden="1"/>
    <cellStyle name="제목 2 4" xfId="17287" hidden="1"/>
    <cellStyle name="제목 2 4" xfId="17327" hidden="1"/>
    <cellStyle name="제목 2 4" xfId="17411" hidden="1"/>
    <cellStyle name="제목 2 4" xfId="17451" hidden="1"/>
    <cellStyle name="제목 2 4" xfId="17493" hidden="1"/>
    <cellStyle name="제목 2 4" xfId="17535" hidden="1"/>
    <cellStyle name="제목 2 4" xfId="17577" hidden="1"/>
    <cellStyle name="제목 2 4" xfId="17619" hidden="1"/>
    <cellStyle name="제목 2 4" xfId="17661" hidden="1"/>
    <cellStyle name="제목 2 4" xfId="17703" hidden="1"/>
    <cellStyle name="제목 2 4" xfId="17745" hidden="1"/>
    <cellStyle name="제목 2 4" xfId="17787" hidden="1"/>
    <cellStyle name="제목 2 4" xfId="17829" hidden="1"/>
    <cellStyle name="제목 2 4" xfId="17871" hidden="1"/>
    <cellStyle name="제목 2 4" xfId="17367" hidden="1"/>
    <cellStyle name="제목 2 4" xfId="18051" hidden="1"/>
    <cellStyle name="제목 2 4" xfId="18091" hidden="1"/>
    <cellStyle name="제목 2 4" xfId="18131" hidden="1"/>
    <cellStyle name="제목 2 4" xfId="18171" hidden="1"/>
    <cellStyle name="제목 2 4" xfId="18211" hidden="1"/>
    <cellStyle name="제목 2 4" xfId="18251" hidden="1"/>
    <cellStyle name="제목 2 4" xfId="18291" hidden="1"/>
    <cellStyle name="제목 2 4" xfId="18331" hidden="1"/>
    <cellStyle name="제목 2 4" xfId="18371" hidden="1"/>
    <cellStyle name="제목 2 4" xfId="18411" hidden="1"/>
    <cellStyle name="제목 2 4" xfId="18451" hidden="1"/>
    <cellStyle name="제목 2 4" xfId="18491" hidden="1"/>
    <cellStyle name="제목 2 4" xfId="17989" hidden="1"/>
    <cellStyle name="제목 2 4" xfId="17950" hidden="1"/>
    <cellStyle name="제목 2 4" xfId="18532" hidden="1"/>
    <cellStyle name="제목 2 4" xfId="18574" hidden="1"/>
    <cellStyle name="제목 2 4" xfId="18616" hidden="1"/>
    <cellStyle name="제목 2 4" xfId="18658" hidden="1"/>
    <cellStyle name="제목 2 4" xfId="18700" hidden="1"/>
    <cellStyle name="제목 2 4" xfId="18742" hidden="1"/>
    <cellStyle name="제목 2 4" xfId="18784" hidden="1"/>
    <cellStyle name="제목 2 4" xfId="18826" hidden="1"/>
    <cellStyle name="제목 2 4" xfId="18868" hidden="1"/>
    <cellStyle name="제목 2 4" xfId="18910" hidden="1"/>
    <cellStyle name="제목 2 4" xfId="18043" hidden="1"/>
    <cellStyle name="제목 2 4" xfId="18046" hidden="1"/>
    <cellStyle name="제목 2 4" xfId="18979" hidden="1"/>
    <cellStyle name="제목 2 4" xfId="19019" hidden="1"/>
    <cellStyle name="제목 2 4" xfId="19059" hidden="1"/>
    <cellStyle name="제목 2 4" xfId="19099" hidden="1"/>
    <cellStyle name="제목 2 4" xfId="19139" hidden="1"/>
    <cellStyle name="제목 2 4" xfId="19179" hidden="1"/>
    <cellStyle name="제목 2 4" xfId="19219" hidden="1"/>
    <cellStyle name="제목 2 4" xfId="19259" hidden="1"/>
    <cellStyle name="제목 2 4" xfId="19299" hidden="1"/>
    <cellStyle name="제목 2 4" xfId="19339" hidden="1"/>
    <cellStyle name="제목 2 4" xfId="19379" hidden="1"/>
    <cellStyle name="제목 2 4" xfId="14351" hidden="1"/>
    <cellStyle name="제목 2 4" xfId="19429" hidden="1"/>
    <cellStyle name="제목 2 4" xfId="19469" hidden="1"/>
    <cellStyle name="제목 2 4" xfId="19509" hidden="1"/>
    <cellStyle name="제목 2 4" xfId="19549" hidden="1"/>
    <cellStyle name="제목 2 4" xfId="19589" hidden="1"/>
    <cellStyle name="제목 2 4" xfId="19629" hidden="1"/>
    <cellStyle name="제목 2 4" xfId="19669" hidden="1"/>
    <cellStyle name="제목 2 4" xfId="19709" hidden="1"/>
    <cellStyle name="제목 2 4" xfId="19749" hidden="1"/>
    <cellStyle name="제목 2 4" xfId="19789" hidden="1"/>
    <cellStyle name="제목 2 4" xfId="19829" hidden="1"/>
    <cellStyle name="제목 2 4" xfId="19913" hidden="1"/>
    <cellStyle name="제목 2 4" xfId="19953" hidden="1"/>
    <cellStyle name="제목 2 4" xfId="19995" hidden="1"/>
    <cellStyle name="제목 2 4" xfId="20037" hidden="1"/>
    <cellStyle name="제목 2 4" xfId="20079" hidden="1"/>
    <cellStyle name="제목 2 4" xfId="20121" hidden="1"/>
    <cellStyle name="제목 2 4" xfId="20163" hidden="1"/>
    <cellStyle name="제목 2 4" xfId="20205" hidden="1"/>
    <cellStyle name="제목 2 4" xfId="20247" hidden="1"/>
    <cellStyle name="제목 2 4" xfId="20289" hidden="1"/>
    <cellStyle name="제목 2 4" xfId="20331" hidden="1"/>
    <cellStyle name="제목 2 4" xfId="20373" hidden="1"/>
    <cellStyle name="제목 2 4" xfId="19869" hidden="1"/>
    <cellStyle name="제목 2 4" xfId="20553" hidden="1"/>
    <cellStyle name="제목 2 4" xfId="20593" hidden="1"/>
    <cellStyle name="제목 2 4" xfId="20633" hidden="1"/>
    <cellStyle name="제목 2 4" xfId="20673" hidden="1"/>
    <cellStyle name="제목 2 4" xfId="20713" hidden="1"/>
    <cellStyle name="제목 2 4" xfId="20753" hidden="1"/>
    <cellStyle name="제목 2 4" xfId="20793" hidden="1"/>
    <cellStyle name="제목 2 4" xfId="20833" hidden="1"/>
    <cellStyle name="제목 2 4" xfId="20873" hidden="1"/>
    <cellStyle name="제목 2 4" xfId="20913" hidden="1"/>
    <cellStyle name="제목 2 4" xfId="20953" hidden="1"/>
    <cellStyle name="제목 2 4" xfId="20993" hidden="1"/>
    <cellStyle name="제목 2 4" xfId="20491" hidden="1"/>
    <cellStyle name="제목 2 4" xfId="20452" hidden="1"/>
    <cellStyle name="제목 2 4" xfId="21034" hidden="1"/>
    <cellStyle name="제목 2 4" xfId="21076" hidden="1"/>
    <cellStyle name="제목 2 4" xfId="21118" hidden="1"/>
    <cellStyle name="제목 2 4" xfId="21160" hidden="1"/>
    <cellStyle name="제목 2 4" xfId="21202" hidden="1"/>
    <cellStyle name="제목 2 4" xfId="21244" hidden="1"/>
    <cellStyle name="제목 2 4" xfId="21286" hidden="1"/>
    <cellStyle name="제목 2 4" xfId="21328" hidden="1"/>
    <cellStyle name="제목 2 4" xfId="21370" hidden="1"/>
    <cellStyle name="제목 2 4" xfId="21412" hidden="1"/>
    <cellStyle name="제목 2 4" xfId="20545" hidden="1"/>
    <cellStyle name="제목 2 4" xfId="20548" hidden="1"/>
    <cellStyle name="제목 2 4" xfId="21481" hidden="1"/>
    <cellStyle name="제목 2 4" xfId="21521" hidden="1"/>
    <cellStyle name="제목 2 4" xfId="21561" hidden="1"/>
    <cellStyle name="제목 2 4" xfId="21601" hidden="1"/>
    <cellStyle name="제목 2 4" xfId="21641" hidden="1"/>
    <cellStyle name="제목 2 4" xfId="21681" hidden="1"/>
    <cellStyle name="제목 2 4" xfId="21721" hidden="1"/>
    <cellStyle name="제목 2 4" xfId="21761" hidden="1"/>
    <cellStyle name="제목 2 4" xfId="21801" hidden="1"/>
    <cellStyle name="제목 2 4" xfId="21841" hidden="1"/>
    <cellStyle name="제목 2 4" xfId="21881" hidden="1"/>
    <cellStyle name="제목 2 4" xfId="21949" hidden="1"/>
    <cellStyle name="제목 2 4" xfId="21989" hidden="1"/>
    <cellStyle name="제목 2 4" xfId="22029" hidden="1"/>
    <cellStyle name="제목 2 4" xfId="22069" hidden="1"/>
    <cellStyle name="제목 2 4" xfId="22109" hidden="1"/>
    <cellStyle name="제목 2 4" xfId="22149" hidden="1"/>
    <cellStyle name="제목 2 4" xfId="22189" hidden="1"/>
    <cellStyle name="제목 2 4" xfId="22229" hidden="1"/>
    <cellStyle name="제목 2 4" xfId="22269" hidden="1"/>
    <cellStyle name="제목 2 4" xfId="22309" hidden="1"/>
    <cellStyle name="제목 2 4" xfId="22349" hidden="1"/>
    <cellStyle name="제목 2 4" xfId="22389" hidden="1"/>
    <cellStyle name="제목 2 4" xfId="22473" hidden="1"/>
    <cellStyle name="제목 2 4" xfId="22513" hidden="1"/>
    <cellStyle name="제목 2 4" xfId="22555" hidden="1"/>
    <cellStyle name="제목 2 4" xfId="22597" hidden="1"/>
    <cellStyle name="제목 2 4" xfId="22639" hidden="1"/>
    <cellStyle name="제목 2 4" xfId="22681" hidden="1"/>
    <cellStyle name="제목 2 4" xfId="22723" hidden="1"/>
    <cellStyle name="제목 2 4" xfId="22765" hidden="1"/>
    <cellStyle name="제목 2 4" xfId="22807" hidden="1"/>
    <cellStyle name="제목 2 4" xfId="22849" hidden="1"/>
    <cellStyle name="제목 2 4" xfId="22891" hidden="1"/>
    <cellStyle name="제목 2 4" xfId="22933" hidden="1"/>
    <cellStyle name="제목 2 4" xfId="22429" hidden="1"/>
    <cellStyle name="제목 2 4" xfId="23113" hidden="1"/>
    <cellStyle name="제목 2 4" xfId="23153" hidden="1"/>
    <cellStyle name="제목 2 4" xfId="23193" hidden="1"/>
    <cellStyle name="제목 2 4" xfId="23233" hidden="1"/>
    <cellStyle name="제목 2 4" xfId="23273" hidden="1"/>
    <cellStyle name="제목 2 4" xfId="23313" hidden="1"/>
    <cellStyle name="제목 2 4" xfId="23353" hidden="1"/>
    <cellStyle name="제목 2 4" xfId="23393" hidden="1"/>
    <cellStyle name="제목 2 4" xfId="23433" hidden="1"/>
    <cellStyle name="제목 2 4" xfId="23473" hidden="1"/>
    <cellStyle name="제목 2 4" xfId="23513" hidden="1"/>
    <cellStyle name="제목 2 4" xfId="23553" hidden="1"/>
    <cellStyle name="제목 2 4" xfId="23051" hidden="1"/>
    <cellStyle name="제목 2 4" xfId="23012" hidden="1"/>
    <cellStyle name="제목 2 4" xfId="23594" hidden="1"/>
    <cellStyle name="제목 2 4" xfId="23636" hidden="1"/>
    <cellStyle name="제목 2 4" xfId="23678" hidden="1"/>
    <cellStyle name="제목 2 4" xfId="23720" hidden="1"/>
    <cellStyle name="제목 2 4" xfId="23762" hidden="1"/>
    <cellStyle name="제목 2 4" xfId="23804" hidden="1"/>
    <cellStyle name="제목 2 4" xfId="23846" hidden="1"/>
    <cellStyle name="제목 2 4" xfId="23888" hidden="1"/>
    <cellStyle name="제목 2 4" xfId="23930" hidden="1"/>
    <cellStyle name="제목 2 4" xfId="23972" hidden="1"/>
    <cellStyle name="제목 2 4" xfId="23105" hidden="1"/>
    <cellStyle name="제목 2 4" xfId="23108" hidden="1"/>
    <cellStyle name="제목 2 4" xfId="24041" hidden="1"/>
    <cellStyle name="제목 2 4" xfId="24081" hidden="1"/>
    <cellStyle name="제목 2 4" xfId="24121" hidden="1"/>
    <cellStyle name="제목 2 4" xfId="24161" hidden="1"/>
    <cellStyle name="제목 2 4" xfId="24201" hidden="1"/>
    <cellStyle name="제목 2 4" xfId="24241" hidden="1"/>
    <cellStyle name="제목 2 4" xfId="24281" hidden="1"/>
    <cellStyle name="제목 2 4" xfId="24321" hidden="1"/>
    <cellStyle name="제목 2 4" xfId="24361" hidden="1"/>
    <cellStyle name="제목 2 4" xfId="24401" hidden="1"/>
    <cellStyle name="제목 2 4" xfId="24441" hidden="1"/>
    <cellStyle name="제목 2 4" xfId="24539" hidden="1"/>
    <cellStyle name="제목 2 4" xfId="24579" hidden="1"/>
    <cellStyle name="제목 2 4" xfId="24620" hidden="1"/>
    <cellStyle name="제목 2 4" xfId="24662" hidden="1"/>
    <cellStyle name="제목 2 4" xfId="24702" hidden="1"/>
    <cellStyle name="제목 2 4" xfId="24742" hidden="1"/>
    <cellStyle name="제목 2 4" xfId="24782" hidden="1"/>
    <cellStyle name="제목 2 4" xfId="24822" hidden="1"/>
    <cellStyle name="제목 2 4" xfId="24862" hidden="1"/>
    <cellStyle name="제목 2 4" xfId="24902" hidden="1"/>
    <cellStyle name="제목 2 4" xfId="24942" hidden="1"/>
    <cellStyle name="제목 2 4" xfId="24982" hidden="1"/>
    <cellStyle name="제목 2 4" xfId="25066" hidden="1"/>
    <cellStyle name="제목 2 4" xfId="25106" hidden="1"/>
    <cellStyle name="제목 2 4" xfId="25148" hidden="1"/>
    <cellStyle name="제목 2 4" xfId="25190" hidden="1"/>
    <cellStyle name="제목 2 4" xfId="25232" hidden="1"/>
    <cellStyle name="제목 2 4" xfId="25274" hidden="1"/>
    <cellStyle name="제목 2 4" xfId="25316" hidden="1"/>
    <cellStyle name="제목 2 4" xfId="25358" hidden="1"/>
    <cellStyle name="제목 2 4" xfId="25400" hidden="1"/>
    <cellStyle name="제목 2 4" xfId="25442" hidden="1"/>
    <cellStyle name="제목 2 4" xfId="25484" hidden="1"/>
    <cellStyle name="제목 2 4" xfId="25526" hidden="1"/>
    <cellStyle name="제목 2 4" xfId="25022" hidden="1"/>
    <cellStyle name="제목 2 4" xfId="25706" hidden="1"/>
    <cellStyle name="제목 2 4" xfId="25746" hidden="1"/>
    <cellStyle name="제목 2 4" xfId="25786" hidden="1"/>
    <cellStyle name="제목 2 4" xfId="25826" hidden="1"/>
    <cellStyle name="제목 2 4" xfId="25866" hidden="1"/>
    <cellStyle name="제목 2 4" xfId="25906" hidden="1"/>
    <cellStyle name="제목 2 4" xfId="25946" hidden="1"/>
    <cellStyle name="제목 2 4" xfId="25986" hidden="1"/>
    <cellStyle name="제목 2 4" xfId="26026" hidden="1"/>
    <cellStyle name="제목 2 4" xfId="26066" hidden="1"/>
    <cellStyle name="제목 2 4" xfId="26106" hidden="1"/>
    <cellStyle name="제목 2 4" xfId="26146" hidden="1"/>
    <cellStyle name="제목 2 4" xfId="25644" hidden="1"/>
    <cellStyle name="제목 2 4" xfId="25605" hidden="1"/>
    <cellStyle name="제목 2 4" xfId="26187" hidden="1"/>
    <cellStyle name="제목 2 4" xfId="26229" hidden="1"/>
    <cellStyle name="제목 2 4" xfId="26271" hidden="1"/>
    <cellStyle name="제목 2 4" xfId="26313" hidden="1"/>
    <cellStyle name="제목 2 4" xfId="26355" hidden="1"/>
    <cellStyle name="제목 2 4" xfId="26397" hidden="1"/>
    <cellStyle name="제목 2 4" xfId="26439" hidden="1"/>
    <cellStyle name="제목 2 4" xfId="26481" hidden="1"/>
    <cellStyle name="제목 2 4" xfId="26523" hidden="1"/>
    <cellStyle name="제목 2 4" xfId="26565" hidden="1"/>
    <cellStyle name="제목 2 4" xfId="25698" hidden="1"/>
    <cellStyle name="제목 2 4" xfId="25701" hidden="1"/>
    <cellStyle name="제목 2 4" xfId="26634" hidden="1"/>
    <cellStyle name="제목 2 4" xfId="26674" hidden="1"/>
    <cellStyle name="제목 2 4" xfId="26714" hidden="1"/>
    <cellStyle name="제목 2 4" xfId="26754" hidden="1"/>
    <cellStyle name="제목 2 4" xfId="26794" hidden="1"/>
    <cellStyle name="제목 2 4" xfId="26834" hidden="1"/>
    <cellStyle name="제목 2 4" xfId="26874" hidden="1"/>
    <cellStyle name="제목 2 4" xfId="26914" hidden="1"/>
    <cellStyle name="제목 2 4" xfId="26954" hidden="1"/>
    <cellStyle name="제목 2 4" xfId="26994" hidden="1"/>
    <cellStyle name="제목 2 4" xfId="27034" hidden="1"/>
    <cellStyle name="제목 2 4" xfId="24503" hidden="1"/>
    <cellStyle name="제목 2 4" xfId="27085" hidden="1"/>
    <cellStyle name="제목 2 4" xfId="27125" hidden="1"/>
    <cellStyle name="제목 2 4" xfId="27165" hidden="1"/>
    <cellStyle name="제목 2 4" xfId="27205" hidden="1"/>
    <cellStyle name="제목 2 4" xfId="27245" hidden="1"/>
    <cellStyle name="제목 2 4" xfId="27285" hidden="1"/>
    <cellStyle name="제목 2 4" xfId="27325" hidden="1"/>
    <cellStyle name="제목 2 4" xfId="27365" hidden="1"/>
    <cellStyle name="제목 2 4" xfId="27405" hidden="1"/>
    <cellStyle name="제목 2 4" xfId="27445" hidden="1"/>
    <cellStyle name="제목 2 4" xfId="27485" hidden="1"/>
    <cellStyle name="제목 2 4" xfId="27569" hidden="1"/>
    <cellStyle name="제목 2 4" xfId="27609" hidden="1"/>
    <cellStyle name="제목 2 4" xfId="27651" hidden="1"/>
    <cellStyle name="제목 2 4" xfId="27693" hidden="1"/>
    <cellStyle name="제목 2 4" xfId="27735" hidden="1"/>
    <cellStyle name="제목 2 4" xfId="27777" hidden="1"/>
    <cellStyle name="제목 2 4" xfId="27819" hidden="1"/>
    <cellStyle name="제목 2 4" xfId="27861" hidden="1"/>
    <cellStyle name="제목 2 4" xfId="27903" hidden="1"/>
    <cellStyle name="제목 2 4" xfId="27945" hidden="1"/>
    <cellStyle name="제목 2 4" xfId="27987" hidden="1"/>
    <cellStyle name="제목 2 4" xfId="28029" hidden="1"/>
    <cellStyle name="제목 2 4" xfId="27525" hidden="1"/>
    <cellStyle name="제목 2 4" xfId="28209" hidden="1"/>
    <cellStyle name="제목 2 4" xfId="28249" hidden="1"/>
    <cellStyle name="제목 2 4" xfId="28289" hidden="1"/>
    <cellStyle name="제목 2 4" xfId="28329" hidden="1"/>
    <cellStyle name="제목 2 4" xfId="28369" hidden="1"/>
    <cellStyle name="제목 2 4" xfId="28409" hidden="1"/>
    <cellStyle name="제목 2 4" xfId="28449" hidden="1"/>
    <cellStyle name="제목 2 4" xfId="28489" hidden="1"/>
    <cellStyle name="제목 2 4" xfId="28529" hidden="1"/>
    <cellStyle name="제목 2 4" xfId="28569" hidden="1"/>
    <cellStyle name="제목 2 4" xfId="28609" hidden="1"/>
    <cellStyle name="제목 2 4" xfId="28649" hidden="1"/>
    <cellStyle name="제목 2 4" xfId="28147" hidden="1"/>
    <cellStyle name="제목 2 4" xfId="28108" hidden="1"/>
    <cellStyle name="제목 2 4" xfId="28690" hidden="1"/>
    <cellStyle name="제목 2 4" xfId="28732" hidden="1"/>
    <cellStyle name="제목 2 4" xfId="28774" hidden="1"/>
    <cellStyle name="제목 2 4" xfId="28816" hidden="1"/>
    <cellStyle name="제목 2 4" xfId="28858" hidden="1"/>
    <cellStyle name="제목 2 4" xfId="28900" hidden="1"/>
    <cellStyle name="제목 2 4" xfId="28942" hidden="1"/>
    <cellStyle name="제목 2 4" xfId="28984" hidden="1"/>
    <cellStyle name="제목 2 4" xfId="29026" hidden="1"/>
    <cellStyle name="제목 2 4" xfId="29068" hidden="1"/>
    <cellStyle name="제목 2 4" xfId="28201" hidden="1"/>
    <cellStyle name="제목 2 4" xfId="28204" hidden="1"/>
    <cellStyle name="제목 2 4" xfId="29137" hidden="1"/>
    <cellStyle name="제목 2 4" xfId="29177" hidden="1"/>
    <cellStyle name="제목 2 4" xfId="29217" hidden="1"/>
    <cellStyle name="제목 2 4" xfId="29257" hidden="1"/>
    <cellStyle name="제목 2 4" xfId="29297" hidden="1"/>
    <cellStyle name="제목 2 4" xfId="29337" hidden="1"/>
    <cellStyle name="제목 2 4" xfId="29377" hidden="1"/>
    <cellStyle name="제목 2 4" xfId="29417" hidden="1"/>
    <cellStyle name="제목 2 4" xfId="29457" hidden="1"/>
    <cellStyle name="제목 2 4" xfId="29497" hidden="1"/>
    <cellStyle name="제목 2 4" xfId="29537" hidden="1"/>
    <cellStyle name="제목 2 4" xfId="24509" hidden="1"/>
    <cellStyle name="제목 2 4" xfId="29587" hidden="1"/>
    <cellStyle name="제목 2 4" xfId="29627" hidden="1"/>
    <cellStyle name="제목 2 4" xfId="29667" hidden="1"/>
    <cellStyle name="제목 2 4" xfId="29707" hidden="1"/>
    <cellStyle name="제목 2 4" xfId="29747" hidden="1"/>
    <cellStyle name="제목 2 4" xfId="29787" hidden="1"/>
    <cellStyle name="제목 2 4" xfId="29827" hidden="1"/>
    <cellStyle name="제목 2 4" xfId="29867" hidden="1"/>
    <cellStyle name="제목 2 4" xfId="29907" hidden="1"/>
    <cellStyle name="제목 2 4" xfId="29947" hidden="1"/>
    <cellStyle name="제목 2 4" xfId="29987" hidden="1"/>
    <cellStyle name="제목 2 4" xfId="30071" hidden="1"/>
    <cellStyle name="제목 2 4" xfId="30111" hidden="1"/>
    <cellStyle name="제목 2 4" xfId="30153" hidden="1"/>
    <cellStyle name="제목 2 4" xfId="30195" hidden="1"/>
    <cellStyle name="제목 2 4" xfId="30237" hidden="1"/>
    <cellStyle name="제목 2 4" xfId="30279" hidden="1"/>
    <cellStyle name="제목 2 4" xfId="30321" hidden="1"/>
    <cellStyle name="제목 2 4" xfId="30363" hidden="1"/>
    <cellStyle name="제목 2 4" xfId="30405" hidden="1"/>
    <cellStyle name="제목 2 4" xfId="30447" hidden="1"/>
    <cellStyle name="제목 2 4" xfId="30489" hidden="1"/>
    <cellStyle name="제목 2 4" xfId="30531" hidden="1"/>
    <cellStyle name="제목 2 4" xfId="30027" hidden="1"/>
    <cellStyle name="제목 2 4" xfId="30711" hidden="1"/>
    <cellStyle name="제목 2 4" xfId="30751" hidden="1"/>
    <cellStyle name="제목 2 4" xfId="30791" hidden="1"/>
    <cellStyle name="제목 2 4" xfId="30831" hidden="1"/>
    <cellStyle name="제목 2 4" xfId="30871" hidden="1"/>
    <cellStyle name="제목 2 4" xfId="30911" hidden="1"/>
    <cellStyle name="제목 2 4" xfId="30951" hidden="1"/>
    <cellStyle name="제목 2 4" xfId="30991" hidden="1"/>
    <cellStyle name="제목 2 4" xfId="31031" hidden="1"/>
    <cellStyle name="제목 2 4" xfId="31071" hidden="1"/>
    <cellStyle name="제목 2 4" xfId="31111" hidden="1"/>
    <cellStyle name="제목 2 4" xfId="31151" hidden="1"/>
    <cellStyle name="제목 2 4" xfId="30649" hidden="1"/>
    <cellStyle name="제목 2 4" xfId="30610" hidden="1"/>
    <cellStyle name="제목 2 4" xfId="31192" hidden="1"/>
    <cellStyle name="제목 2 4" xfId="31234" hidden="1"/>
    <cellStyle name="제목 2 4" xfId="31276" hidden="1"/>
    <cellStyle name="제목 2 4" xfId="31318" hidden="1"/>
    <cellStyle name="제목 2 4" xfId="31360" hidden="1"/>
    <cellStyle name="제목 2 4" xfId="31402" hidden="1"/>
    <cellStyle name="제목 2 4" xfId="31444" hidden="1"/>
    <cellStyle name="제목 2 4" xfId="31486" hidden="1"/>
    <cellStyle name="제목 2 4" xfId="31528" hidden="1"/>
    <cellStyle name="제목 2 4" xfId="31570" hidden="1"/>
    <cellStyle name="제목 2 4" xfId="30703" hidden="1"/>
    <cellStyle name="제목 2 4" xfId="30706" hidden="1"/>
    <cellStyle name="제목 2 4" xfId="31639" hidden="1"/>
    <cellStyle name="제목 2 4" xfId="31679" hidden="1"/>
    <cellStyle name="제목 2 4" xfId="31719" hidden="1"/>
    <cellStyle name="제목 2 4" xfId="31759" hidden="1"/>
    <cellStyle name="제목 2 4" xfId="31799" hidden="1"/>
    <cellStyle name="제목 2 4" xfId="31839" hidden="1"/>
    <cellStyle name="제목 2 4" xfId="31879" hidden="1"/>
    <cellStyle name="제목 2 4" xfId="31919" hidden="1"/>
    <cellStyle name="제목 2 4" xfId="31959" hidden="1"/>
    <cellStyle name="제목 2 4" xfId="31999" hidden="1"/>
    <cellStyle name="제목 2 4" xfId="32039" hidden="1"/>
    <cellStyle name="제목 2 4" xfId="14317"/>
    <cellStyle name="제목 2 4 10" xfId="32261"/>
    <cellStyle name="제목 2 4 100" xfId="36135"/>
    <cellStyle name="제목 2 4 101" xfId="36175"/>
    <cellStyle name="제목 2 4 102" xfId="36215"/>
    <cellStyle name="제목 2 4 103" xfId="36255"/>
    <cellStyle name="제목 2 4 104" xfId="36295"/>
    <cellStyle name="제목 2 4 105" xfId="35793"/>
    <cellStyle name="제목 2 4 106" xfId="35754"/>
    <cellStyle name="제목 2 4 107" xfId="36336"/>
    <cellStyle name="제목 2 4 108" xfId="36378"/>
    <cellStyle name="제목 2 4 109" xfId="36420"/>
    <cellStyle name="제목 2 4 11" xfId="32301"/>
    <cellStyle name="제목 2 4 110" xfId="36462"/>
    <cellStyle name="제목 2 4 111" xfId="36504"/>
    <cellStyle name="제목 2 4 112" xfId="36546"/>
    <cellStyle name="제목 2 4 113" xfId="36588"/>
    <cellStyle name="제목 2 4 114" xfId="36630"/>
    <cellStyle name="제목 2 4 115" xfId="36672"/>
    <cellStyle name="제목 2 4 116" xfId="36714"/>
    <cellStyle name="제목 2 4 117" xfId="35847"/>
    <cellStyle name="제목 2 4 118" xfId="35850"/>
    <cellStyle name="제목 2 4 119" xfId="36783"/>
    <cellStyle name="제목 2 4 12" xfId="32341"/>
    <cellStyle name="제목 2 4 120" xfId="36823"/>
    <cellStyle name="제목 2 4 121" xfId="36863"/>
    <cellStyle name="제목 2 4 122" xfId="36903"/>
    <cellStyle name="제목 2 4 123" xfId="36943"/>
    <cellStyle name="제목 2 4 124" xfId="36983"/>
    <cellStyle name="제목 2 4 125" xfId="37023"/>
    <cellStyle name="제목 2 4 126" xfId="37063"/>
    <cellStyle name="제목 2 4 127" xfId="37103"/>
    <cellStyle name="제목 2 4 128" xfId="37143"/>
    <cellStyle name="제목 2 4 129" xfId="37183"/>
    <cellStyle name="제목 2 4 13" xfId="32381"/>
    <cellStyle name="제목 2 4 130" xfId="34655"/>
    <cellStyle name="제목 2 4 131" xfId="37234"/>
    <cellStyle name="제목 2 4 132" xfId="37275"/>
    <cellStyle name="제목 2 4 133" xfId="37315"/>
    <cellStyle name="제목 2 4 134" xfId="37355"/>
    <cellStyle name="제목 2 4 135" xfId="37395"/>
    <cellStyle name="제목 2 4 136" xfId="37435"/>
    <cellStyle name="제목 2 4 137" xfId="37475"/>
    <cellStyle name="제목 2 4 138" xfId="37515"/>
    <cellStyle name="제목 2 4 139" xfId="37555"/>
    <cellStyle name="제목 2 4 14" xfId="32421"/>
    <cellStyle name="제목 2 4 140" xfId="37595"/>
    <cellStyle name="제목 2 4 141" xfId="37635"/>
    <cellStyle name="제목 2 4 142" xfId="37719"/>
    <cellStyle name="제목 2 4 143" xfId="37759"/>
    <cellStyle name="제목 2 4 144" xfId="37801"/>
    <cellStyle name="제목 2 4 145" xfId="37843"/>
    <cellStyle name="제목 2 4 146" xfId="37885"/>
    <cellStyle name="제목 2 4 147" xfId="37927"/>
    <cellStyle name="제목 2 4 148" xfId="37969"/>
    <cellStyle name="제목 2 4 149" xfId="38011"/>
    <cellStyle name="제목 2 4 15" xfId="32461"/>
    <cellStyle name="제목 2 4 150" xfId="38053"/>
    <cellStyle name="제목 2 4 151" xfId="38095"/>
    <cellStyle name="제목 2 4 152" xfId="38137"/>
    <cellStyle name="제목 2 4 153" xfId="38179"/>
    <cellStyle name="제목 2 4 154" xfId="37675"/>
    <cellStyle name="제목 2 4 155" xfId="38359"/>
    <cellStyle name="제목 2 4 156" xfId="38399"/>
    <cellStyle name="제목 2 4 157" xfId="38439"/>
    <cellStyle name="제목 2 4 158" xfId="38479"/>
    <cellStyle name="제목 2 4 159" xfId="38519"/>
    <cellStyle name="제목 2 4 16" xfId="32501"/>
    <cellStyle name="제목 2 4 160" xfId="38559"/>
    <cellStyle name="제목 2 4 161" xfId="38599"/>
    <cellStyle name="제목 2 4 162" xfId="38639"/>
    <cellStyle name="제목 2 4 163" xfId="38679"/>
    <cellStyle name="제목 2 4 164" xfId="38719"/>
    <cellStyle name="제목 2 4 165" xfId="38759"/>
    <cellStyle name="제목 2 4 166" xfId="38799"/>
    <cellStyle name="제목 2 4 167" xfId="38297"/>
    <cellStyle name="제목 2 4 168" xfId="38258"/>
    <cellStyle name="제목 2 4 169" xfId="38840"/>
    <cellStyle name="제목 2 4 17" xfId="32541"/>
    <cellStyle name="제목 2 4 170" xfId="38882"/>
    <cellStyle name="제목 2 4 171" xfId="38924"/>
    <cellStyle name="제목 2 4 172" xfId="38966"/>
    <cellStyle name="제목 2 4 173" xfId="39008"/>
    <cellStyle name="제목 2 4 174" xfId="39050"/>
    <cellStyle name="제목 2 4 175" xfId="39092"/>
    <cellStyle name="제목 2 4 176" xfId="39134"/>
    <cellStyle name="제목 2 4 177" xfId="39176"/>
    <cellStyle name="제목 2 4 178" xfId="39218"/>
    <cellStyle name="제목 2 4 179" xfId="38351"/>
    <cellStyle name="제목 2 4 18" xfId="32626"/>
    <cellStyle name="제목 2 4 180" xfId="38354"/>
    <cellStyle name="제목 2 4 181" xfId="39287"/>
    <cellStyle name="제목 2 4 182" xfId="39327"/>
    <cellStyle name="제목 2 4 183" xfId="39367"/>
    <cellStyle name="제목 2 4 184" xfId="39407"/>
    <cellStyle name="제목 2 4 185" xfId="39447"/>
    <cellStyle name="제목 2 4 186" xfId="39487"/>
    <cellStyle name="제목 2 4 187" xfId="39527"/>
    <cellStyle name="제목 2 4 188" xfId="39567"/>
    <cellStyle name="제목 2 4 189" xfId="39607"/>
    <cellStyle name="제목 2 4 19" xfId="32666"/>
    <cellStyle name="제목 2 4 190" xfId="39647"/>
    <cellStyle name="제목 2 4 191" xfId="39687"/>
    <cellStyle name="제목 2 4 192" xfId="34661"/>
    <cellStyle name="제목 2 4 193" xfId="39737"/>
    <cellStyle name="제목 2 4 194" xfId="39777"/>
    <cellStyle name="제목 2 4 195" xfId="39817"/>
    <cellStyle name="제목 2 4 196" xfId="39857"/>
    <cellStyle name="제목 2 4 197" xfId="39897"/>
    <cellStyle name="제목 2 4 198" xfId="39937"/>
    <cellStyle name="제목 2 4 199" xfId="39977"/>
    <cellStyle name="제목 2 4 2" xfId="7706"/>
    <cellStyle name="제목 2 4 20" xfId="32708"/>
    <cellStyle name="제목 2 4 200" xfId="40017"/>
    <cellStyle name="제목 2 4 201" xfId="40057"/>
    <cellStyle name="제목 2 4 202" xfId="40097"/>
    <cellStyle name="제목 2 4 203" xfId="40137"/>
    <cellStyle name="제목 2 4 204" xfId="40221"/>
    <cellStyle name="제목 2 4 205" xfId="40261"/>
    <cellStyle name="제목 2 4 206" xfId="40303"/>
    <cellStyle name="제목 2 4 207" xfId="40345"/>
    <cellStyle name="제목 2 4 208" xfId="40387"/>
    <cellStyle name="제목 2 4 209" xfId="40429"/>
    <cellStyle name="제목 2 4 21" xfId="32750"/>
    <cellStyle name="제목 2 4 210" xfId="40471"/>
    <cellStyle name="제목 2 4 211" xfId="40513"/>
    <cellStyle name="제목 2 4 212" xfId="40555"/>
    <cellStyle name="제목 2 4 213" xfId="40597"/>
    <cellStyle name="제목 2 4 214" xfId="40639"/>
    <cellStyle name="제목 2 4 215" xfId="40681"/>
    <cellStyle name="제목 2 4 216" xfId="40177"/>
    <cellStyle name="제목 2 4 217" xfId="40861"/>
    <cellStyle name="제목 2 4 218" xfId="40901"/>
    <cellStyle name="제목 2 4 219" xfId="40941"/>
    <cellStyle name="제목 2 4 22" xfId="32792"/>
    <cellStyle name="제목 2 4 220" xfId="40981"/>
    <cellStyle name="제목 2 4 221" xfId="41021"/>
    <cellStyle name="제목 2 4 222" xfId="41061"/>
    <cellStyle name="제목 2 4 223" xfId="41101"/>
    <cellStyle name="제목 2 4 224" xfId="41141"/>
    <cellStyle name="제목 2 4 225" xfId="41181"/>
    <cellStyle name="제목 2 4 226" xfId="41221"/>
    <cellStyle name="제목 2 4 227" xfId="41261"/>
    <cellStyle name="제목 2 4 228" xfId="41301"/>
    <cellStyle name="제목 2 4 229" xfId="40799"/>
    <cellStyle name="제목 2 4 23" xfId="32834"/>
    <cellStyle name="제목 2 4 230" xfId="40760"/>
    <cellStyle name="제목 2 4 231" xfId="41342"/>
    <cellStyle name="제목 2 4 232" xfId="41384"/>
    <cellStyle name="제목 2 4 233" xfId="41426"/>
    <cellStyle name="제목 2 4 234" xfId="41468"/>
    <cellStyle name="제목 2 4 235" xfId="41510"/>
    <cellStyle name="제목 2 4 236" xfId="41552"/>
    <cellStyle name="제목 2 4 237" xfId="41594"/>
    <cellStyle name="제목 2 4 238" xfId="41636"/>
    <cellStyle name="제목 2 4 239" xfId="41678"/>
    <cellStyle name="제목 2 4 24" xfId="32876"/>
    <cellStyle name="제목 2 4 240" xfId="41720"/>
    <cellStyle name="제목 2 4 241" xfId="40853"/>
    <cellStyle name="제목 2 4 242" xfId="40856"/>
    <cellStyle name="제목 2 4 243" xfId="41789"/>
    <cellStyle name="제목 2 4 244" xfId="41829"/>
    <cellStyle name="제목 2 4 245" xfId="41869"/>
    <cellStyle name="제목 2 4 246" xfId="41909"/>
    <cellStyle name="제목 2 4 247" xfId="41949"/>
    <cellStyle name="제목 2 4 248" xfId="41989"/>
    <cellStyle name="제목 2 4 249" xfId="42029"/>
    <cellStyle name="제목 2 4 25" xfId="32918"/>
    <cellStyle name="제목 2 4 250" xfId="42069"/>
    <cellStyle name="제목 2 4 251" xfId="42109"/>
    <cellStyle name="제목 2 4 252" xfId="42149"/>
    <cellStyle name="제목 2 4 253" xfId="42189"/>
    <cellStyle name="제목 2 4 254" xfId="42232"/>
    <cellStyle name="제목 2 4 255" xfId="42272"/>
    <cellStyle name="제목 2 4 256" xfId="42312"/>
    <cellStyle name="제목 2 4 257" xfId="42352"/>
    <cellStyle name="제목 2 4 258" xfId="42392"/>
    <cellStyle name="제목 2 4 259" xfId="42432"/>
    <cellStyle name="제목 2 4 26" xfId="32960"/>
    <cellStyle name="제목 2 4 260" xfId="42472"/>
    <cellStyle name="제목 2 4 261" xfId="42512"/>
    <cellStyle name="제목 2 4 262" xfId="42552"/>
    <cellStyle name="제목 2 4 263" xfId="42592"/>
    <cellStyle name="제목 2 4 264" xfId="42632"/>
    <cellStyle name="제목 2 4 265" xfId="42672"/>
    <cellStyle name="제목 2 4 266" xfId="42756"/>
    <cellStyle name="제목 2 4 267" xfId="42796"/>
    <cellStyle name="제목 2 4 268" xfId="42838"/>
    <cellStyle name="제목 2 4 269" xfId="42880"/>
    <cellStyle name="제목 2 4 27" xfId="33002"/>
    <cellStyle name="제목 2 4 270" xfId="42922"/>
    <cellStyle name="제목 2 4 271" xfId="42964"/>
    <cellStyle name="제목 2 4 272" xfId="43006"/>
    <cellStyle name="제목 2 4 273" xfId="43048"/>
    <cellStyle name="제목 2 4 274" xfId="43090"/>
    <cellStyle name="제목 2 4 275" xfId="43132"/>
    <cellStyle name="제목 2 4 276" xfId="43174"/>
    <cellStyle name="제목 2 4 277" xfId="43216"/>
    <cellStyle name="제목 2 4 278" xfId="42712"/>
    <cellStyle name="제목 2 4 279" xfId="43396"/>
    <cellStyle name="제목 2 4 28" xfId="33044"/>
    <cellStyle name="제목 2 4 280" xfId="43436"/>
    <cellStyle name="제목 2 4 281" xfId="43476"/>
    <cellStyle name="제목 2 4 282" xfId="43516"/>
    <cellStyle name="제목 2 4 283" xfId="43556"/>
    <cellStyle name="제목 2 4 284" xfId="43596"/>
    <cellStyle name="제목 2 4 285" xfId="43636"/>
    <cellStyle name="제목 2 4 286" xfId="43676"/>
    <cellStyle name="제목 2 4 287" xfId="43716"/>
    <cellStyle name="제목 2 4 288" xfId="43756"/>
    <cellStyle name="제목 2 4 289" xfId="43796"/>
    <cellStyle name="제목 2 4 29" xfId="33086"/>
    <cellStyle name="제목 2 4 290" xfId="43836"/>
    <cellStyle name="제목 2 4 291" xfId="43334"/>
    <cellStyle name="제목 2 4 292" xfId="43295"/>
    <cellStyle name="제목 2 4 293" xfId="43877"/>
    <cellStyle name="제목 2 4 294" xfId="43919"/>
    <cellStyle name="제목 2 4 295" xfId="43961"/>
    <cellStyle name="제목 2 4 296" xfId="44003"/>
    <cellStyle name="제목 2 4 297" xfId="44045"/>
    <cellStyle name="제목 2 4 298" xfId="44087"/>
    <cellStyle name="제목 2 4 299" xfId="44129"/>
    <cellStyle name="제목 2 4 3" xfId="7707"/>
    <cellStyle name="제목 2 4 30" xfId="32582"/>
    <cellStyle name="제목 2 4 300" xfId="44171"/>
    <cellStyle name="제목 2 4 301" xfId="44213"/>
    <cellStyle name="제목 2 4 302" xfId="44255"/>
    <cellStyle name="제목 2 4 303" xfId="43388"/>
    <cellStyle name="제목 2 4 304" xfId="43391"/>
    <cellStyle name="제목 2 4 305" xfId="44324"/>
    <cellStyle name="제목 2 4 306" xfId="44364"/>
    <cellStyle name="제목 2 4 307" xfId="44404"/>
    <cellStyle name="제목 2 4 308" xfId="44444"/>
    <cellStyle name="제목 2 4 309" xfId="44484"/>
    <cellStyle name="제목 2 4 31" xfId="33266"/>
    <cellStyle name="제목 2 4 310" xfId="44524"/>
    <cellStyle name="제목 2 4 311" xfId="44564"/>
    <cellStyle name="제목 2 4 312" xfId="44604"/>
    <cellStyle name="제목 2 4 313" xfId="44644"/>
    <cellStyle name="제목 2 4 314" xfId="44684"/>
    <cellStyle name="제목 2 4 315" xfId="44724"/>
    <cellStyle name="제목 2 4 316" xfId="44820"/>
    <cellStyle name="제목 2 4 317" xfId="44860"/>
    <cellStyle name="제목 2 4 318" xfId="44901"/>
    <cellStyle name="제목 2 4 319" xfId="44943"/>
    <cellStyle name="제목 2 4 32" xfId="33306"/>
    <cellStyle name="제목 2 4 320" xfId="44983"/>
    <cellStyle name="제목 2 4 321" xfId="45023"/>
    <cellStyle name="제목 2 4 322" xfId="45063"/>
    <cellStyle name="제목 2 4 323" xfId="45103"/>
    <cellStyle name="제목 2 4 324" xfId="45143"/>
    <cellStyle name="제목 2 4 325" xfId="45183"/>
    <cellStyle name="제목 2 4 326" xfId="45223"/>
    <cellStyle name="제목 2 4 327" xfId="45263"/>
    <cellStyle name="제목 2 4 328" xfId="45347"/>
    <cellStyle name="제목 2 4 329" xfId="45387"/>
    <cellStyle name="제목 2 4 33" xfId="33346"/>
    <cellStyle name="제목 2 4 330" xfId="45429"/>
    <cellStyle name="제목 2 4 331" xfId="45471"/>
    <cellStyle name="제목 2 4 332" xfId="45513"/>
    <cellStyle name="제목 2 4 333" xfId="45555"/>
    <cellStyle name="제목 2 4 334" xfId="45597"/>
    <cellStyle name="제목 2 4 335" xfId="45639"/>
    <cellStyle name="제목 2 4 336" xfId="45681"/>
    <cellStyle name="제목 2 4 337" xfId="45723"/>
    <cellStyle name="제목 2 4 338" xfId="45765"/>
    <cellStyle name="제목 2 4 339" xfId="45807"/>
    <cellStyle name="제목 2 4 34" xfId="33386"/>
    <cellStyle name="제목 2 4 340" xfId="45303"/>
    <cellStyle name="제목 2 4 341" xfId="45987"/>
    <cellStyle name="제목 2 4 342" xfId="46027"/>
    <cellStyle name="제목 2 4 343" xfId="46067"/>
    <cellStyle name="제목 2 4 344" xfId="46107"/>
    <cellStyle name="제목 2 4 345" xfId="46147"/>
    <cellStyle name="제목 2 4 346" xfId="46187"/>
    <cellStyle name="제목 2 4 347" xfId="46227"/>
    <cellStyle name="제목 2 4 348" xfId="46267"/>
    <cellStyle name="제목 2 4 349" xfId="46307"/>
    <cellStyle name="제목 2 4 35" xfId="33426"/>
    <cellStyle name="제목 2 4 350" xfId="46347"/>
    <cellStyle name="제목 2 4 351" xfId="46387"/>
    <cellStyle name="제목 2 4 352" xfId="46427"/>
    <cellStyle name="제목 2 4 353" xfId="45925"/>
    <cellStyle name="제목 2 4 354" xfId="45886"/>
    <cellStyle name="제목 2 4 355" xfId="46468"/>
    <cellStyle name="제목 2 4 356" xfId="46510"/>
    <cellStyle name="제목 2 4 357" xfId="46552"/>
    <cellStyle name="제목 2 4 358" xfId="46594"/>
    <cellStyle name="제목 2 4 359" xfId="46636"/>
    <cellStyle name="제목 2 4 36" xfId="33466"/>
    <cellStyle name="제목 2 4 360" xfId="46678"/>
    <cellStyle name="제목 2 4 361" xfId="46720"/>
    <cellStyle name="제목 2 4 362" xfId="46762"/>
    <cellStyle name="제목 2 4 363" xfId="46804"/>
    <cellStyle name="제목 2 4 364" xfId="46846"/>
    <cellStyle name="제목 2 4 365" xfId="45979"/>
    <cellStyle name="제목 2 4 366" xfId="45982"/>
    <cellStyle name="제목 2 4 367" xfId="46915"/>
    <cellStyle name="제목 2 4 368" xfId="46955"/>
    <cellStyle name="제목 2 4 369" xfId="46995"/>
    <cellStyle name="제목 2 4 37" xfId="33506"/>
    <cellStyle name="제목 2 4 370" xfId="47035"/>
    <cellStyle name="제목 2 4 371" xfId="47075"/>
    <cellStyle name="제목 2 4 372" xfId="47115"/>
    <cellStyle name="제목 2 4 373" xfId="47155"/>
    <cellStyle name="제목 2 4 374" xfId="47195"/>
    <cellStyle name="제목 2 4 375" xfId="47235"/>
    <cellStyle name="제목 2 4 376" xfId="47275"/>
    <cellStyle name="제목 2 4 377" xfId="47315"/>
    <cellStyle name="제목 2 4 378" xfId="44785"/>
    <cellStyle name="제목 2 4 379" xfId="47366"/>
    <cellStyle name="제목 2 4 38" xfId="33546"/>
    <cellStyle name="제목 2 4 380" xfId="47406"/>
    <cellStyle name="제목 2 4 381" xfId="47446"/>
    <cellStyle name="제목 2 4 382" xfId="47486"/>
    <cellStyle name="제목 2 4 383" xfId="47526"/>
    <cellStyle name="제목 2 4 384" xfId="47566"/>
    <cellStyle name="제목 2 4 385" xfId="47606"/>
    <cellStyle name="제목 2 4 386" xfId="47646"/>
    <cellStyle name="제목 2 4 387" xfId="47686"/>
    <cellStyle name="제목 2 4 388" xfId="47726"/>
    <cellStyle name="제목 2 4 389" xfId="47766"/>
    <cellStyle name="제목 2 4 39" xfId="33586"/>
    <cellStyle name="제목 2 4 390" xfId="47850"/>
    <cellStyle name="제목 2 4 391" xfId="47890"/>
    <cellStyle name="제목 2 4 392" xfId="47932"/>
    <cellStyle name="제목 2 4 393" xfId="47974"/>
    <cellStyle name="제목 2 4 394" xfId="48016"/>
    <cellStyle name="제목 2 4 395" xfId="48058"/>
    <cellStyle name="제목 2 4 396" xfId="48100"/>
    <cellStyle name="제목 2 4 397" xfId="48142"/>
    <cellStyle name="제목 2 4 398" xfId="48184"/>
    <cellStyle name="제목 2 4 399" xfId="48226"/>
    <cellStyle name="제목 2 4 4" xfId="7708"/>
    <cellStyle name="제목 2 4 40" xfId="33626"/>
    <cellStyle name="제목 2 4 400" xfId="48268"/>
    <cellStyle name="제목 2 4 401" xfId="48310"/>
    <cellStyle name="제목 2 4 402" xfId="47806"/>
    <cellStyle name="제목 2 4 403" xfId="48490"/>
    <cellStyle name="제목 2 4 404" xfId="48530"/>
    <cellStyle name="제목 2 4 405" xfId="48570"/>
    <cellStyle name="제목 2 4 406" xfId="48610"/>
    <cellStyle name="제목 2 4 407" xfId="48650"/>
    <cellStyle name="제목 2 4 408" xfId="48690"/>
    <cellStyle name="제목 2 4 409" xfId="48730"/>
    <cellStyle name="제목 2 4 41" xfId="33666"/>
    <cellStyle name="제목 2 4 410" xfId="48770"/>
    <cellStyle name="제목 2 4 411" xfId="48810"/>
    <cellStyle name="제목 2 4 412" xfId="48850"/>
    <cellStyle name="제목 2 4 413" xfId="48890"/>
    <cellStyle name="제목 2 4 414" xfId="48930"/>
    <cellStyle name="제목 2 4 415" xfId="48428"/>
    <cellStyle name="제목 2 4 416" xfId="48389"/>
    <cellStyle name="제목 2 4 417" xfId="48971"/>
    <cellStyle name="제목 2 4 418" xfId="49013"/>
    <cellStyle name="제목 2 4 419" xfId="49055"/>
    <cellStyle name="제목 2 4 42" xfId="33706"/>
    <cellStyle name="제목 2 4 420" xfId="49097"/>
    <cellStyle name="제목 2 4 421" xfId="49139"/>
    <cellStyle name="제목 2 4 422" xfId="49181"/>
    <cellStyle name="제목 2 4 423" xfId="49223"/>
    <cellStyle name="제목 2 4 424" xfId="49265"/>
    <cellStyle name="제목 2 4 425" xfId="49307"/>
    <cellStyle name="제목 2 4 426" xfId="49349"/>
    <cellStyle name="제목 2 4 427" xfId="48482"/>
    <cellStyle name="제목 2 4 428" xfId="48485"/>
    <cellStyle name="제목 2 4 429" xfId="49418"/>
    <cellStyle name="제목 2 4 43" xfId="33204"/>
    <cellStyle name="제목 2 4 430" xfId="49458"/>
    <cellStyle name="제목 2 4 431" xfId="49498"/>
    <cellStyle name="제목 2 4 432" xfId="49538"/>
    <cellStyle name="제목 2 4 433" xfId="49578"/>
    <cellStyle name="제목 2 4 434" xfId="49618"/>
    <cellStyle name="제목 2 4 435" xfId="49658"/>
    <cellStyle name="제목 2 4 436" xfId="49698"/>
    <cellStyle name="제목 2 4 437" xfId="49738"/>
    <cellStyle name="제목 2 4 438" xfId="49778"/>
    <cellStyle name="제목 2 4 439" xfId="49818"/>
    <cellStyle name="제목 2 4 44" xfId="33165"/>
    <cellStyle name="제목 2 4 440" xfId="44790"/>
    <cellStyle name="제목 2 4 441" xfId="49868"/>
    <cellStyle name="제목 2 4 442" xfId="49908"/>
    <cellStyle name="제목 2 4 443" xfId="49948"/>
    <cellStyle name="제목 2 4 444" xfId="49988"/>
    <cellStyle name="제목 2 4 445" xfId="50028"/>
    <cellStyle name="제목 2 4 446" xfId="50068"/>
    <cellStyle name="제목 2 4 447" xfId="50108"/>
    <cellStyle name="제목 2 4 448" xfId="50148"/>
    <cellStyle name="제목 2 4 449" xfId="50188"/>
    <cellStyle name="제목 2 4 45" xfId="33747"/>
    <cellStyle name="제목 2 4 450" xfId="50228"/>
    <cellStyle name="제목 2 4 451" xfId="50268"/>
    <cellStyle name="제목 2 4 452" xfId="50352"/>
    <cellStyle name="제목 2 4 453" xfId="50392"/>
    <cellStyle name="제목 2 4 454" xfId="50434"/>
    <cellStyle name="제목 2 4 455" xfId="50476"/>
    <cellStyle name="제목 2 4 456" xfId="50518"/>
    <cellStyle name="제목 2 4 457" xfId="50560"/>
    <cellStyle name="제목 2 4 458" xfId="50602"/>
    <cellStyle name="제목 2 4 459" xfId="50644"/>
    <cellStyle name="제목 2 4 46" xfId="33789"/>
    <cellStyle name="제목 2 4 460" xfId="50686"/>
    <cellStyle name="제목 2 4 461" xfId="50728"/>
    <cellStyle name="제목 2 4 462" xfId="50770"/>
    <cellStyle name="제목 2 4 463" xfId="50812"/>
    <cellStyle name="제목 2 4 464" xfId="50308"/>
    <cellStyle name="제목 2 4 465" xfId="50992"/>
    <cellStyle name="제목 2 4 466" xfId="51032"/>
    <cellStyle name="제목 2 4 467" xfId="51072"/>
    <cellStyle name="제목 2 4 468" xfId="51112"/>
    <cellStyle name="제목 2 4 469" xfId="51152"/>
    <cellStyle name="제목 2 4 47" xfId="33831"/>
    <cellStyle name="제목 2 4 470" xfId="51192"/>
    <cellStyle name="제목 2 4 471" xfId="51232"/>
    <cellStyle name="제목 2 4 472" xfId="51272"/>
    <cellStyle name="제목 2 4 473" xfId="51312"/>
    <cellStyle name="제목 2 4 474" xfId="51352"/>
    <cellStyle name="제목 2 4 475" xfId="51392"/>
    <cellStyle name="제목 2 4 476" xfId="51432"/>
    <cellStyle name="제목 2 4 477" xfId="50930"/>
    <cellStyle name="제목 2 4 478" xfId="50891"/>
    <cellStyle name="제목 2 4 479" xfId="51473"/>
    <cellStyle name="제목 2 4 48" xfId="33873"/>
    <cellStyle name="제목 2 4 480" xfId="51515"/>
    <cellStyle name="제목 2 4 481" xfId="51557"/>
    <cellStyle name="제목 2 4 482" xfId="51599"/>
    <cellStyle name="제목 2 4 483" xfId="51641"/>
    <cellStyle name="제목 2 4 484" xfId="51683"/>
    <cellStyle name="제목 2 4 485" xfId="51725"/>
    <cellStyle name="제목 2 4 486" xfId="51767"/>
    <cellStyle name="제목 2 4 487" xfId="51809"/>
    <cellStyle name="제목 2 4 488" xfId="51851"/>
    <cellStyle name="제목 2 4 489" xfId="50984"/>
    <cellStyle name="제목 2 4 49" xfId="33915"/>
    <cellStyle name="제목 2 4 490" xfId="50987"/>
    <cellStyle name="제목 2 4 491" xfId="51920"/>
    <cellStyle name="제목 2 4 492" xfId="51960"/>
    <cellStyle name="제목 2 4 493" xfId="52000"/>
    <cellStyle name="제목 2 4 494" xfId="52040"/>
    <cellStyle name="제목 2 4 495" xfId="52080"/>
    <cellStyle name="제목 2 4 496" xfId="52120"/>
    <cellStyle name="제목 2 4 497" xfId="52160"/>
    <cellStyle name="제목 2 4 498" xfId="52200"/>
    <cellStyle name="제목 2 4 499" xfId="52240"/>
    <cellStyle name="제목 2 4 5" xfId="7709"/>
    <cellStyle name="제목 2 4 50" xfId="33957"/>
    <cellStyle name="제목 2 4 500" xfId="52280"/>
    <cellStyle name="제목 2 4 501" xfId="52320"/>
    <cellStyle name="제목 2 4 51" xfId="33999"/>
    <cellStyle name="제목 2 4 52" xfId="34041"/>
    <cellStyle name="제목 2 4 53" xfId="34083"/>
    <cellStyle name="제목 2 4 54" xfId="34125"/>
    <cellStyle name="제목 2 4 55" xfId="33258"/>
    <cellStyle name="제목 2 4 56" xfId="33261"/>
    <cellStyle name="제목 2 4 57" xfId="34194"/>
    <cellStyle name="제목 2 4 58" xfId="34234"/>
    <cellStyle name="제목 2 4 59" xfId="34274"/>
    <cellStyle name="제목 2 4 6" xfId="32101"/>
    <cellStyle name="제목 2 4 60" xfId="34314"/>
    <cellStyle name="제목 2 4 61" xfId="34354"/>
    <cellStyle name="제목 2 4 62" xfId="34394"/>
    <cellStyle name="제목 2 4 63" xfId="34434"/>
    <cellStyle name="제목 2 4 64" xfId="34474"/>
    <cellStyle name="제목 2 4 65" xfId="34514"/>
    <cellStyle name="제목 2 4 66" xfId="34554"/>
    <cellStyle name="제목 2 4 67" xfId="34594"/>
    <cellStyle name="제목 2 4 68" xfId="34691"/>
    <cellStyle name="제목 2 4 69" xfId="34731"/>
    <cellStyle name="제목 2 4 7" xfId="32141"/>
    <cellStyle name="제목 2 4 70" xfId="34771"/>
    <cellStyle name="제목 2 4 71" xfId="34811"/>
    <cellStyle name="제목 2 4 72" xfId="34851"/>
    <cellStyle name="제목 2 4 73" xfId="34891"/>
    <cellStyle name="제목 2 4 74" xfId="34931"/>
    <cellStyle name="제목 2 4 75" xfId="34971"/>
    <cellStyle name="제목 2 4 76" xfId="35011"/>
    <cellStyle name="제목 2 4 77" xfId="35051"/>
    <cellStyle name="제목 2 4 78" xfId="35091"/>
    <cellStyle name="제목 2 4 79" xfId="35131"/>
    <cellStyle name="제목 2 4 8" xfId="32181"/>
    <cellStyle name="제목 2 4 80" xfId="35215"/>
    <cellStyle name="제목 2 4 81" xfId="35255"/>
    <cellStyle name="제목 2 4 82" xfId="35297"/>
    <cellStyle name="제목 2 4 83" xfId="35339"/>
    <cellStyle name="제목 2 4 84" xfId="35381"/>
    <cellStyle name="제목 2 4 85" xfId="35423"/>
    <cellStyle name="제목 2 4 86" xfId="35465"/>
    <cellStyle name="제목 2 4 87" xfId="35507"/>
    <cellStyle name="제목 2 4 88" xfId="35549"/>
    <cellStyle name="제목 2 4 89" xfId="35591"/>
    <cellStyle name="제목 2 4 9" xfId="32221"/>
    <cellStyle name="제목 2 4 90" xfId="35633"/>
    <cellStyle name="제목 2 4 91" xfId="35675"/>
    <cellStyle name="제목 2 4 92" xfId="35171"/>
    <cellStyle name="제목 2 4 93" xfId="35855"/>
    <cellStyle name="제목 2 4 94" xfId="35895"/>
    <cellStyle name="제목 2 4 95" xfId="35935"/>
    <cellStyle name="제목 2 4 96" xfId="35975"/>
    <cellStyle name="제목 2 4 97" xfId="36015"/>
    <cellStyle name="제목 2 4 98" xfId="36055"/>
    <cellStyle name="제목 2 4 99" xfId="36095"/>
    <cellStyle name="제목 2 40" xfId="7710"/>
    <cellStyle name="제목 2 41" xfId="7711"/>
    <cellStyle name="제목 2 42" xfId="7712"/>
    <cellStyle name="제목 2 43" xfId="7713"/>
    <cellStyle name="제목 2 44" xfId="7714"/>
    <cellStyle name="제목 2 45" xfId="7715"/>
    <cellStyle name="제목 2 46" xfId="7716"/>
    <cellStyle name="제목 2 47" xfId="7717"/>
    <cellStyle name="제목 2 48" xfId="7718"/>
    <cellStyle name="제목 2 49" xfId="7719"/>
    <cellStyle name="제목 2 5" xfId="7720"/>
    <cellStyle name="제목 2 50" xfId="7721"/>
    <cellStyle name="제목 2 51" xfId="7722"/>
    <cellStyle name="제목 2 52" xfId="7723"/>
    <cellStyle name="제목 2 53" xfId="14346"/>
    <cellStyle name="제목 2 54" xfId="24479"/>
    <cellStyle name="제목 2 55" xfId="24506"/>
    <cellStyle name="제목 2 6" xfId="7724"/>
    <cellStyle name="제목 2 7" xfId="7725"/>
    <cellStyle name="제목 2 8" xfId="7726"/>
    <cellStyle name="제목 2 9" xfId="7727"/>
    <cellStyle name="제목 20" xfId="7728"/>
    <cellStyle name="제목 21" xfId="7729"/>
    <cellStyle name="제목 22" xfId="7730"/>
    <cellStyle name="제목 23" xfId="7731"/>
    <cellStyle name="제목 24" xfId="7732"/>
    <cellStyle name="제목 25" xfId="7733"/>
    <cellStyle name="제목 26" xfId="7734"/>
    <cellStyle name="제목 27" xfId="7735"/>
    <cellStyle name="제목 28" xfId="7736"/>
    <cellStyle name="제목 29" xfId="7737"/>
    <cellStyle name="제목 3 10" xfId="7738"/>
    <cellStyle name="제목 3 11" xfId="7739"/>
    <cellStyle name="제목 3 12" xfId="7740"/>
    <cellStyle name="제목 3 13" xfId="7741"/>
    <cellStyle name="제목 3 14" xfId="7742"/>
    <cellStyle name="제목 3 15" xfId="7743"/>
    <cellStyle name="제목 3 16" xfId="7744"/>
    <cellStyle name="제목 3 17" xfId="7745"/>
    <cellStyle name="제목 3 18" xfId="7746"/>
    <cellStyle name="제목 3 19" xfId="7747"/>
    <cellStyle name="제목 3 2" xfId="392"/>
    <cellStyle name="제목 3 2 10" xfId="7748"/>
    <cellStyle name="제목 3 2 100" xfId="7749"/>
    <cellStyle name="제목 3 2 101" xfId="7750"/>
    <cellStyle name="제목 3 2 102" xfId="7751"/>
    <cellStyle name="제목 3 2 103" xfId="7752"/>
    <cellStyle name="제목 3 2 104" xfId="7753"/>
    <cellStyle name="제목 3 2 105" xfId="7754"/>
    <cellStyle name="제목 3 2 106" xfId="7755"/>
    <cellStyle name="제목 3 2 107" xfId="7756"/>
    <cellStyle name="제목 3 2 108" xfId="7757"/>
    <cellStyle name="제목 3 2 109" xfId="7758"/>
    <cellStyle name="제목 3 2 11" xfId="7759"/>
    <cellStyle name="제목 3 2 110" xfId="7760"/>
    <cellStyle name="제목 3 2 111" xfId="7761"/>
    <cellStyle name="제목 3 2 112" xfId="7762"/>
    <cellStyle name="제목 3 2 12" xfId="7763"/>
    <cellStyle name="제목 3 2 13" xfId="7764"/>
    <cellStyle name="제목 3 2 14" xfId="7765"/>
    <cellStyle name="제목 3 2 15" xfId="7766"/>
    <cellStyle name="제목 3 2 16" xfId="7767"/>
    <cellStyle name="제목 3 2 17" xfId="7768"/>
    <cellStyle name="제목 3 2 18" xfId="7769"/>
    <cellStyle name="제목 3 2 19" xfId="7770"/>
    <cellStyle name="제목 3 2 2" xfId="7771"/>
    <cellStyle name="제목 3 2 2 2" xfId="7772"/>
    <cellStyle name="제목 3 2 2 3" xfId="7773"/>
    <cellStyle name="제목 3 2 2 4" xfId="7774"/>
    <cellStyle name="제목 3 2 2 5" xfId="7775"/>
    <cellStyle name="제목 3 2 20" xfId="7776"/>
    <cellStyle name="제목 3 2 21" xfId="7777"/>
    <cellStyle name="제목 3 2 22" xfId="7778"/>
    <cellStyle name="제목 3 2 23" xfId="7779"/>
    <cellStyle name="제목 3 2 24" xfId="7780"/>
    <cellStyle name="제목 3 2 25" xfId="7781"/>
    <cellStyle name="제목 3 2 26" xfId="7782"/>
    <cellStyle name="제목 3 2 27" xfId="7783"/>
    <cellStyle name="제목 3 2 28" xfId="7784"/>
    <cellStyle name="제목 3 2 29" xfId="7785"/>
    <cellStyle name="제목 3 2 3" xfId="7786"/>
    <cellStyle name="제목 3 2 30" xfId="7787"/>
    <cellStyle name="제목 3 2 31" xfId="7788"/>
    <cellStyle name="제목 3 2 32" xfId="7789"/>
    <cellStyle name="제목 3 2 33" xfId="7790"/>
    <cellStyle name="제목 3 2 34" xfId="7791"/>
    <cellStyle name="제목 3 2 35" xfId="7792"/>
    <cellStyle name="제목 3 2 36" xfId="7793"/>
    <cellStyle name="제목 3 2 37" xfId="7794"/>
    <cellStyle name="제목 3 2 38" xfId="7795"/>
    <cellStyle name="제목 3 2 39" xfId="7796"/>
    <cellStyle name="제목 3 2 4" xfId="7797"/>
    <cellStyle name="제목 3 2 40" xfId="7798"/>
    <cellStyle name="제목 3 2 41" xfId="7799"/>
    <cellStyle name="제목 3 2 42" xfId="7800"/>
    <cellStyle name="제목 3 2 43" xfId="7801"/>
    <cellStyle name="제목 3 2 44" xfId="7802"/>
    <cellStyle name="제목 3 2 45" xfId="7803"/>
    <cellStyle name="제목 3 2 46" xfId="7804"/>
    <cellStyle name="제목 3 2 47" xfId="7805"/>
    <cellStyle name="제목 3 2 48" xfId="7806"/>
    <cellStyle name="제목 3 2 49" xfId="7807"/>
    <cellStyle name="제목 3 2 5" xfId="7808"/>
    <cellStyle name="제목 3 2 50" xfId="7809"/>
    <cellStyle name="제목 3 2 51" xfId="7810"/>
    <cellStyle name="제목 3 2 52" xfId="7811"/>
    <cellStyle name="제목 3 2 53" xfId="7812"/>
    <cellStyle name="제목 3 2 54" xfId="7813"/>
    <cellStyle name="제목 3 2 55" xfId="7814"/>
    <cellStyle name="제목 3 2 56" xfId="7815"/>
    <cellStyle name="제목 3 2 57" xfId="7816"/>
    <cellStyle name="제목 3 2 58" xfId="7817"/>
    <cellStyle name="제목 3 2 59" xfId="7818"/>
    <cellStyle name="제목 3 2 6" xfId="7819"/>
    <cellStyle name="제목 3 2 60" xfId="7820"/>
    <cellStyle name="제목 3 2 61" xfId="7821"/>
    <cellStyle name="제목 3 2 62" xfId="7822"/>
    <cellStyle name="제목 3 2 63" xfId="7823"/>
    <cellStyle name="제목 3 2 64" xfId="7824"/>
    <cellStyle name="제목 3 2 65" xfId="7825"/>
    <cellStyle name="제목 3 2 66" xfId="7826"/>
    <cellStyle name="제목 3 2 67" xfId="7827"/>
    <cellStyle name="제목 3 2 68" xfId="7828"/>
    <cellStyle name="제목 3 2 69" xfId="7829"/>
    <cellStyle name="제목 3 2 7" xfId="7830"/>
    <cellStyle name="제목 3 2 70" xfId="7831"/>
    <cellStyle name="제목 3 2 71" xfId="7832"/>
    <cellStyle name="제목 3 2 72" xfId="7833"/>
    <cellStyle name="제목 3 2 73" xfId="7834"/>
    <cellStyle name="제목 3 2 74" xfId="7835"/>
    <cellStyle name="제목 3 2 75" xfId="7836"/>
    <cellStyle name="제목 3 2 76" xfId="7837"/>
    <cellStyle name="제목 3 2 77" xfId="7838"/>
    <cellStyle name="제목 3 2 78" xfId="7839"/>
    <cellStyle name="제목 3 2 79" xfId="7840"/>
    <cellStyle name="제목 3 2 8" xfId="7841"/>
    <cellStyle name="제목 3 2 80" xfId="7842"/>
    <cellStyle name="제목 3 2 81" xfId="7843"/>
    <cellStyle name="제목 3 2 82" xfId="7844"/>
    <cellStyle name="제목 3 2 83" xfId="7845"/>
    <cellStyle name="제목 3 2 84" xfId="7846"/>
    <cellStyle name="제목 3 2 85" xfId="7847"/>
    <cellStyle name="제목 3 2 86" xfId="7848"/>
    <cellStyle name="제목 3 2 87" xfId="7849"/>
    <cellStyle name="제목 3 2 88" xfId="7850"/>
    <cellStyle name="제목 3 2 89" xfId="7851"/>
    <cellStyle name="제목 3 2 9" xfId="7852"/>
    <cellStyle name="제목 3 2 90" xfId="7853"/>
    <cellStyle name="제목 3 2 91" xfId="7854"/>
    <cellStyle name="제목 3 2 92" xfId="7855"/>
    <cellStyle name="제목 3 2 93" xfId="7856"/>
    <cellStyle name="제목 3 2 94" xfId="7857"/>
    <cellStyle name="제목 3 2 95" xfId="7858"/>
    <cellStyle name="제목 3 2 96" xfId="7859"/>
    <cellStyle name="제목 3 2 97" xfId="7860"/>
    <cellStyle name="제목 3 2 98" xfId="7861"/>
    <cellStyle name="제목 3 2 99" xfId="7862"/>
    <cellStyle name="제목 3 20" xfId="7863"/>
    <cellStyle name="제목 3 21" xfId="7864"/>
    <cellStyle name="제목 3 22" xfId="7865"/>
    <cellStyle name="제목 3 23" xfId="7866"/>
    <cellStyle name="제목 3 24" xfId="7867"/>
    <cellStyle name="제목 3 25" xfId="7868"/>
    <cellStyle name="제목 3 26" xfId="7869"/>
    <cellStyle name="제목 3 27" xfId="7870"/>
    <cellStyle name="제목 3 28" xfId="7871"/>
    <cellStyle name="제목 3 29" xfId="7872"/>
    <cellStyle name="제목 3 3" xfId="393"/>
    <cellStyle name="제목 3 30" xfId="7873"/>
    <cellStyle name="제목 3 31" xfId="7874"/>
    <cellStyle name="제목 3 32" xfId="7875"/>
    <cellStyle name="제목 3 33" xfId="7876"/>
    <cellStyle name="제목 3 34" xfId="7877"/>
    <cellStyle name="제목 3 35" xfId="7878"/>
    <cellStyle name="제목 3 36" xfId="7879"/>
    <cellStyle name="제목 3 37" xfId="7880"/>
    <cellStyle name="제목 3 38" xfId="7881"/>
    <cellStyle name="제목 3 39" xfId="7882"/>
    <cellStyle name="제목 3 4" xfId="11711" hidden="1"/>
    <cellStyle name="제목 3 4" xfId="11757" hidden="1"/>
    <cellStyle name="제목 3 4" xfId="11803" hidden="1"/>
    <cellStyle name="제목 3 4" xfId="11849" hidden="1"/>
    <cellStyle name="제목 3 4" xfId="11895" hidden="1"/>
    <cellStyle name="제목 3 4" xfId="11941" hidden="1"/>
    <cellStyle name="제목 3 4" xfId="11987" hidden="1"/>
    <cellStyle name="제목 3 4" xfId="12033" hidden="1"/>
    <cellStyle name="제목 3 4" xfId="12079" hidden="1"/>
    <cellStyle name="제목 3 4" xfId="12125" hidden="1"/>
    <cellStyle name="제목 3 4" xfId="12171" hidden="1"/>
    <cellStyle name="제목 3 4" xfId="12217" hidden="1"/>
    <cellStyle name="제목 3 4" xfId="12307" hidden="1"/>
    <cellStyle name="제목 3 4" xfId="12347" hidden="1"/>
    <cellStyle name="제목 3 4" xfId="12389" hidden="1"/>
    <cellStyle name="제목 3 4" xfId="12431" hidden="1"/>
    <cellStyle name="제목 3 4" xfId="12473" hidden="1"/>
    <cellStyle name="제목 3 4" xfId="12515" hidden="1"/>
    <cellStyle name="제목 3 4" xfId="12557" hidden="1"/>
    <cellStyle name="제목 3 4" xfId="12599" hidden="1"/>
    <cellStyle name="제목 3 4" xfId="12641" hidden="1"/>
    <cellStyle name="제목 3 4" xfId="12683" hidden="1"/>
    <cellStyle name="제목 3 4" xfId="12725" hidden="1"/>
    <cellStyle name="제목 3 4" xfId="12767" hidden="1"/>
    <cellStyle name="제목 3 4" xfId="12261" hidden="1"/>
    <cellStyle name="제목 3 4" xfId="12950" hidden="1"/>
    <cellStyle name="제목 3 4" xfId="12990" hidden="1"/>
    <cellStyle name="제목 3 4" xfId="13030" hidden="1"/>
    <cellStyle name="제목 3 4" xfId="13070" hidden="1"/>
    <cellStyle name="제목 3 4" xfId="13110" hidden="1"/>
    <cellStyle name="제목 3 4" xfId="13150" hidden="1"/>
    <cellStyle name="제목 3 4" xfId="13190" hidden="1"/>
    <cellStyle name="제목 3 4" xfId="13230" hidden="1"/>
    <cellStyle name="제목 3 4" xfId="13270" hidden="1"/>
    <cellStyle name="제목 3 4" xfId="13310" hidden="1"/>
    <cellStyle name="제목 3 4" xfId="13350" hidden="1"/>
    <cellStyle name="제목 3 4" xfId="13390" hidden="1"/>
    <cellStyle name="제목 3 4" xfId="12884" hidden="1"/>
    <cellStyle name="제목 3 4" xfId="12845" hidden="1"/>
    <cellStyle name="제목 3 4" xfId="13431" hidden="1"/>
    <cellStyle name="제목 3 4" xfId="13473" hidden="1"/>
    <cellStyle name="제목 3 4" xfId="13515" hidden="1"/>
    <cellStyle name="제목 3 4" xfId="13557" hidden="1"/>
    <cellStyle name="제목 3 4" xfId="13599" hidden="1"/>
    <cellStyle name="제목 3 4" xfId="13641" hidden="1"/>
    <cellStyle name="제목 3 4" xfId="13683" hidden="1"/>
    <cellStyle name="제목 3 4" xfId="13725" hidden="1"/>
    <cellStyle name="제목 3 4" xfId="13767" hidden="1"/>
    <cellStyle name="제목 3 4" xfId="13809" hidden="1"/>
    <cellStyle name="제목 3 4" xfId="12939" hidden="1"/>
    <cellStyle name="제목 3 4" xfId="12893" hidden="1"/>
    <cellStyle name="제목 3 4" xfId="13878" hidden="1"/>
    <cellStyle name="제목 3 4" xfId="13918" hidden="1"/>
    <cellStyle name="제목 3 4" xfId="13958" hidden="1"/>
    <cellStyle name="제목 3 4" xfId="13998" hidden="1"/>
    <cellStyle name="제목 3 4" xfId="14038" hidden="1"/>
    <cellStyle name="제목 3 4" xfId="14078" hidden="1"/>
    <cellStyle name="제목 3 4" xfId="14118" hidden="1"/>
    <cellStyle name="제목 3 4" xfId="14158" hidden="1"/>
    <cellStyle name="제목 3 4" xfId="14198" hidden="1"/>
    <cellStyle name="제목 3 4" xfId="14238" hidden="1"/>
    <cellStyle name="제목 3 4" xfId="14278" hidden="1"/>
    <cellStyle name="제목 3 4" xfId="14384" hidden="1"/>
    <cellStyle name="제목 3 4" xfId="14424" hidden="1"/>
    <cellStyle name="제목 3 4" xfId="14464" hidden="1"/>
    <cellStyle name="제목 3 4" xfId="14504" hidden="1"/>
    <cellStyle name="제목 3 4" xfId="14544" hidden="1"/>
    <cellStyle name="제목 3 4" xfId="14584" hidden="1"/>
    <cellStyle name="제목 3 4" xfId="14624" hidden="1"/>
    <cellStyle name="제목 3 4" xfId="14664" hidden="1"/>
    <cellStyle name="제목 3 4" xfId="14704" hidden="1"/>
    <cellStyle name="제목 3 4" xfId="14744" hidden="1"/>
    <cellStyle name="제목 3 4" xfId="14784" hidden="1"/>
    <cellStyle name="제목 3 4" xfId="14824" hidden="1"/>
    <cellStyle name="제목 3 4" xfId="14908" hidden="1"/>
    <cellStyle name="제목 3 4" xfId="14948" hidden="1"/>
    <cellStyle name="제목 3 4" xfId="14990" hidden="1"/>
    <cellStyle name="제목 3 4" xfId="15032" hidden="1"/>
    <cellStyle name="제목 3 4" xfId="15074" hidden="1"/>
    <cellStyle name="제목 3 4" xfId="15116" hidden="1"/>
    <cellStyle name="제목 3 4" xfId="15158" hidden="1"/>
    <cellStyle name="제목 3 4" xfId="15200" hidden="1"/>
    <cellStyle name="제목 3 4" xfId="15242" hidden="1"/>
    <cellStyle name="제목 3 4" xfId="15284" hidden="1"/>
    <cellStyle name="제목 3 4" xfId="15326" hidden="1"/>
    <cellStyle name="제목 3 4" xfId="15368" hidden="1"/>
    <cellStyle name="제목 3 4" xfId="14864" hidden="1"/>
    <cellStyle name="제목 3 4" xfId="15548" hidden="1"/>
    <cellStyle name="제목 3 4" xfId="15588" hidden="1"/>
    <cellStyle name="제목 3 4" xfId="15628" hidden="1"/>
    <cellStyle name="제목 3 4" xfId="15668" hidden="1"/>
    <cellStyle name="제목 3 4" xfId="15708" hidden="1"/>
    <cellStyle name="제목 3 4" xfId="15748" hidden="1"/>
    <cellStyle name="제목 3 4" xfId="15788" hidden="1"/>
    <cellStyle name="제목 3 4" xfId="15828" hidden="1"/>
    <cellStyle name="제목 3 4" xfId="15868" hidden="1"/>
    <cellStyle name="제목 3 4" xfId="15908" hidden="1"/>
    <cellStyle name="제목 3 4" xfId="15948" hidden="1"/>
    <cellStyle name="제목 3 4" xfId="15988" hidden="1"/>
    <cellStyle name="제목 3 4" xfId="15484" hidden="1"/>
    <cellStyle name="제목 3 4" xfId="15445" hidden="1"/>
    <cellStyle name="제목 3 4" xfId="16029" hidden="1"/>
    <cellStyle name="제목 3 4" xfId="16071" hidden="1"/>
    <cellStyle name="제목 3 4" xfId="16113" hidden="1"/>
    <cellStyle name="제목 3 4" xfId="16155" hidden="1"/>
    <cellStyle name="제목 3 4" xfId="16197" hidden="1"/>
    <cellStyle name="제목 3 4" xfId="16239" hidden="1"/>
    <cellStyle name="제목 3 4" xfId="16281" hidden="1"/>
    <cellStyle name="제목 3 4" xfId="16323" hidden="1"/>
    <cellStyle name="제목 3 4" xfId="16365" hidden="1"/>
    <cellStyle name="제목 3 4" xfId="16407" hidden="1"/>
    <cellStyle name="제목 3 4" xfId="15538" hidden="1"/>
    <cellStyle name="제목 3 4" xfId="15492" hidden="1"/>
    <cellStyle name="제목 3 4" xfId="16476" hidden="1"/>
    <cellStyle name="제목 3 4" xfId="16516" hidden="1"/>
    <cellStyle name="제목 3 4" xfId="16556" hidden="1"/>
    <cellStyle name="제목 3 4" xfId="16596" hidden="1"/>
    <cellStyle name="제목 3 4" xfId="16636" hidden="1"/>
    <cellStyle name="제목 3 4" xfId="16676" hidden="1"/>
    <cellStyle name="제목 3 4" xfId="16716" hidden="1"/>
    <cellStyle name="제목 3 4" xfId="16756" hidden="1"/>
    <cellStyle name="제목 3 4" xfId="16796" hidden="1"/>
    <cellStyle name="제목 3 4" xfId="16836" hidden="1"/>
    <cellStyle name="제목 3 4" xfId="16876" hidden="1"/>
    <cellStyle name="제목 3 4" xfId="14340" hidden="1"/>
    <cellStyle name="제목 3 4" xfId="16927" hidden="1"/>
    <cellStyle name="제목 3 4" xfId="16968" hidden="1"/>
    <cellStyle name="제목 3 4" xfId="17008" hidden="1"/>
    <cellStyle name="제목 3 4" xfId="17048" hidden="1"/>
    <cellStyle name="제목 3 4" xfId="17088" hidden="1"/>
    <cellStyle name="제목 3 4" xfId="17128" hidden="1"/>
    <cellStyle name="제목 3 4" xfId="17168" hidden="1"/>
    <cellStyle name="제목 3 4" xfId="17208" hidden="1"/>
    <cellStyle name="제목 3 4" xfId="17248" hidden="1"/>
    <cellStyle name="제목 3 4" xfId="17288" hidden="1"/>
    <cellStyle name="제목 3 4" xfId="17328" hidden="1"/>
    <cellStyle name="제목 3 4" xfId="17412" hidden="1"/>
    <cellStyle name="제목 3 4" xfId="17452" hidden="1"/>
    <cellStyle name="제목 3 4" xfId="17494" hidden="1"/>
    <cellStyle name="제목 3 4" xfId="17536" hidden="1"/>
    <cellStyle name="제목 3 4" xfId="17578" hidden="1"/>
    <cellStyle name="제목 3 4" xfId="17620" hidden="1"/>
    <cellStyle name="제목 3 4" xfId="17662" hidden="1"/>
    <cellStyle name="제목 3 4" xfId="17704" hidden="1"/>
    <cellStyle name="제목 3 4" xfId="17746" hidden="1"/>
    <cellStyle name="제목 3 4" xfId="17788" hidden="1"/>
    <cellStyle name="제목 3 4" xfId="17830" hidden="1"/>
    <cellStyle name="제목 3 4" xfId="17872" hidden="1"/>
    <cellStyle name="제목 3 4" xfId="17368" hidden="1"/>
    <cellStyle name="제목 3 4" xfId="18052" hidden="1"/>
    <cellStyle name="제목 3 4" xfId="18092" hidden="1"/>
    <cellStyle name="제목 3 4" xfId="18132" hidden="1"/>
    <cellStyle name="제목 3 4" xfId="18172" hidden="1"/>
    <cellStyle name="제목 3 4" xfId="18212" hidden="1"/>
    <cellStyle name="제목 3 4" xfId="18252" hidden="1"/>
    <cellStyle name="제목 3 4" xfId="18292" hidden="1"/>
    <cellStyle name="제목 3 4" xfId="18332" hidden="1"/>
    <cellStyle name="제목 3 4" xfId="18372" hidden="1"/>
    <cellStyle name="제목 3 4" xfId="18412" hidden="1"/>
    <cellStyle name="제목 3 4" xfId="18452" hidden="1"/>
    <cellStyle name="제목 3 4" xfId="18492" hidden="1"/>
    <cellStyle name="제목 3 4" xfId="17988" hidden="1"/>
    <cellStyle name="제목 3 4" xfId="17949" hidden="1"/>
    <cellStyle name="제목 3 4" xfId="18533" hidden="1"/>
    <cellStyle name="제목 3 4" xfId="18575" hidden="1"/>
    <cellStyle name="제목 3 4" xfId="18617" hidden="1"/>
    <cellStyle name="제목 3 4" xfId="18659" hidden="1"/>
    <cellStyle name="제목 3 4" xfId="18701" hidden="1"/>
    <cellStyle name="제목 3 4" xfId="18743" hidden="1"/>
    <cellStyle name="제목 3 4" xfId="18785" hidden="1"/>
    <cellStyle name="제목 3 4" xfId="18827" hidden="1"/>
    <cellStyle name="제목 3 4" xfId="18869" hidden="1"/>
    <cellStyle name="제목 3 4" xfId="18911" hidden="1"/>
    <cellStyle name="제목 3 4" xfId="18042" hidden="1"/>
    <cellStyle name="제목 3 4" xfId="17996" hidden="1"/>
    <cellStyle name="제목 3 4" xfId="18980" hidden="1"/>
    <cellStyle name="제목 3 4" xfId="19020" hidden="1"/>
    <cellStyle name="제목 3 4" xfId="19060" hidden="1"/>
    <cellStyle name="제목 3 4" xfId="19100" hidden="1"/>
    <cellStyle name="제목 3 4" xfId="19140" hidden="1"/>
    <cellStyle name="제목 3 4" xfId="19180" hidden="1"/>
    <cellStyle name="제목 3 4" xfId="19220" hidden="1"/>
    <cellStyle name="제목 3 4" xfId="19260" hidden="1"/>
    <cellStyle name="제목 3 4" xfId="19300" hidden="1"/>
    <cellStyle name="제목 3 4" xfId="19340" hidden="1"/>
    <cellStyle name="제목 3 4" xfId="19380" hidden="1"/>
    <cellStyle name="제목 3 4" xfId="14352" hidden="1"/>
    <cellStyle name="제목 3 4" xfId="19430" hidden="1"/>
    <cellStyle name="제목 3 4" xfId="19470" hidden="1"/>
    <cellStyle name="제목 3 4" xfId="19510" hidden="1"/>
    <cellStyle name="제목 3 4" xfId="19550" hidden="1"/>
    <cellStyle name="제목 3 4" xfId="19590" hidden="1"/>
    <cellStyle name="제목 3 4" xfId="19630" hidden="1"/>
    <cellStyle name="제목 3 4" xfId="19670" hidden="1"/>
    <cellStyle name="제목 3 4" xfId="19710" hidden="1"/>
    <cellStyle name="제목 3 4" xfId="19750" hidden="1"/>
    <cellStyle name="제목 3 4" xfId="19790" hidden="1"/>
    <cellStyle name="제목 3 4" xfId="19830" hidden="1"/>
    <cellStyle name="제목 3 4" xfId="19914" hidden="1"/>
    <cellStyle name="제목 3 4" xfId="19954" hidden="1"/>
    <cellStyle name="제목 3 4" xfId="19996" hidden="1"/>
    <cellStyle name="제목 3 4" xfId="20038" hidden="1"/>
    <cellStyle name="제목 3 4" xfId="20080" hidden="1"/>
    <cellStyle name="제목 3 4" xfId="20122" hidden="1"/>
    <cellStyle name="제목 3 4" xfId="20164" hidden="1"/>
    <cellStyle name="제목 3 4" xfId="20206" hidden="1"/>
    <cellStyle name="제목 3 4" xfId="20248" hidden="1"/>
    <cellStyle name="제목 3 4" xfId="20290" hidden="1"/>
    <cellStyle name="제목 3 4" xfId="20332" hidden="1"/>
    <cellStyle name="제목 3 4" xfId="20374" hidden="1"/>
    <cellStyle name="제목 3 4" xfId="19870" hidden="1"/>
    <cellStyle name="제목 3 4" xfId="20554" hidden="1"/>
    <cellStyle name="제목 3 4" xfId="20594" hidden="1"/>
    <cellStyle name="제목 3 4" xfId="20634" hidden="1"/>
    <cellStyle name="제목 3 4" xfId="20674" hidden="1"/>
    <cellStyle name="제목 3 4" xfId="20714" hidden="1"/>
    <cellStyle name="제목 3 4" xfId="20754" hidden="1"/>
    <cellStyle name="제목 3 4" xfId="20794" hidden="1"/>
    <cellStyle name="제목 3 4" xfId="20834" hidden="1"/>
    <cellStyle name="제목 3 4" xfId="20874" hidden="1"/>
    <cellStyle name="제목 3 4" xfId="20914" hidden="1"/>
    <cellStyle name="제목 3 4" xfId="20954" hidden="1"/>
    <cellStyle name="제목 3 4" xfId="20994" hidden="1"/>
    <cellStyle name="제목 3 4" xfId="20490" hidden="1"/>
    <cellStyle name="제목 3 4" xfId="20451" hidden="1"/>
    <cellStyle name="제목 3 4" xfId="21035" hidden="1"/>
    <cellStyle name="제목 3 4" xfId="21077" hidden="1"/>
    <cellStyle name="제목 3 4" xfId="21119" hidden="1"/>
    <cellStyle name="제목 3 4" xfId="21161" hidden="1"/>
    <cellStyle name="제목 3 4" xfId="21203" hidden="1"/>
    <cellStyle name="제목 3 4" xfId="21245" hidden="1"/>
    <cellStyle name="제목 3 4" xfId="21287" hidden="1"/>
    <cellStyle name="제목 3 4" xfId="21329" hidden="1"/>
    <cellStyle name="제목 3 4" xfId="21371" hidden="1"/>
    <cellStyle name="제목 3 4" xfId="21413" hidden="1"/>
    <cellStyle name="제목 3 4" xfId="20544" hidden="1"/>
    <cellStyle name="제목 3 4" xfId="20498" hidden="1"/>
    <cellStyle name="제목 3 4" xfId="21482" hidden="1"/>
    <cellStyle name="제목 3 4" xfId="21522" hidden="1"/>
    <cellStyle name="제목 3 4" xfId="21562" hidden="1"/>
    <cellStyle name="제목 3 4" xfId="21602" hidden="1"/>
    <cellStyle name="제목 3 4" xfId="21642" hidden="1"/>
    <cellStyle name="제목 3 4" xfId="21682" hidden="1"/>
    <cellStyle name="제목 3 4" xfId="21722" hidden="1"/>
    <cellStyle name="제목 3 4" xfId="21762" hidden="1"/>
    <cellStyle name="제목 3 4" xfId="21802" hidden="1"/>
    <cellStyle name="제목 3 4" xfId="21842" hidden="1"/>
    <cellStyle name="제목 3 4" xfId="21882" hidden="1"/>
    <cellStyle name="제목 3 4" xfId="21950" hidden="1"/>
    <cellStyle name="제목 3 4" xfId="21990" hidden="1"/>
    <cellStyle name="제목 3 4" xfId="22030" hidden="1"/>
    <cellStyle name="제목 3 4" xfId="22070" hidden="1"/>
    <cellStyle name="제목 3 4" xfId="22110" hidden="1"/>
    <cellStyle name="제목 3 4" xfId="22150" hidden="1"/>
    <cellStyle name="제목 3 4" xfId="22190" hidden="1"/>
    <cellStyle name="제목 3 4" xfId="22230" hidden="1"/>
    <cellStyle name="제목 3 4" xfId="22270" hidden="1"/>
    <cellStyle name="제목 3 4" xfId="22310" hidden="1"/>
    <cellStyle name="제목 3 4" xfId="22350" hidden="1"/>
    <cellStyle name="제목 3 4" xfId="22390" hidden="1"/>
    <cellStyle name="제목 3 4" xfId="22474" hidden="1"/>
    <cellStyle name="제목 3 4" xfId="22514" hidden="1"/>
    <cellStyle name="제목 3 4" xfId="22556" hidden="1"/>
    <cellStyle name="제목 3 4" xfId="22598" hidden="1"/>
    <cellStyle name="제목 3 4" xfId="22640" hidden="1"/>
    <cellStyle name="제목 3 4" xfId="22682" hidden="1"/>
    <cellStyle name="제목 3 4" xfId="22724" hidden="1"/>
    <cellStyle name="제목 3 4" xfId="22766" hidden="1"/>
    <cellStyle name="제목 3 4" xfId="22808" hidden="1"/>
    <cellStyle name="제목 3 4" xfId="22850" hidden="1"/>
    <cellStyle name="제목 3 4" xfId="22892" hidden="1"/>
    <cellStyle name="제목 3 4" xfId="22934" hidden="1"/>
    <cellStyle name="제목 3 4" xfId="22430" hidden="1"/>
    <cellStyle name="제목 3 4" xfId="23114" hidden="1"/>
    <cellStyle name="제목 3 4" xfId="23154" hidden="1"/>
    <cellStyle name="제목 3 4" xfId="23194" hidden="1"/>
    <cellStyle name="제목 3 4" xfId="23234" hidden="1"/>
    <cellStyle name="제목 3 4" xfId="23274" hidden="1"/>
    <cellStyle name="제목 3 4" xfId="23314" hidden="1"/>
    <cellStyle name="제목 3 4" xfId="23354" hidden="1"/>
    <cellStyle name="제목 3 4" xfId="23394" hidden="1"/>
    <cellStyle name="제목 3 4" xfId="23434" hidden="1"/>
    <cellStyle name="제목 3 4" xfId="23474" hidden="1"/>
    <cellStyle name="제목 3 4" xfId="23514" hidden="1"/>
    <cellStyle name="제목 3 4" xfId="23554" hidden="1"/>
    <cellStyle name="제목 3 4" xfId="23050" hidden="1"/>
    <cellStyle name="제목 3 4" xfId="23011" hidden="1"/>
    <cellStyle name="제목 3 4" xfId="23595" hidden="1"/>
    <cellStyle name="제목 3 4" xfId="23637" hidden="1"/>
    <cellStyle name="제목 3 4" xfId="23679" hidden="1"/>
    <cellStyle name="제목 3 4" xfId="23721" hidden="1"/>
    <cellStyle name="제목 3 4" xfId="23763" hidden="1"/>
    <cellStyle name="제목 3 4" xfId="23805" hidden="1"/>
    <cellStyle name="제목 3 4" xfId="23847" hidden="1"/>
    <cellStyle name="제목 3 4" xfId="23889" hidden="1"/>
    <cellStyle name="제목 3 4" xfId="23931" hidden="1"/>
    <cellStyle name="제목 3 4" xfId="23973" hidden="1"/>
    <cellStyle name="제목 3 4" xfId="23104" hidden="1"/>
    <cellStyle name="제목 3 4" xfId="23058" hidden="1"/>
    <cellStyle name="제목 3 4" xfId="24042" hidden="1"/>
    <cellStyle name="제목 3 4" xfId="24082" hidden="1"/>
    <cellStyle name="제목 3 4" xfId="24122" hidden="1"/>
    <cellStyle name="제목 3 4" xfId="24162" hidden="1"/>
    <cellStyle name="제목 3 4" xfId="24202" hidden="1"/>
    <cellStyle name="제목 3 4" xfId="24242" hidden="1"/>
    <cellStyle name="제목 3 4" xfId="24282" hidden="1"/>
    <cellStyle name="제목 3 4" xfId="24322" hidden="1"/>
    <cellStyle name="제목 3 4" xfId="24362" hidden="1"/>
    <cellStyle name="제목 3 4" xfId="24402" hidden="1"/>
    <cellStyle name="제목 3 4" xfId="24442" hidden="1"/>
    <cellStyle name="제목 3 4" xfId="24540" hidden="1"/>
    <cellStyle name="제목 3 4" xfId="24580" hidden="1"/>
    <cellStyle name="제목 3 4" xfId="24621" hidden="1"/>
    <cellStyle name="제목 3 4" xfId="24663" hidden="1"/>
    <cellStyle name="제목 3 4" xfId="24703" hidden="1"/>
    <cellStyle name="제목 3 4" xfId="24743" hidden="1"/>
    <cellStyle name="제목 3 4" xfId="24783" hidden="1"/>
    <cellStyle name="제목 3 4" xfId="24823" hidden="1"/>
    <cellStyle name="제목 3 4" xfId="24863" hidden="1"/>
    <cellStyle name="제목 3 4" xfId="24903" hidden="1"/>
    <cellStyle name="제목 3 4" xfId="24943" hidden="1"/>
    <cellStyle name="제목 3 4" xfId="24983" hidden="1"/>
    <cellStyle name="제목 3 4" xfId="25067" hidden="1"/>
    <cellStyle name="제목 3 4" xfId="25107" hidden="1"/>
    <cellStyle name="제목 3 4" xfId="25149" hidden="1"/>
    <cellStyle name="제목 3 4" xfId="25191" hidden="1"/>
    <cellStyle name="제목 3 4" xfId="25233" hidden="1"/>
    <cellStyle name="제목 3 4" xfId="25275" hidden="1"/>
    <cellStyle name="제목 3 4" xfId="25317" hidden="1"/>
    <cellStyle name="제목 3 4" xfId="25359" hidden="1"/>
    <cellStyle name="제목 3 4" xfId="25401" hidden="1"/>
    <cellStyle name="제목 3 4" xfId="25443" hidden="1"/>
    <cellStyle name="제목 3 4" xfId="25485" hidden="1"/>
    <cellStyle name="제목 3 4" xfId="25527" hidden="1"/>
    <cellStyle name="제목 3 4" xfId="25023" hidden="1"/>
    <cellStyle name="제목 3 4" xfId="25707" hidden="1"/>
    <cellStyle name="제목 3 4" xfId="25747" hidden="1"/>
    <cellStyle name="제목 3 4" xfId="25787" hidden="1"/>
    <cellStyle name="제목 3 4" xfId="25827" hidden="1"/>
    <cellStyle name="제목 3 4" xfId="25867" hidden="1"/>
    <cellStyle name="제목 3 4" xfId="25907" hidden="1"/>
    <cellStyle name="제목 3 4" xfId="25947" hidden="1"/>
    <cellStyle name="제목 3 4" xfId="25987" hidden="1"/>
    <cellStyle name="제목 3 4" xfId="26027" hidden="1"/>
    <cellStyle name="제목 3 4" xfId="26067" hidden="1"/>
    <cellStyle name="제목 3 4" xfId="26107" hidden="1"/>
    <cellStyle name="제목 3 4" xfId="26147" hidden="1"/>
    <cellStyle name="제목 3 4" xfId="25643" hidden="1"/>
    <cellStyle name="제목 3 4" xfId="25604" hidden="1"/>
    <cellStyle name="제목 3 4" xfId="26188" hidden="1"/>
    <cellStyle name="제목 3 4" xfId="26230" hidden="1"/>
    <cellStyle name="제목 3 4" xfId="26272" hidden="1"/>
    <cellStyle name="제목 3 4" xfId="26314" hidden="1"/>
    <cellStyle name="제목 3 4" xfId="26356" hidden="1"/>
    <cellStyle name="제목 3 4" xfId="26398" hidden="1"/>
    <cellStyle name="제목 3 4" xfId="26440" hidden="1"/>
    <cellStyle name="제목 3 4" xfId="26482" hidden="1"/>
    <cellStyle name="제목 3 4" xfId="26524" hidden="1"/>
    <cellStyle name="제목 3 4" xfId="26566" hidden="1"/>
    <cellStyle name="제목 3 4" xfId="25697" hidden="1"/>
    <cellStyle name="제목 3 4" xfId="25651" hidden="1"/>
    <cellStyle name="제목 3 4" xfId="26635" hidden="1"/>
    <cellStyle name="제목 3 4" xfId="26675" hidden="1"/>
    <cellStyle name="제목 3 4" xfId="26715" hidden="1"/>
    <cellStyle name="제목 3 4" xfId="26755" hidden="1"/>
    <cellStyle name="제목 3 4" xfId="26795" hidden="1"/>
    <cellStyle name="제목 3 4" xfId="26835" hidden="1"/>
    <cellStyle name="제목 3 4" xfId="26875" hidden="1"/>
    <cellStyle name="제목 3 4" xfId="26915" hidden="1"/>
    <cellStyle name="제목 3 4" xfId="26955" hidden="1"/>
    <cellStyle name="제목 3 4" xfId="26995" hidden="1"/>
    <cellStyle name="제목 3 4" xfId="27035" hidden="1"/>
    <cellStyle name="제목 3 4" xfId="24502" hidden="1"/>
    <cellStyle name="제목 3 4" xfId="27086" hidden="1"/>
    <cellStyle name="제목 3 4" xfId="27126" hidden="1"/>
    <cellStyle name="제목 3 4" xfId="27166" hidden="1"/>
    <cellStyle name="제목 3 4" xfId="27206" hidden="1"/>
    <cellStyle name="제목 3 4" xfId="27246" hidden="1"/>
    <cellStyle name="제목 3 4" xfId="27286" hidden="1"/>
    <cellStyle name="제목 3 4" xfId="27326" hidden="1"/>
    <cellStyle name="제목 3 4" xfId="27366" hidden="1"/>
    <cellStyle name="제목 3 4" xfId="27406" hidden="1"/>
    <cellStyle name="제목 3 4" xfId="27446" hidden="1"/>
    <cellStyle name="제목 3 4" xfId="27486" hidden="1"/>
    <cellStyle name="제목 3 4" xfId="27570" hidden="1"/>
    <cellStyle name="제목 3 4" xfId="27610" hidden="1"/>
    <cellStyle name="제목 3 4" xfId="27652" hidden="1"/>
    <cellStyle name="제목 3 4" xfId="27694" hidden="1"/>
    <cellStyle name="제목 3 4" xfId="27736" hidden="1"/>
    <cellStyle name="제목 3 4" xfId="27778" hidden="1"/>
    <cellStyle name="제목 3 4" xfId="27820" hidden="1"/>
    <cellStyle name="제목 3 4" xfId="27862" hidden="1"/>
    <cellStyle name="제목 3 4" xfId="27904" hidden="1"/>
    <cellStyle name="제목 3 4" xfId="27946" hidden="1"/>
    <cellStyle name="제목 3 4" xfId="27988" hidden="1"/>
    <cellStyle name="제목 3 4" xfId="28030" hidden="1"/>
    <cellStyle name="제목 3 4" xfId="27526" hidden="1"/>
    <cellStyle name="제목 3 4" xfId="28210" hidden="1"/>
    <cellStyle name="제목 3 4" xfId="28250" hidden="1"/>
    <cellStyle name="제목 3 4" xfId="28290" hidden="1"/>
    <cellStyle name="제목 3 4" xfId="28330" hidden="1"/>
    <cellStyle name="제목 3 4" xfId="28370" hidden="1"/>
    <cellStyle name="제목 3 4" xfId="28410" hidden="1"/>
    <cellStyle name="제목 3 4" xfId="28450" hidden="1"/>
    <cellStyle name="제목 3 4" xfId="28490" hidden="1"/>
    <cellStyle name="제목 3 4" xfId="28530" hidden="1"/>
    <cellStyle name="제목 3 4" xfId="28570" hidden="1"/>
    <cellStyle name="제목 3 4" xfId="28610" hidden="1"/>
    <cellStyle name="제목 3 4" xfId="28650" hidden="1"/>
    <cellStyle name="제목 3 4" xfId="28146" hidden="1"/>
    <cellStyle name="제목 3 4" xfId="28107" hidden="1"/>
    <cellStyle name="제목 3 4" xfId="28691" hidden="1"/>
    <cellStyle name="제목 3 4" xfId="28733" hidden="1"/>
    <cellStyle name="제목 3 4" xfId="28775" hidden="1"/>
    <cellStyle name="제목 3 4" xfId="28817" hidden="1"/>
    <cellStyle name="제목 3 4" xfId="28859" hidden="1"/>
    <cellStyle name="제목 3 4" xfId="28901" hidden="1"/>
    <cellStyle name="제목 3 4" xfId="28943" hidden="1"/>
    <cellStyle name="제목 3 4" xfId="28985" hidden="1"/>
    <cellStyle name="제목 3 4" xfId="29027" hidden="1"/>
    <cellStyle name="제목 3 4" xfId="29069" hidden="1"/>
    <cellStyle name="제목 3 4" xfId="28200" hidden="1"/>
    <cellStyle name="제목 3 4" xfId="28154" hidden="1"/>
    <cellStyle name="제목 3 4" xfId="29138" hidden="1"/>
    <cellStyle name="제목 3 4" xfId="29178" hidden="1"/>
    <cellStyle name="제목 3 4" xfId="29218" hidden="1"/>
    <cellStyle name="제목 3 4" xfId="29258" hidden="1"/>
    <cellStyle name="제목 3 4" xfId="29298" hidden="1"/>
    <cellStyle name="제목 3 4" xfId="29338" hidden="1"/>
    <cellStyle name="제목 3 4" xfId="29378" hidden="1"/>
    <cellStyle name="제목 3 4" xfId="29418" hidden="1"/>
    <cellStyle name="제목 3 4" xfId="29458" hidden="1"/>
    <cellStyle name="제목 3 4" xfId="29498" hidden="1"/>
    <cellStyle name="제목 3 4" xfId="29538" hidden="1"/>
    <cellStyle name="제목 3 4" xfId="24510" hidden="1"/>
    <cellStyle name="제목 3 4" xfId="29588" hidden="1"/>
    <cellStyle name="제목 3 4" xfId="29628" hidden="1"/>
    <cellStyle name="제목 3 4" xfId="29668" hidden="1"/>
    <cellStyle name="제목 3 4" xfId="29708" hidden="1"/>
    <cellStyle name="제목 3 4" xfId="29748" hidden="1"/>
    <cellStyle name="제목 3 4" xfId="29788" hidden="1"/>
    <cellStyle name="제목 3 4" xfId="29828" hidden="1"/>
    <cellStyle name="제목 3 4" xfId="29868" hidden="1"/>
    <cellStyle name="제목 3 4" xfId="29908" hidden="1"/>
    <cellStyle name="제목 3 4" xfId="29948" hidden="1"/>
    <cellStyle name="제목 3 4" xfId="29988" hidden="1"/>
    <cellStyle name="제목 3 4" xfId="30072" hidden="1"/>
    <cellStyle name="제목 3 4" xfId="30112" hidden="1"/>
    <cellStyle name="제목 3 4" xfId="30154" hidden="1"/>
    <cellStyle name="제목 3 4" xfId="30196" hidden="1"/>
    <cellStyle name="제목 3 4" xfId="30238" hidden="1"/>
    <cellStyle name="제목 3 4" xfId="30280" hidden="1"/>
    <cellStyle name="제목 3 4" xfId="30322" hidden="1"/>
    <cellStyle name="제목 3 4" xfId="30364" hidden="1"/>
    <cellStyle name="제목 3 4" xfId="30406" hidden="1"/>
    <cellStyle name="제목 3 4" xfId="30448" hidden="1"/>
    <cellStyle name="제목 3 4" xfId="30490" hidden="1"/>
    <cellStyle name="제목 3 4" xfId="30532" hidden="1"/>
    <cellStyle name="제목 3 4" xfId="30028" hidden="1"/>
    <cellStyle name="제목 3 4" xfId="30712" hidden="1"/>
    <cellStyle name="제목 3 4" xfId="30752" hidden="1"/>
    <cellStyle name="제목 3 4" xfId="30792" hidden="1"/>
    <cellStyle name="제목 3 4" xfId="30832" hidden="1"/>
    <cellStyle name="제목 3 4" xfId="30872" hidden="1"/>
    <cellStyle name="제목 3 4" xfId="30912" hidden="1"/>
    <cellStyle name="제목 3 4" xfId="30952" hidden="1"/>
    <cellStyle name="제목 3 4" xfId="30992" hidden="1"/>
    <cellStyle name="제목 3 4" xfId="31032" hidden="1"/>
    <cellStyle name="제목 3 4" xfId="31072" hidden="1"/>
    <cellStyle name="제목 3 4" xfId="31112" hidden="1"/>
    <cellStyle name="제목 3 4" xfId="31152" hidden="1"/>
    <cellStyle name="제목 3 4" xfId="30648" hidden="1"/>
    <cellStyle name="제목 3 4" xfId="30609" hidden="1"/>
    <cellStyle name="제목 3 4" xfId="31193" hidden="1"/>
    <cellStyle name="제목 3 4" xfId="31235" hidden="1"/>
    <cellStyle name="제목 3 4" xfId="31277" hidden="1"/>
    <cellStyle name="제목 3 4" xfId="31319" hidden="1"/>
    <cellStyle name="제목 3 4" xfId="31361" hidden="1"/>
    <cellStyle name="제목 3 4" xfId="31403" hidden="1"/>
    <cellStyle name="제목 3 4" xfId="31445" hidden="1"/>
    <cellStyle name="제목 3 4" xfId="31487" hidden="1"/>
    <cellStyle name="제목 3 4" xfId="31529" hidden="1"/>
    <cellStyle name="제목 3 4" xfId="31571" hidden="1"/>
    <cellStyle name="제목 3 4" xfId="30702" hidden="1"/>
    <cellStyle name="제목 3 4" xfId="30656" hidden="1"/>
    <cellStyle name="제목 3 4" xfId="31640" hidden="1"/>
    <cellStyle name="제목 3 4" xfId="31680" hidden="1"/>
    <cellStyle name="제목 3 4" xfId="31720" hidden="1"/>
    <cellStyle name="제목 3 4" xfId="31760" hidden="1"/>
    <cellStyle name="제목 3 4" xfId="31800" hidden="1"/>
    <cellStyle name="제목 3 4" xfId="31840" hidden="1"/>
    <cellStyle name="제목 3 4" xfId="31880" hidden="1"/>
    <cellStyle name="제목 3 4" xfId="31920" hidden="1"/>
    <cellStyle name="제목 3 4" xfId="31960" hidden="1"/>
    <cellStyle name="제목 3 4" xfId="32000" hidden="1"/>
    <cellStyle name="제목 3 4" xfId="32040" hidden="1"/>
    <cellStyle name="제목 3 4" xfId="21942"/>
    <cellStyle name="제목 3 4 10" xfId="32262"/>
    <cellStyle name="제목 3 4 100" xfId="36136"/>
    <cellStyle name="제목 3 4 101" xfId="36176"/>
    <cellStyle name="제목 3 4 102" xfId="36216"/>
    <cellStyle name="제목 3 4 103" xfId="36256"/>
    <cellStyle name="제목 3 4 104" xfId="36296"/>
    <cellStyle name="제목 3 4 105" xfId="35792"/>
    <cellStyle name="제목 3 4 106" xfId="35753"/>
    <cellStyle name="제목 3 4 107" xfId="36337"/>
    <cellStyle name="제목 3 4 108" xfId="36379"/>
    <cellStyle name="제목 3 4 109" xfId="36421"/>
    <cellStyle name="제목 3 4 11" xfId="32302"/>
    <cellStyle name="제목 3 4 110" xfId="36463"/>
    <cellStyle name="제목 3 4 111" xfId="36505"/>
    <cellStyle name="제목 3 4 112" xfId="36547"/>
    <cellStyle name="제목 3 4 113" xfId="36589"/>
    <cellStyle name="제목 3 4 114" xfId="36631"/>
    <cellStyle name="제목 3 4 115" xfId="36673"/>
    <cellStyle name="제목 3 4 116" xfId="36715"/>
    <cellStyle name="제목 3 4 117" xfId="35846"/>
    <cellStyle name="제목 3 4 118" xfId="35800"/>
    <cellStyle name="제목 3 4 119" xfId="36784"/>
    <cellStyle name="제목 3 4 12" xfId="32342"/>
    <cellStyle name="제목 3 4 120" xfId="36824"/>
    <cellStyle name="제목 3 4 121" xfId="36864"/>
    <cellStyle name="제목 3 4 122" xfId="36904"/>
    <cellStyle name="제목 3 4 123" xfId="36944"/>
    <cellStyle name="제목 3 4 124" xfId="36984"/>
    <cellStyle name="제목 3 4 125" xfId="37024"/>
    <cellStyle name="제목 3 4 126" xfId="37064"/>
    <cellStyle name="제목 3 4 127" xfId="37104"/>
    <cellStyle name="제목 3 4 128" xfId="37144"/>
    <cellStyle name="제목 3 4 129" xfId="37184"/>
    <cellStyle name="제목 3 4 13" xfId="32382"/>
    <cellStyle name="제목 3 4 130" xfId="34654"/>
    <cellStyle name="제목 3 4 131" xfId="37235"/>
    <cellStyle name="제목 3 4 132" xfId="37276"/>
    <cellStyle name="제목 3 4 133" xfId="37316"/>
    <cellStyle name="제목 3 4 134" xfId="37356"/>
    <cellStyle name="제목 3 4 135" xfId="37396"/>
    <cellStyle name="제목 3 4 136" xfId="37436"/>
    <cellStyle name="제목 3 4 137" xfId="37476"/>
    <cellStyle name="제목 3 4 138" xfId="37516"/>
    <cellStyle name="제목 3 4 139" xfId="37556"/>
    <cellStyle name="제목 3 4 14" xfId="32422"/>
    <cellStyle name="제목 3 4 140" xfId="37596"/>
    <cellStyle name="제목 3 4 141" xfId="37636"/>
    <cellStyle name="제목 3 4 142" xfId="37720"/>
    <cellStyle name="제목 3 4 143" xfId="37760"/>
    <cellStyle name="제목 3 4 144" xfId="37802"/>
    <cellStyle name="제목 3 4 145" xfId="37844"/>
    <cellStyle name="제목 3 4 146" xfId="37886"/>
    <cellStyle name="제목 3 4 147" xfId="37928"/>
    <cellStyle name="제목 3 4 148" xfId="37970"/>
    <cellStyle name="제목 3 4 149" xfId="38012"/>
    <cellStyle name="제목 3 4 15" xfId="32462"/>
    <cellStyle name="제목 3 4 150" xfId="38054"/>
    <cellStyle name="제목 3 4 151" xfId="38096"/>
    <cellStyle name="제목 3 4 152" xfId="38138"/>
    <cellStyle name="제목 3 4 153" xfId="38180"/>
    <cellStyle name="제목 3 4 154" xfId="37676"/>
    <cellStyle name="제목 3 4 155" xfId="38360"/>
    <cellStyle name="제목 3 4 156" xfId="38400"/>
    <cellStyle name="제목 3 4 157" xfId="38440"/>
    <cellStyle name="제목 3 4 158" xfId="38480"/>
    <cellStyle name="제목 3 4 159" xfId="38520"/>
    <cellStyle name="제목 3 4 16" xfId="32502"/>
    <cellStyle name="제목 3 4 160" xfId="38560"/>
    <cellStyle name="제목 3 4 161" xfId="38600"/>
    <cellStyle name="제목 3 4 162" xfId="38640"/>
    <cellStyle name="제목 3 4 163" xfId="38680"/>
    <cellStyle name="제목 3 4 164" xfId="38720"/>
    <cellStyle name="제목 3 4 165" xfId="38760"/>
    <cellStyle name="제목 3 4 166" xfId="38800"/>
    <cellStyle name="제목 3 4 167" xfId="38296"/>
    <cellStyle name="제목 3 4 168" xfId="38257"/>
    <cellStyle name="제목 3 4 169" xfId="38841"/>
    <cellStyle name="제목 3 4 17" xfId="32542"/>
    <cellStyle name="제목 3 4 170" xfId="38883"/>
    <cellStyle name="제목 3 4 171" xfId="38925"/>
    <cellStyle name="제목 3 4 172" xfId="38967"/>
    <cellStyle name="제목 3 4 173" xfId="39009"/>
    <cellStyle name="제목 3 4 174" xfId="39051"/>
    <cellStyle name="제목 3 4 175" xfId="39093"/>
    <cellStyle name="제목 3 4 176" xfId="39135"/>
    <cellStyle name="제목 3 4 177" xfId="39177"/>
    <cellStyle name="제목 3 4 178" xfId="39219"/>
    <cellStyle name="제목 3 4 179" xfId="38350"/>
    <cellStyle name="제목 3 4 18" xfId="32627"/>
    <cellStyle name="제목 3 4 180" xfId="38304"/>
    <cellStyle name="제목 3 4 181" xfId="39288"/>
    <cellStyle name="제목 3 4 182" xfId="39328"/>
    <cellStyle name="제목 3 4 183" xfId="39368"/>
    <cellStyle name="제목 3 4 184" xfId="39408"/>
    <cellStyle name="제목 3 4 185" xfId="39448"/>
    <cellStyle name="제목 3 4 186" xfId="39488"/>
    <cellStyle name="제목 3 4 187" xfId="39528"/>
    <cellStyle name="제목 3 4 188" xfId="39568"/>
    <cellStyle name="제목 3 4 189" xfId="39608"/>
    <cellStyle name="제목 3 4 19" xfId="32667"/>
    <cellStyle name="제목 3 4 190" xfId="39648"/>
    <cellStyle name="제목 3 4 191" xfId="39688"/>
    <cellStyle name="제목 3 4 192" xfId="34662"/>
    <cellStyle name="제목 3 4 193" xfId="39738"/>
    <cellStyle name="제목 3 4 194" xfId="39778"/>
    <cellStyle name="제목 3 4 195" xfId="39818"/>
    <cellStyle name="제목 3 4 196" xfId="39858"/>
    <cellStyle name="제목 3 4 197" xfId="39898"/>
    <cellStyle name="제목 3 4 198" xfId="39938"/>
    <cellStyle name="제목 3 4 199" xfId="39978"/>
    <cellStyle name="제목 3 4 2" xfId="7883"/>
    <cellStyle name="제목 3 4 20" xfId="32709"/>
    <cellStyle name="제목 3 4 200" xfId="40018"/>
    <cellStyle name="제목 3 4 201" xfId="40058"/>
    <cellStyle name="제목 3 4 202" xfId="40098"/>
    <cellStyle name="제목 3 4 203" xfId="40138"/>
    <cellStyle name="제목 3 4 204" xfId="40222"/>
    <cellStyle name="제목 3 4 205" xfId="40262"/>
    <cellStyle name="제목 3 4 206" xfId="40304"/>
    <cellStyle name="제목 3 4 207" xfId="40346"/>
    <cellStyle name="제목 3 4 208" xfId="40388"/>
    <cellStyle name="제목 3 4 209" xfId="40430"/>
    <cellStyle name="제목 3 4 21" xfId="32751"/>
    <cellStyle name="제목 3 4 210" xfId="40472"/>
    <cellStyle name="제목 3 4 211" xfId="40514"/>
    <cellStyle name="제목 3 4 212" xfId="40556"/>
    <cellStyle name="제목 3 4 213" xfId="40598"/>
    <cellStyle name="제목 3 4 214" xfId="40640"/>
    <cellStyle name="제목 3 4 215" xfId="40682"/>
    <cellStyle name="제목 3 4 216" xfId="40178"/>
    <cellStyle name="제목 3 4 217" xfId="40862"/>
    <cellStyle name="제목 3 4 218" xfId="40902"/>
    <cellStyle name="제목 3 4 219" xfId="40942"/>
    <cellStyle name="제목 3 4 22" xfId="32793"/>
    <cellStyle name="제목 3 4 220" xfId="40982"/>
    <cellStyle name="제목 3 4 221" xfId="41022"/>
    <cellStyle name="제목 3 4 222" xfId="41062"/>
    <cellStyle name="제목 3 4 223" xfId="41102"/>
    <cellStyle name="제목 3 4 224" xfId="41142"/>
    <cellStyle name="제목 3 4 225" xfId="41182"/>
    <cellStyle name="제목 3 4 226" xfId="41222"/>
    <cellStyle name="제목 3 4 227" xfId="41262"/>
    <cellStyle name="제목 3 4 228" xfId="41302"/>
    <cellStyle name="제목 3 4 229" xfId="40798"/>
    <cellStyle name="제목 3 4 23" xfId="32835"/>
    <cellStyle name="제목 3 4 230" xfId="40759"/>
    <cellStyle name="제목 3 4 231" xfId="41343"/>
    <cellStyle name="제목 3 4 232" xfId="41385"/>
    <cellStyle name="제목 3 4 233" xfId="41427"/>
    <cellStyle name="제목 3 4 234" xfId="41469"/>
    <cellStyle name="제목 3 4 235" xfId="41511"/>
    <cellStyle name="제목 3 4 236" xfId="41553"/>
    <cellStyle name="제목 3 4 237" xfId="41595"/>
    <cellStyle name="제목 3 4 238" xfId="41637"/>
    <cellStyle name="제목 3 4 239" xfId="41679"/>
    <cellStyle name="제목 3 4 24" xfId="32877"/>
    <cellStyle name="제목 3 4 240" xfId="41721"/>
    <cellStyle name="제목 3 4 241" xfId="40852"/>
    <cellStyle name="제목 3 4 242" xfId="40806"/>
    <cellStyle name="제목 3 4 243" xfId="41790"/>
    <cellStyle name="제목 3 4 244" xfId="41830"/>
    <cellStyle name="제목 3 4 245" xfId="41870"/>
    <cellStyle name="제목 3 4 246" xfId="41910"/>
    <cellStyle name="제목 3 4 247" xfId="41950"/>
    <cellStyle name="제목 3 4 248" xfId="41990"/>
    <cellStyle name="제목 3 4 249" xfId="42030"/>
    <cellStyle name="제목 3 4 25" xfId="32919"/>
    <cellStyle name="제목 3 4 250" xfId="42070"/>
    <cellStyle name="제목 3 4 251" xfId="42110"/>
    <cellStyle name="제목 3 4 252" xfId="42150"/>
    <cellStyle name="제목 3 4 253" xfId="42190"/>
    <cellStyle name="제목 3 4 254" xfId="42233"/>
    <cellStyle name="제목 3 4 255" xfId="42273"/>
    <cellStyle name="제목 3 4 256" xfId="42313"/>
    <cellStyle name="제목 3 4 257" xfId="42353"/>
    <cellStyle name="제목 3 4 258" xfId="42393"/>
    <cellStyle name="제목 3 4 259" xfId="42433"/>
    <cellStyle name="제목 3 4 26" xfId="32961"/>
    <cellStyle name="제목 3 4 260" xfId="42473"/>
    <cellStyle name="제목 3 4 261" xfId="42513"/>
    <cellStyle name="제목 3 4 262" xfId="42553"/>
    <cellStyle name="제목 3 4 263" xfId="42593"/>
    <cellStyle name="제목 3 4 264" xfId="42633"/>
    <cellStyle name="제목 3 4 265" xfId="42673"/>
    <cellStyle name="제목 3 4 266" xfId="42757"/>
    <cellStyle name="제목 3 4 267" xfId="42797"/>
    <cellStyle name="제목 3 4 268" xfId="42839"/>
    <cellStyle name="제목 3 4 269" xfId="42881"/>
    <cellStyle name="제목 3 4 27" xfId="33003"/>
    <cellStyle name="제목 3 4 270" xfId="42923"/>
    <cellStyle name="제목 3 4 271" xfId="42965"/>
    <cellStyle name="제목 3 4 272" xfId="43007"/>
    <cellStyle name="제목 3 4 273" xfId="43049"/>
    <cellStyle name="제목 3 4 274" xfId="43091"/>
    <cellStyle name="제목 3 4 275" xfId="43133"/>
    <cellStyle name="제목 3 4 276" xfId="43175"/>
    <cellStyle name="제목 3 4 277" xfId="43217"/>
    <cellStyle name="제목 3 4 278" xfId="42713"/>
    <cellStyle name="제목 3 4 279" xfId="43397"/>
    <cellStyle name="제목 3 4 28" xfId="33045"/>
    <cellStyle name="제목 3 4 280" xfId="43437"/>
    <cellStyle name="제목 3 4 281" xfId="43477"/>
    <cellStyle name="제목 3 4 282" xfId="43517"/>
    <cellStyle name="제목 3 4 283" xfId="43557"/>
    <cellStyle name="제목 3 4 284" xfId="43597"/>
    <cellStyle name="제목 3 4 285" xfId="43637"/>
    <cellStyle name="제목 3 4 286" xfId="43677"/>
    <cellStyle name="제목 3 4 287" xfId="43717"/>
    <cellStyle name="제목 3 4 288" xfId="43757"/>
    <cellStyle name="제목 3 4 289" xfId="43797"/>
    <cellStyle name="제목 3 4 29" xfId="33087"/>
    <cellStyle name="제목 3 4 290" xfId="43837"/>
    <cellStyle name="제목 3 4 291" xfId="43333"/>
    <cellStyle name="제목 3 4 292" xfId="43294"/>
    <cellStyle name="제목 3 4 293" xfId="43878"/>
    <cellStyle name="제목 3 4 294" xfId="43920"/>
    <cellStyle name="제목 3 4 295" xfId="43962"/>
    <cellStyle name="제목 3 4 296" xfId="44004"/>
    <cellStyle name="제목 3 4 297" xfId="44046"/>
    <cellStyle name="제목 3 4 298" xfId="44088"/>
    <cellStyle name="제목 3 4 299" xfId="44130"/>
    <cellStyle name="제목 3 4 3" xfId="7884"/>
    <cellStyle name="제목 3 4 30" xfId="32583"/>
    <cellStyle name="제목 3 4 300" xfId="44172"/>
    <cellStyle name="제목 3 4 301" xfId="44214"/>
    <cellStyle name="제목 3 4 302" xfId="44256"/>
    <cellStyle name="제목 3 4 303" xfId="43387"/>
    <cellStyle name="제목 3 4 304" xfId="43341"/>
    <cellStyle name="제목 3 4 305" xfId="44325"/>
    <cellStyle name="제목 3 4 306" xfId="44365"/>
    <cellStyle name="제목 3 4 307" xfId="44405"/>
    <cellStyle name="제목 3 4 308" xfId="44445"/>
    <cellStyle name="제목 3 4 309" xfId="44485"/>
    <cellStyle name="제목 3 4 31" xfId="33267"/>
    <cellStyle name="제목 3 4 310" xfId="44525"/>
    <cellStyle name="제목 3 4 311" xfId="44565"/>
    <cellStyle name="제목 3 4 312" xfId="44605"/>
    <cellStyle name="제목 3 4 313" xfId="44645"/>
    <cellStyle name="제목 3 4 314" xfId="44685"/>
    <cellStyle name="제목 3 4 315" xfId="44725"/>
    <cellStyle name="제목 3 4 316" xfId="44821"/>
    <cellStyle name="제목 3 4 317" xfId="44861"/>
    <cellStyle name="제목 3 4 318" xfId="44902"/>
    <cellStyle name="제목 3 4 319" xfId="44944"/>
    <cellStyle name="제목 3 4 32" xfId="33307"/>
    <cellStyle name="제목 3 4 320" xfId="44984"/>
    <cellStyle name="제목 3 4 321" xfId="45024"/>
    <cellStyle name="제목 3 4 322" xfId="45064"/>
    <cellStyle name="제목 3 4 323" xfId="45104"/>
    <cellStyle name="제목 3 4 324" xfId="45144"/>
    <cellStyle name="제목 3 4 325" xfId="45184"/>
    <cellStyle name="제목 3 4 326" xfId="45224"/>
    <cellStyle name="제목 3 4 327" xfId="45264"/>
    <cellStyle name="제목 3 4 328" xfId="45348"/>
    <cellStyle name="제목 3 4 329" xfId="45388"/>
    <cellStyle name="제목 3 4 33" xfId="33347"/>
    <cellStyle name="제목 3 4 330" xfId="45430"/>
    <cellStyle name="제목 3 4 331" xfId="45472"/>
    <cellStyle name="제목 3 4 332" xfId="45514"/>
    <cellStyle name="제목 3 4 333" xfId="45556"/>
    <cellStyle name="제목 3 4 334" xfId="45598"/>
    <cellStyle name="제목 3 4 335" xfId="45640"/>
    <cellStyle name="제목 3 4 336" xfId="45682"/>
    <cellStyle name="제목 3 4 337" xfId="45724"/>
    <cellStyle name="제목 3 4 338" xfId="45766"/>
    <cellStyle name="제목 3 4 339" xfId="45808"/>
    <cellStyle name="제목 3 4 34" xfId="33387"/>
    <cellStyle name="제목 3 4 340" xfId="45304"/>
    <cellStyle name="제목 3 4 341" xfId="45988"/>
    <cellStyle name="제목 3 4 342" xfId="46028"/>
    <cellStyle name="제목 3 4 343" xfId="46068"/>
    <cellStyle name="제목 3 4 344" xfId="46108"/>
    <cellStyle name="제목 3 4 345" xfId="46148"/>
    <cellStyle name="제목 3 4 346" xfId="46188"/>
    <cellStyle name="제목 3 4 347" xfId="46228"/>
    <cellStyle name="제목 3 4 348" xfId="46268"/>
    <cellStyle name="제목 3 4 349" xfId="46308"/>
    <cellStyle name="제목 3 4 35" xfId="33427"/>
    <cellStyle name="제목 3 4 350" xfId="46348"/>
    <cellStyle name="제목 3 4 351" xfId="46388"/>
    <cellStyle name="제목 3 4 352" xfId="46428"/>
    <cellStyle name="제목 3 4 353" xfId="45924"/>
    <cellStyle name="제목 3 4 354" xfId="45885"/>
    <cellStyle name="제목 3 4 355" xfId="46469"/>
    <cellStyle name="제목 3 4 356" xfId="46511"/>
    <cellStyle name="제목 3 4 357" xfId="46553"/>
    <cellStyle name="제목 3 4 358" xfId="46595"/>
    <cellStyle name="제목 3 4 359" xfId="46637"/>
    <cellStyle name="제목 3 4 36" xfId="33467"/>
    <cellStyle name="제목 3 4 360" xfId="46679"/>
    <cellStyle name="제목 3 4 361" xfId="46721"/>
    <cellStyle name="제목 3 4 362" xfId="46763"/>
    <cellStyle name="제목 3 4 363" xfId="46805"/>
    <cellStyle name="제목 3 4 364" xfId="46847"/>
    <cellStyle name="제목 3 4 365" xfId="45978"/>
    <cellStyle name="제목 3 4 366" xfId="45932"/>
    <cellStyle name="제목 3 4 367" xfId="46916"/>
    <cellStyle name="제목 3 4 368" xfId="46956"/>
    <cellStyle name="제목 3 4 369" xfId="46996"/>
    <cellStyle name="제목 3 4 37" xfId="33507"/>
    <cellStyle name="제목 3 4 370" xfId="47036"/>
    <cellStyle name="제목 3 4 371" xfId="47076"/>
    <cellStyle name="제목 3 4 372" xfId="47116"/>
    <cellStyle name="제목 3 4 373" xfId="47156"/>
    <cellStyle name="제목 3 4 374" xfId="47196"/>
    <cellStyle name="제목 3 4 375" xfId="47236"/>
    <cellStyle name="제목 3 4 376" xfId="47276"/>
    <cellStyle name="제목 3 4 377" xfId="47316"/>
    <cellStyle name="제목 3 4 378" xfId="44784"/>
    <cellStyle name="제목 3 4 379" xfId="47367"/>
    <cellStyle name="제목 3 4 38" xfId="33547"/>
    <cellStyle name="제목 3 4 380" xfId="47407"/>
    <cellStyle name="제목 3 4 381" xfId="47447"/>
    <cellStyle name="제목 3 4 382" xfId="47487"/>
    <cellStyle name="제목 3 4 383" xfId="47527"/>
    <cellStyle name="제목 3 4 384" xfId="47567"/>
    <cellStyle name="제목 3 4 385" xfId="47607"/>
    <cellStyle name="제목 3 4 386" xfId="47647"/>
    <cellStyle name="제목 3 4 387" xfId="47687"/>
    <cellStyle name="제목 3 4 388" xfId="47727"/>
    <cellStyle name="제목 3 4 389" xfId="47767"/>
    <cellStyle name="제목 3 4 39" xfId="33587"/>
    <cellStyle name="제목 3 4 390" xfId="47851"/>
    <cellStyle name="제목 3 4 391" xfId="47891"/>
    <cellStyle name="제목 3 4 392" xfId="47933"/>
    <cellStyle name="제목 3 4 393" xfId="47975"/>
    <cellStyle name="제목 3 4 394" xfId="48017"/>
    <cellStyle name="제목 3 4 395" xfId="48059"/>
    <cellStyle name="제목 3 4 396" xfId="48101"/>
    <cellStyle name="제목 3 4 397" xfId="48143"/>
    <cellStyle name="제목 3 4 398" xfId="48185"/>
    <cellStyle name="제목 3 4 399" xfId="48227"/>
    <cellStyle name="제목 3 4 4" xfId="7885"/>
    <cellStyle name="제목 3 4 40" xfId="33627"/>
    <cellStyle name="제목 3 4 400" xfId="48269"/>
    <cellStyle name="제목 3 4 401" xfId="48311"/>
    <cellStyle name="제목 3 4 402" xfId="47807"/>
    <cellStyle name="제목 3 4 403" xfId="48491"/>
    <cellStyle name="제목 3 4 404" xfId="48531"/>
    <cellStyle name="제목 3 4 405" xfId="48571"/>
    <cellStyle name="제목 3 4 406" xfId="48611"/>
    <cellStyle name="제목 3 4 407" xfId="48651"/>
    <cellStyle name="제목 3 4 408" xfId="48691"/>
    <cellStyle name="제목 3 4 409" xfId="48731"/>
    <cellStyle name="제목 3 4 41" xfId="33667"/>
    <cellStyle name="제목 3 4 410" xfId="48771"/>
    <cellStyle name="제목 3 4 411" xfId="48811"/>
    <cellStyle name="제목 3 4 412" xfId="48851"/>
    <cellStyle name="제목 3 4 413" xfId="48891"/>
    <cellStyle name="제목 3 4 414" xfId="48931"/>
    <cellStyle name="제목 3 4 415" xfId="48427"/>
    <cellStyle name="제목 3 4 416" xfId="48388"/>
    <cellStyle name="제목 3 4 417" xfId="48972"/>
    <cellStyle name="제목 3 4 418" xfId="49014"/>
    <cellStyle name="제목 3 4 419" xfId="49056"/>
    <cellStyle name="제목 3 4 42" xfId="33707"/>
    <cellStyle name="제목 3 4 420" xfId="49098"/>
    <cellStyle name="제목 3 4 421" xfId="49140"/>
    <cellStyle name="제목 3 4 422" xfId="49182"/>
    <cellStyle name="제목 3 4 423" xfId="49224"/>
    <cellStyle name="제목 3 4 424" xfId="49266"/>
    <cellStyle name="제목 3 4 425" xfId="49308"/>
    <cellStyle name="제목 3 4 426" xfId="49350"/>
    <cellStyle name="제목 3 4 427" xfId="48481"/>
    <cellStyle name="제목 3 4 428" xfId="48435"/>
    <cellStyle name="제목 3 4 429" xfId="49419"/>
    <cellStyle name="제목 3 4 43" xfId="33203"/>
    <cellStyle name="제목 3 4 430" xfId="49459"/>
    <cellStyle name="제목 3 4 431" xfId="49499"/>
    <cellStyle name="제목 3 4 432" xfId="49539"/>
    <cellStyle name="제목 3 4 433" xfId="49579"/>
    <cellStyle name="제목 3 4 434" xfId="49619"/>
    <cellStyle name="제목 3 4 435" xfId="49659"/>
    <cellStyle name="제목 3 4 436" xfId="49699"/>
    <cellStyle name="제목 3 4 437" xfId="49739"/>
    <cellStyle name="제목 3 4 438" xfId="49779"/>
    <cellStyle name="제목 3 4 439" xfId="49819"/>
    <cellStyle name="제목 3 4 44" xfId="33164"/>
    <cellStyle name="제목 3 4 440" xfId="44791"/>
    <cellStyle name="제목 3 4 441" xfId="49869"/>
    <cellStyle name="제목 3 4 442" xfId="49909"/>
    <cellStyle name="제목 3 4 443" xfId="49949"/>
    <cellStyle name="제목 3 4 444" xfId="49989"/>
    <cellStyle name="제목 3 4 445" xfId="50029"/>
    <cellStyle name="제목 3 4 446" xfId="50069"/>
    <cellStyle name="제목 3 4 447" xfId="50109"/>
    <cellStyle name="제목 3 4 448" xfId="50149"/>
    <cellStyle name="제목 3 4 449" xfId="50189"/>
    <cellStyle name="제목 3 4 45" xfId="33748"/>
    <cellStyle name="제목 3 4 450" xfId="50229"/>
    <cellStyle name="제목 3 4 451" xfId="50269"/>
    <cellStyle name="제목 3 4 452" xfId="50353"/>
    <cellStyle name="제목 3 4 453" xfId="50393"/>
    <cellStyle name="제목 3 4 454" xfId="50435"/>
    <cellStyle name="제목 3 4 455" xfId="50477"/>
    <cellStyle name="제목 3 4 456" xfId="50519"/>
    <cellStyle name="제목 3 4 457" xfId="50561"/>
    <cellStyle name="제목 3 4 458" xfId="50603"/>
    <cellStyle name="제목 3 4 459" xfId="50645"/>
    <cellStyle name="제목 3 4 46" xfId="33790"/>
    <cellStyle name="제목 3 4 460" xfId="50687"/>
    <cellStyle name="제목 3 4 461" xfId="50729"/>
    <cellStyle name="제목 3 4 462" xfId="50771"/>
    <cellStyle name="제목 3 4 463" xfId="50813"/>
    <cellStyle name="제목 3 4 464" xfId="50309"/>
    <cellStyle name="제목 3 4 465" xfId="50993"/>
    <cellStyle name="제목 3 4 466" xfId="51033"/>
    <cellStyle name="제목 3 4 467" xfId="51073"/>
    <cellStyle name="제목 3 4 468" xfId="51113"/>
    <cellStyle name="제목 3 4 469" xfId="51153"/>
    <cellStyle name="제목 3 4 47" xfId="33832"/>
    <cellStyle name="제목 3 4 470" xfId="51193"/>
    <cellStyle name="제목 3 4 471" xfId="51233"/>
    <cellStyle name="제목 3 4 472" xfId="51273"/>
    <cellStyle name="제목 3 4 473" xfId="51313"/>
    <cellStyle name="제목 3 4 474" xfId="51353"/>
    <cellStyle name="제목 3 4 475" xfId="51393"/>
    <cellStyle name="제목 3 4 476" xfId="51433"/>
    <cellStyle name="제목 3 4 477" xfId="50929"/>
    <cellStyle name="제목 3 4 478" xfId="50890"/>
    <cellStyle name="제목 3 4 479" xfId="51474"/>
    <cellStyle name="제목 3 4 48" xfId="33874"/>
    <cellStyle name="제목 3 4 480" xfId="51516"/>
    <cellStyle name="제목 3 4 481" xfId="51558"/>
    <cellStyle name="제목 3 4 482" xfId="51600"/>
    <cellStyle name="제목 3 4 483" xfId="51642"/>
    <cellStyle name="제목 3 4 484" xfId="51684"/>
    <cellStyle name="제목 3 4 485" xfId="51726"/>
    <cellStyle name="제목 3 4 486" xfId="51768"/>
    <cellStyle name="제목 3 4 487" xfId="51810"/>
    <cellStyle name="제목 3 4 488" xfId="51852"/>
    <cellStyle name="제목 3 4 489" xfId="50983"/>
    <cellStyle name="제목 3 4 49" xfId="33916"/>
    <cellStyle name="제목 3 4 490" xfId="50937"/>
    <cellStyle name="제목 3 4 491" xfId="51921"/>
    <cellStyle name="제목 3 4 492" xfId="51961"/>
    <cellStyle name="제목 3 4 493" xfId="52001"/>
    <cellStyle name="제목 3 4 494" xfId="52041"/>
    <cellStyle name="제목 3 4 495" xfId="52081"/>
    <cellStyle name="제목 3 4 496" xfId="52121"/>
    <cellStyle name="제목 3 4 497" xfId="52161"/>
    <cellStyle name="제목 3 4 498" xfId="52201"/>
    <cellStyle name="제목 3 4 499" xfId="52241"/>
    <cellStyle name="제목 3 4 5" xfId="7886"/>
    <cellStyle name="제목 3 4 50" xfId="33958"/>
    <cellStyle name="제목 3 4 500" xfId="52281"/>
    <cellStyle name="제목 3 4 501" xfId="52321"/>
    <cellStyle name="제목 3 4 51" xfId="34000"/>
    <cellStyle name="제목 3 4 52" xfId="34042"/>
    <cellStyle name="제목 3 4 53" xfId="34084"/>
    <cellStyle name="제목 3 4 54" xfId="34126"/>
    <cellStyle name="제목 3 4 55" xfId="33257"/>
    <cellStyle name="제목 3 4 56" xfId="33211"/>
    <cellStyle name="제목 3 4 57" xfId="34195"/>
    <cellStyle name="제목 3 4 58" xfId="34235"/>
    <cellStyle name="제목 3 4 59" xfId="34275"/>
    <cellStyle name="제목 3 4 6" xfId="32102"/>
    <cellStyle name="제목 3 4 60" xfId="34315"/>
    <cellStyle name="제목 3 4 61" xfId="34355"/>
    <cellStyle name="제목 3 4 62" xfId="34395"/>
    <cellStyle name="제목 3 4 63" xfId="34435"/>
    <cellStyle name="제목 3 4 64" xfId="34475"/>
    <cellStyle name="제목 3 4 65" xfId="34515"/>
    <cellStyle name="제목 3 4 66" xfId="34555"/>
    <cellStyle name="제목 3 4 67" xfId="34595"/>
    <cellStyle name="제목 3 4 68" xfId="34692"/>
    <cellStyle name="제목 3 4 69" xfId="34732"/>
    <cellStyle name="제목 3 4 7" xfId="32142"/>
    <cellStyle name="제목 3 4 70" xfId="34772"/>
    <cellStyle name="제목 3 4 71" xfId="34812"/>
    <cellStyle name="제목 3 4 72" xfId="34852"/>
    <cellStyle name="제목 3 4 73" xfId="34892"/>
    <cellStyle name="제목 3 4 74" xfId="34932"/>
    <cellStyle name="제목 3 4 75" xfId="34972"/>
    <cellStyle name="제목 3 4 76" xfId="35012"/>
    <cellStyle name="제목 3 4 77" xfId="35052"/>
    <cellStyle name="제목 3 4 78" xfId="35092"/>
    <cellStyle name="제목 3 4 79" xfId="35132"/>
    <cellStyle name="제목 3 4 8" xfId="32182"/>
    <cellStyle name="제목 3 4 80" xfId="35216"/>
    <cellStyle name="제목 3 4 81" xfId="35256"/>
    <cellStyle name="제목 3 4 82" xfId="35298"/>
    <cellStyle name="제목 3 4 83" xfId="35340"/>
    <cellStyle name="제목 3 4 84" xfId="35382"/>
    <cellStyle name="제목 3 4 85" xfId="35424"/>
    <cellStyle name="제목 3 4 86" xfId="35466"/>
    <cellStyle name="제목 3 4 87" xfId="35508"/>
    <cellStyle name="제목 3 4 88" xfId="35550"/>
    <cellStyle name="제목 3 4 89" xfId="35592"/>
    <cellStyle name="제목 3 4 9" xfId="32222"/>
    <cellStyle name="제목 3 4 90" xfId="35634"/>
    <cellStyle name="제목 3 4 91" xfId="35676"/>
    <cellStyle name="제목 3 4 92" xfId="35172"/>
    <cellStyle name="제목 3 4 93" xfId="35856"/>
    <cellStyle name="제목 3 4 94" xfId="35896"/>
    <cellStyle name="제목 3 4 95" xfId="35936"/>
    <cellStyle name="제목 3 4 96" xfId="35976"/>
    <cellStyle name="제목 3 4 97" xfId="36016"/>
    <cellStyle name="제목 3 4 98" xfId="36056"/>
    <cellStyle name="제목 3 4 99" xfId="36096"/>
    <cellStyle name="제목 3 40" xfId="7887"/>
    <cellStyle name="제목 3 41" xfId="7888"/>
    <cellStyle name="제목 3 42" xfId="7889"/>
    <cellStyle name="제목 3 43" xfId="7890"/>
    <cellStyle name="제목 3 44" xfId="7891"/>
    <cellStyle name="제목 3 45" xfId="7892"/>
    <cellStyle name="제목 3 46" xfId="7893"/>
    <cellStyle name="제목 3 47" xfId="7894"/>
    <cellStyle name="제목 3 48" xfId="7895"/>
    <cellStyle name="제목 3 49" xfId="7896"/>
    <cellStyle name="제목 3 5" xfId="7897"/>
    <cellStyle name="제목 3 50" xfId="7898"/>
    <cellStyle name="제목 3 51" xfId="7899"/>
    <cellStyle name="제목 3 52" xfId="7900"/>
    <cellStyle name="제목 3 6" xfId="7901"/>
    <cellStyle name="제목 3 7" xfId="7902"/>
    <cellStyle name="제목 3 8" xfId="7903"/>
    <cellStyle name="제목 3 9" xfId="7904"/>
    <cellStyle name="제목 30" xfId="7905"/>
    <cellStyle name="제목 31" xfId="7906"/>
    <cellStyle name="제목 32" xfId="7907"/>
    <cellStyle name="제목 33" xfId="7908"/>
    <cellStyle name="제목 34" xfId="7909"/>
    <cellStyle name="제목 35" xfId="7910"/>
    <cellStyle name="제목 36" xfId="7911"/>
    <cellStyle name="제목 37" xfId="7912"/>
    <cellStyle name="제목 38" xfId="7913"/>
    <cellStyle name="제목 39" xfId="7914"/>
    <cellStyle name="제목 4 10" xfId="7915"/>
    <cellStyle name="제목 4 11" xfId="7916"/>
    <cellStyle name="제목 4 12" xfId="7917"/>
    <cellStyle name="제목 4 13" xfId="7918"/>
    <cellStyle name="제목 4 14" xfId="7919"/>
    <cellStyle name="제목 4 15" xfId="7920"/>
    <cellStyle name="제목 4 16" xfId="7921"/>
    <cellStyle name="제목 4 17" xfId="7922"/>
    <cellStyle name="제목 4 18" xfId="7923"/>
    <cellStyle name="제목 4 19" xfId="7924"/>
    <cellStyle name="제목 4 2" xfId="394"/>
    <cellStyle name="제목 4 2 10" xfId="7925"/>
    <cellStyle name="제목 4 2 100" xfId="7926"/>
    <cellStyle name="제목 4 2 101" xfId="7927"/>
    <cellStyle name="제목 4 2 102" xfId="7928"/>
    <cellStyle name="제목 4 2 103" xfId="7929"/>
    <cellStyle name="제목 4 2 104" xfId="7930"/>
    <cellStyle name="제목 4 2 105" xfId="7931"/>
    <cellStyle name="제목 4 2 106" xfId="7932"/>
    <cellStyle name="제목 4 2 107" xfId="7933"/>
    <cellStyle name="제목 4 2 108" xfId="7934"/>
    <cellStyle name="제목 4 2 109" xfId="7935"/>
    <cellStyle name="제목 4 2 11" xfId="7936"/>
    <cellStyle name="제목 4 2 110" xfId="7937"/>
    <cellStyle name="제목 4 2 111" xfId="7938"/>
    <cellStyle name="제목 4 2 112" xfId="7939"/>
    <cellStyle name="제목 4 2 12" xfId="7940"/>
    <cellStyle name="제목 4 2 13" xfId="7941"/>
    <cellStyle name="제목 4 2 14" xfId="7942"/>
    <cellStyle name="제목 4 2 15" xfId="7943"/>
    <cellStyle name="제목 4 2 16" xfId="7944"/>
    <cellStyle name="제목 4 2 17" xfId="7945"/>
    <cellStyle name="제목 4 2 18" xfId="7946"/>
    <cellStyle name="제목 4 2 19" xfId="7947"/>
    <cellStyle name="제목 4 2 2" xfId="7948"/>
    <cellStyle name="제목 4 2 2 2" xfId="7949"/>
    <cellStyle name="제목 4 2 2 3" xfId="7950"/>
    <cellStyle name="제목 4 2 2 4" xfId="7951"/>
    <cellStyle name="제목 4 2 2 5" xfId="7952"/>
    <cellStyle name="제목 4 2 20" xfId="7953"/>
    <cellStyle name="제목 4 2 21" xfId="7954"/>
    <cellStyle name="제목 4 2 22" xfId="7955"/>
    <cellStyle name="제목 4 2 23" xfId="7956"/>
    <cellStyle name="제목 4 2 24" xfId="7957"/>
    <cellStyle name="제목 4 2 25" xfId="7958"/>
    <cellStyle name="제목 4 2 26" xfId="7959"/>
    <cellStyle name="제목 4 2 27" xfId="7960"/>
    <cellStyle name="제목 4 2 28" xfId="7961"/>
    <cellStyle name="제목 4 2 29" xfId="7962"/>
    <cellStyle name="제목 4 2 3" xfId="7963"/>
    <cellStyle name="제목 4 2 30" xfId="7964"/>
    <cellStyle name="제목 4 2 31" xfId="7965"/>
    <cellStyle name="제목 4 2 32" xfId="7966"/>
    <cellStyle name="제목 4 2 33" xfId="7967"/>
    <cellStyle name="제목 4 2 34" xfId="7968"/>
    <cellStyle name="제목 4 2 35" xfId="7969"/>
    <cellStyle name="제목 4 2 36" xfId="7970"/>
    <cellStyle name="제목 4 2 37" xfId="7971"/>
    <cellStyle name="제목 4 2 38" xfId="7972"/>
    <cellStyle name="제목 4 2 39" xfId="7973"/>
    <cellStyle name="제목 4 2 4" xfId="7974"/>
    <cellStyle name="제목 4 2 40" xfId="7975"/>
    <cellStyle name="제목 4 2 41" xfId="7976"/>
    <cellStyle name="제목 4 2 42" xfId="7977"/>
    <cellStyle name="제목 4 2 43" xfId="7978"/>
    <cellStyle name="제목 4 2 44" xfId="7979"/>
    <cellStyle name="제목 4 2 45" xfId="7980"/>
    <cellStyle name="제목 4 2 46" xfId="7981"/>
    <cellStyle name="제목 4 2 47" xfId="7982"/>
    <cellStyle name="제목 4 2 48" xfId="7983"/>
    <cellStyle name="제목 4 2 49" xfId="7984"/>
    <cellStyle name="제목 4 2 5" xfId="7985"/>
    <cellStyle name="제목 4 2 50" xfId="7986"/>
    <cellStyle name="제목 4 2 51" xfId="7987"/>
    <cellStyle name="제목 4 2 52" xfId="7988"/>
    <cellStyle name="제목 4 2 53" xfId="7989"/>
    <cellStyle name="제목 4 2 54" xfId="7990"/>
    <cellStyle name="제목 4 2 55" xfId="7991"/>
    <cellStyle name="제목 4 2 56" xfId="7992"/>
    <cellStyle name="제목 4 2 57" xfId="7993"/>
    <cellStyle name="제목 4 2 58" xfId="7994"/>
    <cellStyle name="제목 4 2 59" xfId="7995"/>
    <cellStyle name="제목 4 2 6" xfId="7996"/>
    <cellStyle name="제목 4 2 60" xfId="7997"/>
    <cellStyle name="제목 4 2 61" xfId="7998"/>
    <cellStyle name="제목 4 2 62" xfId="7999"/>
    <cellStyle name="제목 4 2 63" xfId="8000"/>
    <cellStyle name="제목 4 2 64" xfId="8001"/>
    <cellStyle name="제목 4 2 65" xfId="8002"/>
    <cellStyle name="제목 4 2 66" xfId="8003"/>
    <cellStyle name="제목 4 2 67" xfId="8004"/>
    <cellStyle name="제목 4 2 68" xfId="8005"/>
    <cellStyle name="제목 4 2 69" xfId="8006"/>
    <cellStyle name="제목 4 2 7" xfId="8007"/>
    <cellStyle name="제목 4 2 70" xfId="8008"/>
    <cellStyle name="제목 4 2 71" xfId="8009"/>
    <cellStyle name="제목 4 2 72" xfId="8010"/>
    <cellStyle name="제목 4 2 73" xfId="8011"/>
    <cellStyle name="제목 4 2 74" xfId="8012"/>
    <cellStyle name="제목 4 2 75" xfId="8013"/>
    <cellStyle name="제목 4 2 76" xfId="8014"/>
    <cellStyle name="제목 4 2 77" xfId="8015"/>
    <cellStyle name="제목 4 2 78" xfId="8016"/>
    <cellStyle name="제목 4 2 79" xfId="8017"/>
    <cellStyle name="제목 4 2 8" xfId="8018"/>
    <cellStyle name="제목 4 2 80" xfId="8019"/>
    <cellStyle name="제목 4 2 81" xfId="8020"/>
    <cellStyle name="제목 4 2 82" xfId="8021"/>
    <cellStyle name="제목 4 2 83" xfId="8022"/>
    <cellStyle name="제목 4 2 84" xfId="8023"/>
    <cellStyle name="제목 4 2 85" xfId="8024"/>
    <cellStyle name="제목 4 2 86" xfId="8025"/>
    <cellStyle name="제목 4 2 87" xfId="8026"/>
    <cellStyle name="제목 4 2 88" xfId="8027"/>
    <cellStyle name="제목 4 2 89" xfId="8028"/>
    <cellStyle name="제목 4 2 9" xfId="8029"/>
    <cellStyle name="제목 4 2 90" xfId="8030"/>
    <cellStyle name="제목 4 2 91" xfId="8031"/>
    <cellStyle name="제목 4 2 92" xfId="8032"/>
    <cellStyle name="제목 4 2 93" xfId="8033"/>
    <cellStyle name="제목 4 2 94" xfId="8034"/>
    <cellStyle name="제목 4 2 95" xfId="8035"/>
    <cellStyle name="제목 4 2 96" xfId="8036"/>
    <cellStyle name="제목 4 2 97" xfId="8037"/>
    <cellStyle name="제목 4 2 98" xfId="8038"/>
    <cellStyle name="제목 4 2 99" xfId="8039"/>
    <cellStyle name="제목 4 20" xfId="8040"/>
    <cellStyle name="제목 4 21" xfId="8041"/>
    <cellStyle name="제목 4 22" xfId="8042"/>
    <cellStyle name="제목 4 23" xfId="8043"/>
    <cellStyle name="제목 4 24" xfId="8044"/>
    <cellStyle name="제목 4 25" xfId="8045"/>
    <cellStyle name="제목 4 26" xfId="8046"/>
    <cellStyle name="제목 4 27" xfId="8047"/>
    <cellStyle name="제목 4 28" xfId="8048"/>
    <cellStyle name="제목 4 29" xfId="8049"/>
    <cellStyle name="제목 4 3" xfId="395"/>
    <cellStyle name="제목 4 30" xfId="8050"/>
    <cellStyle name="제목 4 31" xfId="8051"/>
    <cellStyle name="제목 4 32" xfId="8052"/>
    <cellStyle name="제목 4 33" xfId="8053"/>
    <cellStyle name="제목 4 34" xfId="8054"/>
    <cellStyle name="제목 4 35" xfId="8055"/>
    <cellStyle name="제목 4 36" xfId="8056"/>
    <cellStyle name="제목 4 37" xfId="8057"/>
    <cellStyle name="제목 4 38" xfId="8058"/>
    <cellStyle name="제목 4 39" xfId="8059"/>
    <cellStyle name="제목 4 4" xfId="11712" hidden="1"/>
    <cellStyle name="제목 4 4" xfId="11758" hidden="1"/>
    <cellStyle name="제목 4 4" xfId="11804" hidden="1"/>
    <cellStyle name="제목 4 4" xfId="11850" hidden="1"/>
    <cellStyle name="제목 4 4" xfId="11896" hidden="1"/>
    <cellStyle name="제목 4 4" xfId="11942" hidden="1"/>
    <cellStyle name="제목 4 4" xfId="11988" hidden="1"/>
    <cellStyle name="제목 4 4" xfId="12034" hidden="1"/>
    <cellStyle name="제목 4 4" xfId="12080" hidden="1"/>
    <cellStyle name="제목 4 4" xfId="12126" hidden="1"/>
    <cellStyle name="제목 4 4" xfId="12172" hidden="1"/>
    <cellStyle name="제목 4 4" xfId="12218" hidden="1"/>
    <cellStyle name="제목 4 4" xfId="12308" hidden="1"/>
    <cellStyle name="제목 4 4" xfId="12348" hidden="1"/>
    <cellStyle name="제목 4 4" xfId="12390" hidden="1"/>
    <cellStyle name="제목 4 4" xfId="12432" hidden="1"/>
    <cellStyle name="제목 4 4" xfId="12474" hidden="1"/>
    <cellStyle name="제목 4 4" xfId="12516" hidden="1"/>
    <cellStyle name="제목 4 4" xfId="12558" hidden="1"/>
    <cellStyle name="제목 4 4" xfId="12600" hidden="1"/>
    <cellStyle name="제목 4 4" xfId="12642" hidden="1"/>
    <cellStyle name="제목 4 4" xfId="12684" hidden="1"/>
    <cellStyle name="제목 4 4" xfId="12726" hidden="1"/>
    <cellStyle name="제목 4 4" xfId="12768" hidden="1"/>
    <cellStyle name="제목 4 4" xfId="12262" hidden="1"/>
    <cellStyle name="제목 4 4" xfId="12951" hidden="1"/>
    <cellStyle name="제목 4 4" xfId="12991" hidden="1"/>
    <cellStyle name="제목 4 4" xfId="13031" hidden="1"/>
    <cellStyle name="제목 4 4" xfId="13071" hidden="1"/>
    <cellStyle name="제목 4 4" xfId="13111" hidden="1"/>
    <cellStyle name="제목 4 4" xfId="13151" hidden="1"/>
    <cellStyle name="제목 4 4" xfId="13191" hidden="1"/>
    <cellStyle name="제목 4 4" xfId="13231" hidden="1"/>
    <cellStyle name="제목 4 4" xfId="13271" hidden="1"/>
    <cellStyle name="제목 4 4" xfId="13311" hidden="1"/>
    <cellStyle name="제목 4 4" xfId="13351" hidden="1"/>
    <cellStyle name="제목 4 4" xfId="13391" hidden="1"/>
    <cellStyle name="제목 4 4" xfId="12883" hidden="1"/>
    <cellStyle name="제목 4 4" xfId="12844" hidden="1"/>
    <cellStyle name="제목 4 4" xfId="13432" hidden="1"/>
    <cellStyle name="제목 4 4" xfId="13474" hidden="1"/>
    <cellStyle name="제목 4 4" xfId="13516" hidden="1"/>
    <cellStyle name="제목 4 4" xfId="13558" hidden="1"/>
    <cellStyle name="제목 4 4" xfId="13600" hidden="1"/>
    <cellStyle name="제목 4 4" xfId="13642" hidden="1"/>
    <cellStyle name="제목 4 4" xfId="13684" hidden="1"/>
    <cellStyle name="제목 4 4" xfId="13726" hidden="1"/>
    <cellStyle name="제목 4 4" xfId="13768" hidden="1"/>
    <cellStyle name="제목 4 4" xfId="13810" hidden="1"/>
    <cellStyle name="제목 4 4" xfId="12938" hidden="1"/>
    <cellStyle name="제목 4 4" xfId="12944" hidden="1"/>
    <cellStyle name="제목 4 4" xfId="13879" hidden="1"/>
    <cellStyle name="제목 4 4" xfId="13919" hidden="1"/>
    <cellStyle name="제목 4 4" xfId="13959" hidden="1"/>
    <cellStyle name="제목 4 4" xfId="13999" hidden="1"/>
    <cellStyle name="제목 4 4" xfId="14039" hidden="1"/>
    <cellStyle name="제목 4 4" xfId="14079" hidden="1"/>
    <cellStyle name="제목 4 4" xfId="14119" hidden="1"/>
    <cellStyle name="제목 4 4" xfId="14159" hidden="1"/>
    <cellStyle name="제목 4 4" xfId="14199" hidden="1"/>
    <cellStyle name="제목 4 4" xfId="14239" hidden="1"/>
    <cellStyle name="제목 4 4" xfId="14279" hidden="1"/>
    <cellStyle name="제목 4 4" xfId="14385" hidden="1"/>
    <cellStyle name="제목 4 4" xfId="14425" hidden="1"/>
    <cellStyle name="제목 4 4" xfId="14465" hidden="1"/>
    <cellStyle name="제목 4 4" xfId="14505" hidden="1"/>
    <cellStyle name="제목 4 4" xfId="14545" hidden="1"/>
    <cellStyle name="제목 4 4" xfId="14585" hidden="1"/>
    <cellStyle name="제목 4 4" xfId="14625" hidden="1"/>
    <cellStyle name="제목 4 4" xfId="14665" hidden="1"/>
    <cellStyle name="제목 4 4" xfId="14705" hidden="1"/>
    <cellStyle name="제목 4 4" xfId="14745" hidden="1"/>
    <cellStyle name="제목 4 4" xfId="14785" hidden="1"/>
    <cellStyle name="제목 4 4" xfId="14825" hidden="1"/>
    <cellStyle name="제목 4 4" xfId="14909" hidden="1"/>
    <cellStyle name="제목 4 4" xfId="14949" hidden="1"/>
    <cellStyle name="제목 4 4" xfId="14991" hidden="1"/>
    <cellStyle name="제목 4 4" xfId="15033" hidden="1"/>
    <cellStyle name="제목 4 4" xfId="15075" hidden="1"/>
    <cellStyle name="제목 4 4" xfId="15117" hidden="1"/>
    <cellStyle name="제목 4 4" xfId="15159" hidden="1"/>
    <cellStyle name="제목 4 4" xfId="15201" hidden="1"/>
    <cellStyle name="제목 4 4" xfId="15243" hidden="1"/>
    <cellStyle name="제목 4 4" xfId="15285" hidden="1"/>
    <cellStyle name="제목 4 4" xfId="15327" hidden="1"/>
    <cellStyle name="제목 4 4" xfId="15369" hidden="1"/>
    <cellStyle name="제목 4 4" xfId="14865" hidden="1"/>
    <cellStyle name="제목 4 4" xfId="15549" hidden="1"/>
    <cellStyle name="제목 4 4" xfId="15589" hidden="1"/>
    <cellStyle name="제목 4 4" xfId="15629" hidden="1"/>
    <cellStyle name="제목 4 4" xfId="15669" hidden="1"/>
    <cellStyle name="제목 4 4" xfId="15709" hidden="1"/>
    <cellStyle name="제목 4 4" xfId="15749" hidden="1"/>
    <cellStyle name="제목 4 4" xfId="15789" hidden="1"/>
    <cellStyle name="제목 4 4" xfId="15829" hidden="1"/>
    <cellStyle name="제목 4 4" xfId="15869" hidden="1"/>
    <cellStyle name="제목 4 4" xfId="15909" hidden="1"/>
    <cellStyle name="제목 4 4" xfId="15949" hidden="1"/>
    <cellStyle name="제목 4 4" xfId="15989" hidden="1"/>
    <cellStyle name="제목 4 4" xfId="15483" hidden="1"/>
    <cellStyle name="제목 4 4" xfId="15444" hidden="1"/>
    <cellStyle name="제목 4 4" xfId="16030" hidden="1"/>
    <cellStyle name="제목 4 4" xfId="16072" hidden="1"/>
    <cellStyle name="제목 4 4" xfId="16114" hidden="1"/>
    <cellStyle name="제목 4 4" xfId="16156" hidden="1"/>
    <cellStyle name="제목 4 4" xfId="16198" hidden="1"/>
    <cellStyle name="제목 4 4" xfId="16240" hidden="1"/>
    <cellStyle name="제목 4 4" xfId="16282" hidden="1"/>
    <cellStyle name="제목 4 4" xfId="16324" hidden="1"/>
    <cellStyle name="제목 4 4" xfId="16366" hidden="1"/>
    <cellStyle name="제목 4 4" xfId="16408" hidden="1"/>
    <cellStyle name="제목 4 4" xfId="15537" hidden="1"/>
    <cellStyle name="제목 4 4" xfId="15543" hidden="1"/>
    <cellStyle name="제목 4 4" xfId="16477" hidden="1"/>
    <cellStyle name="제목 4 4" xfId="16517" hidden="1"/>
    <cellStyle name="제목 4 4" xfId="16557" hidden="1"/>
    <cellStyle name="제목 4 4" xfId="16597" hidden="1"/>
    <cellStyle name="제목 4 4" xfId="16637" hidden="1"/>
    <cellStyle name="제목 4 4" xfId="16677" hidden="1"/>
    <cellStyle name="제목 4 4" xfId="16717" hidden="1"/>
    <cellStyle name="제목 4 4" xfId="16757" hidden="1"/>
    <cellStyle name="제목 4 4" xfId="16797" hidden="1"/>
    <cellStyle name="제목 4 4" xfId="16837" hidden="1"/>
    <cellStyle name="제목 4 4" xfId="16877" hidden="1"/>
    <cellStyle name="제목 4 4" xfId="14326" hidden="1"/>
    <cellStyle name="제목 4 4" xfId="16928" hidden="1"/>
    <cellStyle name="제목 4 4" xfId="16969" hidden="1"/>
    <cellStyle name="제목 4 4" xfId="17009" hidden="1"/>
    <cellStyle name="제목 4 4" xfId="17049" hidden="1"/>
    <cellStyle name="제목 4 4" xfId="17089" hidden="1"/>
    <cellStyle name="제목 4 4" xfId="17129" hidden="1"/>
    <cellStyle name="제목 4 4" xfId="17169" hidden="1"/>
    <cellStyle name="제목 4 4" xfId="17209" hidden="1"/>
    <cellStyle name="제목 4 4" xfId="17249" hidden="1"/>
    <cellStyle name="제목 4 4" xfId="17289" hidden="1"/>
    <cellStyle name="제목 4 4" xfId="17329" hidden="1"/>
    <cellStyle name="제목 4 4" xfId="17413" hidden="1"/>
    <cellStyle name="제목 4 4" xfId="17453" hidden="1"/>
    <cellStyle name="제목 4 4" xfId="17495" hidden="1"/>
    <cellStyle name="제목 4 4" xfId="17537" hidden="1"/>
    <cellStyle name="제목 4 4" xfId="17579" hidden="1"/>
    <cellStyle name="제목 4 4" xfId="17621" hidden="1"/>
    <cellStyle name="제목 4 4" xfId="17663" hidden="1"/>
    <cellStyle name="제목 4 4" xfId="17705" hidden="1"/>
    <cellStyle name="제목 4 4" xfId="17747" hidden="1"/>
    <cellStyle name="제목 4 4" xfId="17789" hidden="1"/>
    <cellStyle name="제목 4 4" xfId="17831" hidden="1"/>
    <cellStyle name="제목 4 4" xfId="17873" hidden="1"/>
    <cellStyle name="제목 4 4" xfId="17369" hidden="1"/>
    <cellStyle name="제목 4 4" xfId="18053" hidden="1"/>
    <cellStyle name="제목 4 4" xfId="18093" hidden="1"/>
    <cellStyle name="제목 4 4" xfId="18133" hidden="1"/>
    <cellStyle name="제목 4 4" xfId="18173" hidden="1"/>
    <cellStyle name="제목 4 4" xfId="18213" hidden="1"/>
    <cellStyle name="제목 4 4" xfId="18253" hidden="1"/>
    <cellStyle name="제목 4 4" xfId="18293" hidden="1"/>
    <cellStyle name="제목 4 4" xfId="18333" hidden="1"/>
    <cellStyle name="제목 4 4" xfId="18373" hidden="1"/>
    <cellStyle name="제목 4 4" xfId="18413" hidden="1"/>
    <cellStyle name="제목 4 4" xfId="18453" hidden="1"/>
    <cellStyle name="제목 4 4" xfId="18493" hidden="1"/>
    <cellStyle name="제목 4 4" xfId="17987" hidden="1"/>
    <cellStyle name="제목 4 4" xfId="17948" hidden="1"/>
    <cellStyle name="제목 4 4" xfId="18534" hidden="1"/>
    <cellStyle name="제목 4 4" xfId="18576" hidden="1"/>
    <cellStyle name="제목 4 4" xfId="18618" hidden="1"/>
    <cellStyle name="제목 4 4" xfId="18660" hidden="1"/>
    <cellStyle name="제목 4 4" xfId="18702" hidden="1"/>
    <cellStyle name="제목 4 4" xfId="18744" hidden="1"/>
    <cellStyle name="제목 4 4" xfId="18786" hidden="1"/>
    <cellStyle name="제목 4 4" xfId="18828" hidden="1"/>
    <cellStyle name="제목 4 4" xfId="18870" hidden="1"/>
    <cellStyle name="제목 4 4" xfId="18912" hidden="1"/>
    <cellStyle name="제목 4 4" xfId="18041" hidden="1"/>
    <cellStyle name="제목 4 4" xfId="18047" hidden="1"/>
    <cellStyle name="제목 4 4" xfId="18981" hidden="1"/>
    <cellStyle name="제목 4 4" xfId="19021" hidden="1"/>
    <cellStyle name="제목 4 4" xfId="19061" hidden="1"/>
    <cellStyle name="제목 4 4" xfId="19101" hidden="1"/>
    <cellStyle name="제목 4 4" xfId="19141" hidden="1"/>
    <cellStyle name="제목 4 4" xfId="19181" hidden="1"/>
    <cellStyle name="제목 4 4" xfId="19221" hidden="1"/>
    <cellStyle name="제목 4 4" xfId="19261" hidden="1"/>
    <cellStyle name="제목 4 4" xfId="19301" hidden="1"/>
    <cellStyle name="제목 4 4" xfId="19341" hidden="1"/>
    <cellStyle name="제목 4 4" xfId="19381" hidden="1"/>
    <cellStyle name="제목 4 4" xfId="14353" hidden="1"/>
    <cellStyle name="제목 4 4" xfId="19431" hidden="1"/>
    <cellStyle name="제목 4 4" xfId="19471" hidden="1"/>
    <cellStyle name="제목 4 4" xfId="19511" hidden="1"/>
    <cellStyle name="제목 4 4" xfId="19551" hidden="1"/>
    <cellStyle name="제목 4 4" xfId="19591" hidden="1"/>
    <cellStyle name="제목 4 4" xfId="19631" hidden="1"/>
    <cellStyle name="제목 4 4" xfId="19671" hidden="1"/>
    <cellStyle name="제목 4 4" xfId="19711" hidden="1"/>
    <cellStyle name="제목 4 4" xfId="19751" hidden="1"/>
    <cellStyle name="제목 4 4" xfId="19791" hidden="1"/>
    <cellStyle name="제목 4 4" xfId="19831" hidden="1"/>
    <cellStyle name="제목 4 4" xfId="19915" hidden="1"/>
    <cellStyle name="제목 4 4" xfId="19955" hidden="1"/>
    <cellStyle name="제목 4 4" xfId="19997" hidden="1"/>
    <cellStyle name="제목 4 4" xfId="20039" hidden="1"/>
    <cellStyle name="제목 4 4" xfId="20081" hidden="1"/>
    <cellStyle name="제목 4 4" xfId="20123" hidden="1"/>
    <cellStyle name="제목 4 4" xfId="20165" hidden="1"/>
    <cellStyle name="제목 4 4" xfId="20207" hidden="1"/>
    <cellStyle name="제목 4 4" xfId="20249" hidden="1"/>
    <cellStyle name="제목 4 4" xfId="20291" hidden="1"/>
    <cellStyle name="제목 4 4" xfId="20333" hidden="1"/>
    <cellStyle name="제목 4 4" xfId="20375" hidden="1"/>
    <cellStyle name="제목 4 4" xfId="19871" hidden="1"/>
    <cellStyle name="제목 4 4" xfId="20555" hidden="1"/>
    <cellStyle name="제목 4 4" xfId="20595" hidden="1"/>
    <cellStyle name="제목 4 4" xfId="20635" hidden="1"/>
    <cellStyle name="제목 4 4" xfId="20675" hidden="1"/>
    <cellStyle name="제목 4 4" xfId="20715" hidden="1"/>
    <cellStyle name="제목 4 4" xfId="20755" hidden="1"/>
    <cellStyle name="제목 4 4" xfId="20795" hidden="1"/>
    <cellStyle name="제목 4 4" xfId="20835" hidden="1"/>
    <cellStyle name="제목 4 4" xfId="20875" hidden="1"/>
    <cellStyle name="제목 4 4" xfId="20915" hidden="1"/>
    <cellStyle name="제목 4 4" xfId="20955" hidden="1"/>
    <cellStyle name="제목 4 4" xfId="20995" hidden="1"/>
    <cellStyle name="제목 4 4" xfId="20489" hidden="1"/>
    <cellStyle name="제목 4 4" xfId="20450" hidden="1"/>
    <cellStyle name="제목 4 4" xfId="21036" hidden="1"/>
    <cellStyle name="제목 4 4" xfId="21078" hidden="1"/>
    <cellStyle name="제목 4 4" xfId="21120" hidden="1"/>
    <cellStyle name="제목 4 4" xfId="21162" hidden="1"/>
    <cellStyle name="제목 4 4" xfId="21204" hidden="1"/>
    <cellStyle name="제목 4 4" xfId="21246" hidden="1"/>
    <cellStyle name="제목 4 4" xfId="21288" hidden="1"/>
    <cellStyle name="제목 4 4" xfId="21330" hidden="1"/>
    <cellStyle name="제목 4 4" xfId="21372" hidden="1"/>
    <cellStyle name="제목 4 4" xfId="21414" hidden="1"/>
    <cellStyle name="제목 4 4" xfId="20543" hidden="1"/>
    <cellStyle name="제목 4 4" xfId="20549" hidden="1"/>
    <cellStyle name="제목 4 4" xfId="21483" hidden="1"/>
    <cellStyle name="제목 4 4" xfId="21523" hidden="1"/>
    <cellStyle name="제목 4 4" xfId="21563" hidden="1"/>
    <cellStyle name="제목 4 4" xfId="21603" hidden="1"/>
    <cellStyle name="제목 4 4" xfId="21643" hidden="1"/>
    <cellStyle name="제목 4 4" xfId="21683" hidden="1"/>
    <cellStyle name="제목 4 4" xfId="21723" hidden="1"/>
    <cellStyle name="제목 4 4" xfId="21763" hidden="1"/>
    <cellStyle name="제목 4 4" xfId="21803" hidden="1"/>
    <cellStyle name="제목 4 4" xfId="21843" hidden="1"/>
    <cellStyle name="제목 4 4" xfId="21883" hidden="1"/>
    <cellStyle name="제목 4 4" xfId="21951" hidden="1"/>
    <cellStyle name="제목 4 4" xfId="21991" hidden="1"/>
    <cellStyle name="제목 4 4" xfId="22031" hidden="1"/>
    <cellStyle name="제목 4 4" xfId="22071" hidden="1"/>
    <cellStyle name="제목 4 4" xfId="22111" hidden="1"/>
    <cellStyle name="제목 4 4" xfId="22151" hidden="1"/>
    <cellStyle name="제목 4 4" xfId="22191" hidden="1"/>
    <cellStyle name="제목 4 4" xfId="22231" hidden="1"/>
    <cellStyle name="제목 4 4" xfId="22271" hidden="1"/>
    <cellStyle name="제목 4 4" xfId="22311" hidden="1"/>
    <cellStyle name="제목 4 4" xfId="22351" hidden="1"/>
    <cellStyle name="제목 4 4" xfId="22391" hidden="1"/>
    <cellStyle name="제목 4 4" xfId="22475" hidden="1"/>
    <cellStyle name="제목 4 4" xfId="22515" hidden="1"/>
    <cellStyle name="제목 4 4" xfId="22557" hidden="1"/>
    <cellStyle name="제목 4 4" xfId="22599" hidden="1"/>
    <cellStyle name="제목 4 4" xfId="22641" hidden="1"/>
    <cellStyle name="제목 4 4" xfId="22683" hidden="1"/>
    <cellStyle name="제목 4 4" xfId="22725" hidden="1"/>
    <cellStyle name="제목 4 4" xfId="22767" hidden="1"/>
    <cellStyle name="제목 4 4" xfId="22809" hidden="1"/>
    <cellStyle name="제목 4 4" xfId="22851" hidden="1"/>
    <cellStyle name="제목 4 4" xfId="22893" hidden="1"/>
    <cellStyle name="제목 4 4" xfId="22935" hidden="1"/>
    <cellStyle name="제목 4 4" xfId="22431" hidden="1"/>
    <cellStyle name="제목 4 4" xfId="23115" hidden="1"/>
    <cellStyle name="제목 4 4" xfId="23155" hidden="1"/>
    <cellStyle name="제목 4 4" xfId="23195" hidden="1"/>
    <cellStyle name="제목 4 4" xfId="23235" hidden="1"/>
    <cellStyle name="제목 4 4" xfId="23275" hidden="1"/>
    <cellStyle name="제목 4 4" xfId="23315" hidden="1"/>
    <cellStyle name="제목 4 4" xfId="23355" hidden="1"/>
    <cellStyle name="제목 4 4" xfId="23395" hidden="1"/>
    <cellStyle name="제목 4 4" xfId="23435" hidden="1"/>
    <cellStyle name="제목 4 4" xfId="23475" hidden="1"/>
    <cellStyle name="제목 4 4" xfId="23515" hidden="1"/>
    <cellStyle name="제목 4 4" xfId="23555" hidden="1"/>
    <cellStyle name="제목 4 4" xfId="23049" hidden="1"/>
    <cellStyle name="제목 4 4" xfId="23010" hidden="1"/>
    <cellStyle name="제목 4 4" xfId="23596" hidden="1"/>
    <cellStyle name="제목 4 4" xfId="23638" hidden="1"/>
    <cellStyle name="제목 4 4" xfId="23680" hidden="1"/>
    <cellStyle name="제목 4 4" xfId="23722" hidden="1"/>
    <cellStyle name="제목 4 4" xfId="23764" hidden="1"/>
    <cellStyle name="제목 4 4" xfId="23806" hidden="1"/>
    <cellStyle name="제목 4 4" xfId="23848" hidden="1"/>
    <cellStyle name="제목 4 4" xfId="23890" hidden="1"/>
    <cellStyle name="제목 4 4" xfId="23932" hidden="1"/>
    <cellStyle name="제목 4 4" xfId="23974" hidden="1"/>
    <cellStyle name="제목 4 4" xfId="23103" hidden="1"/>
    <cellStyle name="제목 4 4" xfId="23109" hidden="1"/>
    <cellStyle name="제목 4 4" xfId="24043" hidden="1"/>
    <cellStyle name="제목 4 4" xfId="24083" hidden="1"/>
    <cellStyle name="제목 4 4" xfId="24123" hidden="1"/>
    <cellStyle name="제목 4 4" xfId="24163" hidden="1"/>
    <cellStyle name="제목 4 4" xfId="24203" hidden="1"/>
    <cellStyle name="제목 4 4" xfId="24243" hidden="1"/>
    <cellStyle name="제목 4 4" xfId="24283" hidden="1"/>
    <cellStyle name="제목 4 4" xfId="24323" hidden="1"/>
    <cellStyle name="제목 4 4" xfId="24363" hidden="1"/>
    <cellStyle name="제목 4 4" xfId="24403" hidden="1"/>
    <cellStyle name="제목 4 4" xfId="24443" hidden="1"/>
    <cellStyle name="제목 4 4" xfId="24541" hidden="1"/>
    <cellStyle name="제목 4 4" xfId="24581" hidden="1"/>
    <cellStyle name="제목 4 4" xfId="24622" hidden="1"/>
    <cellStyle name="제목 4 4" xfId="24664" hidden="1"/>
    <cellStyle name="제목 4 4" xfId="24704" hidden="1"/>
    <cellStyle name="제목 4 4" xfId="24744" hidden="1"/>
    <cellStyle name="제목 4 4" xfId="24784" hidden="1"/>
    <cellStyle name="제목 4 4" xfId="24824" hidden="1"/>
    <cellStyle name="제목 4 4" xfId="24864" hidden="1"/>
    <cellStyle name="제목 4 4" xfId="24904" hidden="1"/>
    <cellStyle name="제목 4 4" xfId="24944" hidden="1"/>
    <cellStyle name="제목 4 4" xfId="24984" hidden="1"/>
    <cellStyle name="제목 4 4" xfId="25068" hidden="1"/>
    <cellStyle name="제목 4 4" xfId="25108" hidden="1"/>
    <cellStyle name="제목 4 4" xfId="25150" hidden="1"/>
    <cellStyle name="제목 4 4" xfId="25192" hidden="1"/>
    <cellStyle name="제목 4 4" xfId="25234" hidden="1"/>
    <cellStyle name="제목 4 4" xfId="25276" hidden="1"/>
    <cellStyle name="제목 4 4" xfId="25318" hidden="1"/>
    <cellStyle name="제목 4 4" xfId="25360" hidden="1"/>
    <cellStyle name="제목 4 4" xfId="25402" hidden="1"/>
    <cellStyle name="제목 4 4" xfId="25444" hidden="1"/>
    <cellStyle name="제목 4 4" xfId="25486" hidden="1"/>
    <cellStyle name="제목 4 4" xfId="25528" hidden="1"/>
    <cellStyle name="제목 4 4" xfId="25024" hidden="1"/>
    <cellStyle name="제목 4 4" xfId="25708" hidden="1"/>
    <cellStyle name="제목 4 4" xfId="25748" hidden="1"/>
    <cellStyle name="제목 4 4" xfId="25788" hidden="1"/>
    <cellStyle name="제목 4 4" xfId="25828" hidden="1"/>
    <cellStyle name="제목 4 4" xfId="25868" hidden="1"/>
    <cellStyle name="제목 4 4" xfId="25908" hidden="1"/>
    <cellStyle name="제목 4 4" xfId="25948" hidden="1"/>
    <cellStyle name="제목 4 4" xfId="25988" hidden="1"/>
    <cellStyle name="제목 4 4" xfId="26028" hidden="1"/>
    <cellStyle name="제목 4 4" xfId="26068" hidden="1"/>
    <cellStyle name="제목 4 4" xfId="26108" hidden="1"/>
    <cellStyle name="제목 4 4" xfId="26148" hidden="1"/>
    <cellStyle name="제목 4 4" xfId="25642" hidden="1"/>
    <cellStyle name="제목 4 4" xfId="25603" hidden="1"/>
    <cellStyle name="제목 4 4" xfId="26189" hidden="1"/>
    <cellStyle name="제목 4 4" xfId="26231" hidden="1"/>
    <cellStyle name="제목 4 4" xfId="26273" hidden="1"/>
    <cellStyle name="제목 4 4" xfId="26315" hidden="1"/>
    <cellStyle name="제목 4 4" xfId="26357" hidden="1"/>
    <cellStyle name="제목 4 4" xfId="26399" hidden="1"/>
    <cellStyle name="제목 4 4" xfId="26441" hidden="1"/>
    <cellStyle name="제목 4 4" xfId="26483" hidden="1"/>
    <cellStyle name="제목 4 4" xfId="26525" hidden="1"/>
    <cellStyle name="제목 4 4" xfId="26567" hidden="1"/>
    <cellStyle name="제목 4 4" xfId="25696" hidden="1"/>
    <cellStyle name="제목 4 4" xfId="25702" hidden="1"/>
    <cellStyle name="제목 4 4" xfId="26636" hidden="1"/>
    <cellStyle name="제목 4 4" xfId="26676" hidden="1"/>
    <cellStyle name="제목 4 4" xfId="26716" hidden="1"/>
    <cellStyle name="제목 4 4" xfId="26756" hidden="1"/>
    <cellStyle name="제목 4 4" xfId="26796" hidden="1"/>
    <cellStyle name="제목 4 4" xfId="26836" hidden="1"/>
    <cellStyle name="제목 4 4" xfId="26876" hidden="1"/>
    <cellStyle name="제목 4 4" xfId="26916" hidden="1"/>
    <cellStyle name="제목 4 4" xfId="26956" hidden="1"/>
    <cellStyle name="제목 4 4" xfId="26996" hidden="1"/>
    <cellStyle name="제목 4 4" xfId="27036" hidden="1"/>
    <cellStyle name="제목 4 4" xfId="24488" hidden="1"/>
    <cellStyle name="제목 4 4" xfId="27087" hidden="1"/>
    <cellStyle name="제목 4 4" xfId="27127" hidden="1"/>
    <cellStyle name="제목 4 4" xfId="27167" hidden="1"/>
    <cellStyle name="제목 4 4" xfId="27207" hidden="1"/>
    <cellStyle name="제목 4 4" xfId="27247" hidden="1"/>
    <cellStyle name="제목 4 4" xfId="27287" hidden="1"/>
    <cellStyle name="제목 4 4" xfId="27327" hidden="1"/>
    <cellStyle name="제목 4 4" xfId="27367" hidden="1"/>
    <cellStyle name="제목 4 4" xfId="27407" hidden="1"/>
    <cellStyle name="제목 4 4" xfId="27447" hidden="1"/>
    <cellStyle name="제목 4 4" xfId="27487" hidden="1"/>
    <cellStyle name="제목 4 4" xfId="27571" hidden="1"/>
    <cellStyle name="제목 4 4" xfId="27611" hidden="1"/>
    <cellStyle name="제목 4 4" xfId="27653" hidden="1"/>
    <cellStyle name="제목 4 4" xfId="27695" hidden="1"/>
    <cellStyle name="제목 4 4" xfId="27737" hidden="1"/>
    <cellStyle name="제목 4 4" xfId="27779" hidden="1"/>
    <cellStyle name="제목 4 4" xfId="27821" hidden="1"/>
    <cellStyle name="제목 4 4" xfId="27863" hidden="1"/>
    <cellStyle name="제목 4 4" xfId="27905" hidden="1"/>
    <cellStyle name="제목 4 4" xfId="27947" hidden="1"/>
    <cellStyle name="제목 4 4" xfId="27989" hidden="1"/>
    <cellStyle name="제목 4 4" xfId="28031" hidden="1"/>
    <cellStyle name="제목 4 4" xfId="27527" hidden="1"/>
    <cellStyle name="제목 4 4" xfId="28211" hidden="1"/>
    <cellStyle name="제목 4 4" xfId="28251" hidden="1"/>
    <cellStyle name="제목 4 4" xfId="28291" hidden="1"/>
    <cellStyle name="제목 4 4" xfId="28331" hidden="1"/>
    <cellStyle name="제목 4 4" xfId="28371" hidden="1"/>
    <cellStyle name="제목 4 4" xfId="28411" hidden="1"/>
    <cellStyle name="제목 4 4" xfId="28451" hidden="1"/>
    <cellStyle name="제목 4 4" xfId="28491" hidden="1"/>
    <cellStyle name="제목 4 4" xfId="28531" hidden="1"/>
    <cellStyle name="제목 4 4" xfId="28571" hidden="1"/>
    <cellStyle name="제목 4 4" xfId="28611" hidden="1"/>
    <cellStyle name="제목 4 4" xfId="28651" hidden="1"/>
    <cellStyle name="제목 4 4" xfId="28145" hidden="1"/>
    <cellStyle name="제목 4 4" xfId="28106" hidden="1"/>
    <cellStyle name="제목 4 4" xfId="28692" hidden="1"/>
    <cellStyle name="제목 4 4" xfId="28734" hidden="1"/>
    <cellStyle name="제목 4 4" xfId="28776" hidden="1"/>
    <cellStyle name="제목 4 4" xfId="28818" hidden="1"/>
    <cellStyle name="제목 4 4" xfId="28860" hidden="1"/>
    <cellStyle name="제목 4 4" xfId="28902" hidden="1"/>
    <cellStyle name="제목 4 4" xfId="28944" hidden="1"/>
    <cellStyle name="제목 4 4" xfId="28986" hidden="1"/>
    <cellStyle name="제목 4 4" xfId="29028" hidden="1"/>
    <cellStyle name="제목 4 4" xfId="29070" hidden="1"/>
    <cellStyle name="제목 4 4" xfId="28199" hidden="1"/>
    <cellStyle name="제목 4 4" xfId="28205" hidden="1"/>
    <cellStyle name="제목 4 4" xfId="29139" hidden="1"/>
    <cellStyle name="제목 4 4" xfId="29179" hidden="1"/>
    <cellStyle name="제목 4 4" xfId="29219" hidden="1"/>
    <cellStyle name="제목 4 4" xfId="29259" hidden="1"/>
    <cellStyle name="제목 4 4" xfId="29299" hidden="1"/>
    <cellStyle name="제목 4 4" xfId="29339" hidden="1"/>
    <cellStyle name="제목 4 4" xfId="29379" hidden="1"/>
    <cellStyle name="제목 4 4" xfId="29419" hidden="1"/>
    <cellStyle name="제목 4 4" xfId="29459" hidden="1"/>
    <cellStyle name="제목 4 4" xfId="29499" hidden="1"/>
    <cellStyle name="제목 4 4" xfId="29539" hidden="1"/>
    <cellStyle name="제목 4 4" xfId="24511" hidden="1"/>
    <cellStyle name="제목 4 4" xfId="29589" hidden="1"/>
    <cellStyle name="제목 4 4" xfId="29629" hidden="1"/>
    <cellStyle name="제목 4 4" xfId="29669" hidden="1"/>
    <cellStyle name="제목 4 4" xfId="29709" hidden="1"/>
    <cellStyle name="제목 4 4" xfId="29749" hidden="1"/>
    <cellStyle name="제목 4 4" xfId="29789" hidden="1"/>
    <cellStyle name="제목 4 4" xfId="29829" hidden="1"/>
    <cellStyle name="제목 4 4" xfId="29869" hidden="1"/>
    <cellStyle name="제목 4 4" xfId="29909" hidden="1"/>
    <cellStyle name="제목 4 4" xfId="29949" hidden="1"/>
    <cellStyle name="제목 4 4" xfId="29989" hidden="1"/>
    <cellStyle name="제목 4 4" xfId="30073" hidden="1"/>
    <cellStyle name="제목 4 4" xfId="30113" hidden="1"/>
    <cellStyle name="제목 4 4" xfId="30155" hidden="1"/>
    <cellStyle name="제목 4 4" xfId="30197" hidden="1"/>
    <cellStyle name="제목 4 4" xfId="30239" hidden="1"/>
    <cellStyle name="제목 4 4" xfId="30281" hidden="1"/>
    <cellStyle name="제목 4 4" xfId="30323" hidden="1"/>
    <cellStyle name="제목 4 4" xfId="30365" hidden="1"/>
    <cellStyle name="제목 4 4" xfId="30407" hidden="1"/>
    <cellStyle name="제목 4 4" xfId="30449" hidden="1"/>
    <cellStyle name="제목 4 4" xfId="30491" hidden="1"/>
    <cellStyle name="제목 4 4" xfId="30533" hidden="1"/>
    <cellStyle name="제목 4 4" xfId="30029" hidden="1"/>
    <cellStyle name="제목 4 4" xfId="30713" hidden="1"/>
    <cellStyle name="제목 4 4" xfId="30753" hidden="1"/>
    <cellStyle name="제목 4 4" xfId="30793" hidden="1"/>
    <cellStyle name="제목 4 4" xfId="30833" hidden="1"/>
    <cellStyle name="제목 4 4" xfId="30873" hidden="1"/>
    <cellStyle name="제목 4 4" xfId="30913" hidden="1"/>
    <cellStyle name="제목 4 4" xfId="30953" hidden="1"/>
    <cellStyle name="제목 4 4" xfId="30993" hidden="1"/>
    <cellStyle name="제목 4 4" xfId="31033" hidden="1"/>
    <cellStyle name="제목 4 4" xfId="31073" hidden="1"/>
    <cellStyle name="제목 4 4" xfId="31113" hidden="1"/>
    <cellStyle name="제목 4 4" xfId="31153" hidden="1"/>
    <cellStyle name="제목 4 4" xfId="30647" hidden="1"/>
    <cellStyle name="제목 4 4" xfId="30608" hidden="1"/>
    <cellStyle name="제목 4 4" xfId="31194" hidden="1"/>
    <cellStyle name="제목 4 4" xfId="31236" hidden="1"/>
    <cellStyle name="제목 4 4" xfId="31278" hidden="1"/>
    <cellStyle name="제목 4 4" xfId="31320" hidden="1"/>
    <cellStyle name="제목 4 4" xfId="31362" hidden="1"/>
    <cellStyle name="제목 4 4" xfId="31404" hidden="1"/>
    <cellStyle name="제목 4 4" xfId="31446" hidden="1"/>
    <cellStyle name="제목 4 4" xfId="31488" hidden="1"/>
    <cellStyle name="제목 4 4" xfId="31530" hidden="1"/>
    <cellStyle name="제목 4 4" xfId="31572" hidden="1"/>
    <cellStyle name="제목 4 4" xfId="30701" hidden="1"/>
    <cellStyle name="제목 4 4" xfId="30707" hidden="1"/>
    <cellStyle name="제목 4 4" xfId="31641" hidden="1"/>
    <cellStyle name="제목 4 4" xfId="31681" hidden="1"/>
    <cellStyle name="제목 4 4" xfId="31721" hidden="1"/>
    <cellStyle name="제목 4 4" xfId="31761" hidden="1"/>
    <cellStyle name="제목 4 4" xfId="31801" hidden="1"/>
    <cellStyle name="제목 4 4" xfId="31841" hidden="1"/>
    <cellStyle name="제목 4 4" xfId="31881" hidden="1"/>
    <cellStyle name="제목 4 4" xfId="31921" hidden="1"/>
    <cellStyle name="제목 4 4" xfId="31961" hidden="1"/>
    <cellStyle name="제목 4 4" xfId="32001" hidden="1"/>
    <cellStyle name="제목 4 4" xfId="32041" hidden="1"/>
    <cellStyle name="제목 4 4" xfId="32103" hidden="1"/>
    <cellStyle name="제목 4 4" xfId="32143" hidden="1"/>
    <cellStyle name="제목 4 4" xfId="32183" hidden="1"/>
    <cellStyle name="제목 4 4" xfId="32223" hidden="1"/>
    <cellStyle name="제목 4 4" xfId="32263" hidden="1"/>
    <cellStyle name="제목 4 4" xfId="32303" hidden="1"/>
    <cellStyle name="제목 4 4" xfId="32343" hidden="1"/>
    <cellStyle name="제목 4 4" xfId="32383" hidden="1"/>
    <cellStyle name="제목 4 4" xfId="32423" hidden="1"/>
    <cellStyle name="제목 4 4" xfId="32463" hidden="1"/>
    <cellStyle name="제목 4 4" xfId="32503" hidden="1"/>
    <cellStyle name="제목 4 4" xfId="32543" hidden="1"/>
    <cellStyle name="제목 4 4" xfId="32628" hidden="1"/>
    <cellStyle name="제목 4 4" xfId="32668" hidden="1"/>
    <cellStyle name="제목 4 4" xfId="32710" hidden="1"/>
    <cellStyle name="제목 4 4" xfId="32752" hidden="1"/>
    <cellStyle name="제목 4 4" xfId="32794" hidden="1"/>
    <cellStyle name="제목 4 4" xfId="32836" hidden="1"/>
    <cellStyle name="제목 4 4" xfId="32878" hidden="1"/>
    <cellStyle name="제목 4 4" xfId="32920" hidden="1"/>
    <cellStyle name="제목 4 4" xfId="32962" hidden="1"/>
    <cellStyle name="제목 4 4" xfId="33004" hidden="1"/>
    <cellStyle name="제목 4 4" xfId="33046" hidden="1"/>
    <cellStyle name="제목 4 4" xfId="33088" hidden="1"/>
    <cellStyle name="제목 4 4" xfId="32584" hidden="1"/>
    <cellStyle name="제목 4 4" xfId="33268" hidden="1"/>
    <cellStyle name="제목 4 4" xfId="33308" hidden="1"/>
    <cellStyle name="제목 4 4" xfId="33348" hidden="1"/>
    <cellStyle name="제목 4 4" xfId="33388" hidden="1"/>
    <cellStyle name="제목 4 4" xfId="33428" hidden="1"/>
    <cellStyle name="제목 4 4" xfId="33468" hidden="1"/>
    <cellStyle name="제목 4 4" xfId="33508" hidden="1"/>
    <cellStyle name="제목 4 4" xfId="33548" hidden="1"/>
    <cellStyle name="제목 4 4" xfId="33588" hidden="1"/>
    <cellStyle name="제목 4 4" xfId="33628" hidden="1"/>
    <cellStyle name="제목 4 4" xfId="33668" hidden="1"/>
    <cellStyle name="제목 4 4" xfId="33708" hidden="1"/>
    <cellStyle name="제목 4 4" xfId="33202" hidden="1"/>
    <cellStyle name="제목 4 4" xfId="33163" hidden="1"/>
    <cellStyle name="제목 4 4" xfId="33749" hidden="1"/>
    <cellStyle name="제목 4 4" xfId="33791" hidden="1"/>
    <cellStyle name="제목 4 4" xfId="33833" hidden="1"/>
    <cellStyle name="제목 4 4" xfId="33875" hidden="1"/>
    <cellStyle name="제목 4 4" xfId="33917" hidden="1"/>
    <cellStyle name="제목 4 4" xfId="33959" hidden="1"/>
    <cellStyle name="제목 4 4" xfId="34001" hidden="1"/>
    <cellStyle name="제목 4 4" xfId="34043" hidden="1"/>
    <cellStyle name="제목 4 4" xfId="34085" hidden="1"/>
    <cellStyle name="제목 4 4" xfId="34127" hidden="1"/>
    <cellStyle name="제목 4 4" xfId="33256" hidden="1"/>
    <cellStyle name="제목 4 4" xfId="33262" hidden="1"/>
    <cellStyle name="제목 4 4" xfId="34196" hidden="1"/>
    <cellStyle name="제목 4 4" xfId="34236" hidden="1"/>
    <cellStyle name="제목 4 4" xfId="34276" hidden="1"/>
    <cellStyle name="제목 4 4" xfId="34316" hidden="1"/>
    <cellStyle name="제목 4 4" xfId="34356" hidden="1"/>
    <cellStyle name="제목 4 4" xfId="34396" hidden="1"/>
    <cellStyle name="제목 4 4" xfId="34436" hidden="1"/>
    <cellStyle name="제목 4 4" xfId="34476" hidden="1"/>
    <cellStyle name="제목 4 4" xfId="34516" hidden="1"/>
    <cellStyle name="제목 4 4" xfId="34556" hidden="1"/>
    <cellStyle name="제목 4 4" xfId="34596" hidden="1"/>
    <cellStyle name="제목 4 4" xfId="34693" hidden="1"/>
    <cellStyle name="제목 4 4" xfId="34733" hidden="1"/>
    <cellStyle name="제목 4 4" xfId="34773" hidden="1"/>
    <cellStyle name="제목 4 4" xfId="34813" hidden="1"/>
    <cellStyle name="제목 4 4" xfId="34853" hidden="1"/>
    <cellStyle name="제목 4 4" xfId="34893" hidden="1"/>
    <cellStyle name="제목 4 4" xfId="34933" hidden="1"/>
    <cellStyle name="제목 4 4" xfId="34973" hidden="1"/>
    <cellStyle name="제목 4 4" xfId="35013" hidden="1"/>
    <cellStyle name="제목 4 4" xfId="35053" hidden="1"/>
    <cellStyle name="제목 4 4" xfId="35093" hidden="1"/>
    <cellStyle name="제목 4 4" xfId="35133" hidden="1"/>
    <cellStyle name="제목 4 4" xfId="35217" hidden="1"/>
    <cellStyle name="제목 4 4" xfId="35257" hidden="1"/>
    <cellStyle name="제목 4 4" xfId="35299" hidden="1"/>
    <cellStyle name="제목 4 4" xfId="35341" hidden="1"/>
    <cellStyle name="제목 4 4" xfId="35383" hidden="1"/>
    <cellStyle name="제목 4 4" xfId="35425" hidden="1"/>
    <cellStyle name="제목 4 4" xfId="35467" hidden="1"/>
    <cellStyle name="제목 4 4" xfId="35509" hidden="1"/>
    <cellStyle name="제목 4 4" xfId="35551" hidden="1"/>
    <cellStyle name="제목 4 4" xfId="35593" hidden="1"/>
    <cellStyle name="제목 4 4" xfId="35635" hidden="1"/>
    <cellStyle name="제목 4 4" xfId="35677" hidden="1"/>
    <cellStyle name="제목 4 4" xfId="35173" hidden="1"/>
    <cellStyle name="제목 4 4" xfId="35857" hidden="1"/>
    <cellStyle name="제목 4 4" xfId="35897" hidden="1"/>
    <cellStyle name="제목 4 4" xfId="35937" hidden="1"/>
    <cellStyle name="제목 4 4" xfId="35977" hidden="1"/>
    <cellStyle name="제목 4 4" xfId="36017" hidden="1"/>
    <cellStyle name="제목 4 4" xfId="36057" hidden="1"/>
    <cellStyle name="제목 4 4" xfId="36097" hidden="1"/>
    <cellStyle name="제목 4 4" xfId="36137" hidden="1"/>
    <cellStyle name="제목 4 4" xfId="36177" hidden="1"/>
    <cellStyle name="제목 4 4" xfId="36217" hidden="1"/>
    <cellStyle name="제목 4 4" xfId="36257" hidden="1"/>
    <cellStyle name="제목 4 4" xfId="36297" hidden="1"/>
    <cellStyle name="제목 4 4" xfId="35791" hidden="1"/>
    <cellStyle name="제목 4 4" xfId="35752" hidden="1"/>
    <cellStyle name="제목 4 4" xfId="36338" hidden="1"/>
    <cellStyle name="제목 4 4" xfId="36380" hidden="1"/>
    <cellStyle name="제목 4 4" xfId="36422" hidden="1"/>
    <cellStyle name="제목 4 4" xfId="36464" hidden="1"/>
    <cellStyle name="제목 4 4" xfId="36506" hidden="1"/>
    <cellStyle name="제목 4 4" xfId="36548" hidden="1"/>
    <cellStyle name="제목 4 4" xfId="36590" hidden="1"/>
    <cellStyle name="제목 4 4" xfId="36632" hidden="1"/>
    <cellStyle name="제목 4 4" xfId="36674" hidden="1"/>
    <cellStyle name="제목 4 4" xfId="36716" hidden="1"/>
    <cellStyle name="제목 4 4" xfId="35845" hidden="1"/>
    <cellStyle name="제목 4 4" xfId="35851" hidden="1"/>
    <cellStyle name="제목 4 4" xfId="36785" hidden="1"/>
    <cellStyle name="제목 4 4" xfId="36825" hidden="1"/>
    <cellStyle name="제목 4 4" xfId="36865" hidden="1"/>
    <cellStyle name="제목 4 4" xfId="36905" hidden="1"/>
    <cellStyle name="제목 4 4" xfId="36945" hidden="1"/>
    <cellStyle name="제목 4 4" xfId="36985" hidden="1"/>
    <cellStyle name="제목 4 4" xfId="37025" hidden="1"/>
    <cellStyle name="제목 4 4" xfId="37065" hidden="1"/>
    <cellStyle name="제목 4 4" xfId="37105" hidden="1"/>
    <cellStyle name="제목 4 4" xfId="37145" hidden="1"/>
    <cellStyle name="제목 4 4" xfId="37185" hidden="1"/>
    <cellStyle name="제목 4 4" xfId="34640" hidden="1"/>
    <cellStyle name="제목 4 4" xfId="37236" hidden="1"/>
    <cellStyle name="제목 4 4" xfId="37277" hidden="1"/>
    <cellStyle name="제목 4 4" xfId="37317" hidden="1"/>
    <cellStyle name="제목 4 4" xfId="37357" hidden="1"/>
    <cellStyle name="제목 4 4" xfId="37397" hidden="1"/>
    <cellStyle name="제목 4 4" xfId="37437" hidden="1"/>
    <cellStyle name="제목 4 4" xfId="37477" hidden="1"/>
    <cellStyle name="제목 4 4" xfId="37517" hidden="1"/>
    <cellStyle name="제목 4 4" xfId="37557" hidden="1"/>
    <cellStyle name="제목 4 4" xfId="37597" hidden="1"/>
    <cellStyle name="제목 4 4" xfId="37637" hidden="1"/>
    <cellStyle name="제목 4 4" xfId="37721" hidden="1"/>
    <cellStyle name="제목 4 4" xfId="37761" hidden="1"/>
    <cellStyle name="제목 4 4" xfId="37803" hidden="1"/>
    <cellStyle name="제목 4 4" xfId="37845" hidden="1"/>
    <cellStyle name="제목 4 4" xfId="37887" hidden="1"/>
    <cellStyle name="제목 4 4" xfId="37929" hidden="1"/>
    <cellStyle name="제목 4 4" xfId="37971" hidden="1"/>
    <cellStyle name="제목 4 4" xfId="38013" hidden="1"/>
    <cellStyle name="제목 4 4" xfId="38055" hidden="1"/>
    <cellStyle name="제목 4 4" xfId="38097" hidden="1"/>
    <cellStyle name="제목 4 4" xfId="38139" hidden="1"/>
    <cellStyle name="제목 4 4" xfId="38181" hidden="1"/>
    <cellStyle name="제목 4 4" xfId="37677" hidden="1"/>
    <cellStyle name="제목 4 4" xfId="38361" hidden="1"/>
    <cellStyle name="제목 4 4" xfId="38401" hidden="1"/>
    <cellStyle name="제목 4 4" xfId="38441" hidden="1"/>
    <cellStyle name="제목 4 4" xfId="38481" hidden="1"/>
    <cellStyle name="제목 4 4" xfId="38521" hidden="1"/>
    <cellStyle name="제목 4 4" xfId="38561" hidden="1"/>
    <cellStyle name="제목 4 4" xfId="38601" hidden="1"/>
    <cellStyle name="제목 4 4" xfId="38641" hidden="1"/>
    <cellStyle name="제목 4 4" xfId="38681" hidden="1"/>
    <cellStyle name="제목 4 4" xfId="38721" hidden="1"/>
    <cellStyle name="제목 4 4" xfId="38761" hidden="1"/>
    <cellStyle name="제목 4 4" xfId="38801" hidden="1"/>
    <cellStyle name="제목 4 4" xfId="38295" hidden="1"/>
    <cellStyle name="제목 4 4" xfId="38256" hidden="1"/>
    <cellStyle name="제목 4 4" xfId="38842" hidden="1"/>
    <cellStyle name="제목 4 4" xfId="38884" hidden="1"/>
    <cellStyle name="제목 4 4" xfId="38926" hidden="1"/>
    <cellStyle name="제목 4 4" xfId="38968" hidden="1"/>
    <cellStyle name="제목 4 4" xfId="39010" hidden="1"/>
    <cellStyle name="제목 4 4" xfId="39052" hidden="1"/>
    <cellStyle name="제목 4 4" xfId="39094" hidden="1"/>
    <cellStyle name="제목 4 4" xfId="39136" hidden="1"/>
    <cellStyle name="제목 4 4" xfId="39178" hidden="1"/>
    <cellStyle name="제목 4 4" xfId="39220" hidden="1"/>
    <cellStyle name="제목 4 4" xfId="38349" hidden="1"/>
    <cellStyle name="제목 4 4" xfId="38355" hidden="1"/>
    <cellStyle name="제목 4 4" xfId="39289" hidden="1"/>
    <cellStyle name="제목 4 4" xfId="39329" hidden="1"/>
    <cellStyle name="제목 4 4" xfId="39369" hidden="1"/>
    <cellStyle name="제목 4 4" xfId="39409" hidden="1"/>
    <cellStyle name="제목 4 4" xfId="39449" hidden="1"/>
    <cellStyle name="제목 4 4" xfId="39489" hidden="1"/>
    <cellStyle name="제목 4 4" xfId="39529" hidden="1"/>
    <cellStyle name="제목 4 4" xfId="39569" hidden="1"/>
    <cellStyle name="제목 4 4" xfId="39609" hidden="1"/>
    <cellStyle name="제목 4 4" xfId="39649" hidden="1"/>
    <cellStyle name="제목 4 4" xfId="39689" hidden="1"/>
    <cellStyle name="제목 4 4" xfId="34663" hidden="1"/>
    <cellStyle name="제목 4 4" xfId="39739" hidden="1"/>
    <cellStyle name="제목 4 4" xfId="39779" hidden="1"/>
    <cellStyle name="제목 4 4" xfId="39819" hidden="1"/>
    <cellStyle name="제목 4 4" xfId="39859" hidden="1"/>
    <cellStyle name="제목 4 4" xfId="39899" hidden="1"/>
    <cellStyle name="제목 4 4" xfId="39939" hidden="1"/>
    <cellStyle name="제목 4 4" xfId="39979" hidden="1"/>
    <cellStyle name="제목 4 4" xfId="40019" hidden="1"/>
    <cellStyle name="제목 4 4" xfId="40059" hidden="1"/>
    <cellStyle name="제목 4 4" xfId="40099" hidden="1"/>
    <cellStyle name="제목 4 4" xfId="40139" hidden="1"/>
    <cellStyle name="제목 4 4" xfId="40223" hidden="1"/>
    <cellStyle name="제목 4 4" xfId="40263" hidden="1"/>
    <cellStyle name="제목 4 4" xfId="40305" hidden="1"/>
    <cellStyle name="제목 4 4" xfId="40347" hidden="1"/>
    <cellStyle name="제목 4 4" xfId="40389" hidden="1"/>
    <cellStyle name="제목 4 4" xfId="40431" hidden="1"/>
    <cellStyle name="제목 4 4" xfId="40473" hidden="1"/>
    <cellStyle name="제목 4 4" xfId="40515" hidden="1"/>
    <cellStyle name="제목 4 4" xfId="40557" hidden="1"/>
    <cellStyle name="제목 4 4" xfId="40599" hidden="1"/>
    <cellStyle name="제목 4 4" xfId="40641" hidden="1"/>
    <cellStyle name="제목 4 4" xfId="40683" hidden="1"/>
    <cellStyle name="제목 4 4" xfId="40179" hidden="1"/>
    <cellStyle name="제목 4 4" xfId="40863" hidden="1"/>
    <cellStyle name="제목 4 4" xfId="40903" hidden="1"/>
    <cellStyle name="제목 4 4" xfId="40943" hidden="1"/>
    <cellStyle name="제목 4 4" xfId="40983" hidden="1"/>
    <cellStyle name="제목 4 4" xfId="41023" hidden="1"/>
    <cellStyle name="제목 4 4" xfId="41063" hidden="1"/>
    <cellStyle name="제목 4 4" xfId="41103" hidden="1"/>
    <cellStyle name="제목 4 4" xfId="41143" hidden="1"/>
    <cellStyle name="제목 4 4" xfId="41183" hidden="1"/>
    <cellStyle name="제목 4 4" xfId="41223" hidden="1"/>
    <cellStyle name="제목 4 4" xfId="41263" hidden="1"/>
    <cellStyle name="제목 4 4" xfId="41303" hidden="1"/>
    <cellStyle name="제목 4 4" xfId="40797" hidden="1"/>
    <cellStyle name="제목 4 4" xfId="40758" hidden="1"/>
    <cellStyle name="제목 4 4" xfId="41344" hidden="1"/>
    <cellStyle name="제목 4 4" xfId="41386" hidden="1"/>
    <cellStyle name="제목 4 4" xfId="41428" hidden="1"/>
    <cellStyle name="제목 4 4" xfId="41470" hidden="1"/>
    <cellStyle name="제목 4 4" xfId="41512" hidden="1"/>
    <cellStyle name="제목 4 4" xfId="41554" hidden="1"/>
    <cellStyle name="제목 4 4" xfId="41596" hidden="1"/>
    <cellStyle name="제목 4 4" xfId="41638" hidden="1"/>
    <cellStyle name="제목 4 4" xfId="41680" hidden="1"/>
    <cellStyle name="제목 4 4" xfId="41722" hidden="1"/>
    <cellStyle name="제목 4 4" xfId="40851" hidden="1"/>
    <cellStyle name="제목 4 4" xfId="40857" hidden="1"/>
    <cellStyle name="제목 4 4" xfId="41791" hidden="1"/>
    <cellStyle name="제목 4 4" xfId="41831" hidden="1"/>
    <cellStyle name="제목 4 4" xfId="41871" hidden="1"/>
    <cellStyle name="제목 4 4" xfId="41911" hidden="1"/>
    <cellStyle name="제목 4 4" xfId="41951" hidden="1"/>
    <cellStyle name="제목 4 4" xfId="41991" hidden="1"/>
    <cellStyle name="제목 4 4" xfId="42031" hidden="1"/>
    <cellStyle name="제목 4 4" xfId="42071" hidden="1"/>
    <cellStyle name="제목 4 4" xfId="42111" hidden="1"/>
    <cellStyle name="제목 4 4" xfId="42151" hidden="1"/>
    <cellStyle name="제목 4 4" xfId="42191" hidden="1"/>
    <cellStyle name="제목 4 4" xfId="42234" hidden="1"/>
    <cellStyle name="제목 4 4" xfId="42274" hidden="1"/>
    <cellStyle name="제목 4 4" xfId="42314" hidden="1"/>
    <cellStyle name="제목 4 4" xfId="42354" hidden="1"/>
    <cellStyle name="제목 4 4" xfId="42394" hidden="1"/>
    <cellStyle name="제목 4 4" xfId="42434" hidden="1"/>
    <cellStyle name="제목 4 4" xfId="42474" hidden="1"/>
    <cellStyle name="제목 4 4" xfId="42514" hidden="1"/>
    <cellStyle name="제목 4 4" xfId="42554" hidden="1"/>
    <cellStyle name="제목 4 4" xfId="42594" hidden="1"/>
    <cellStyle name="제목 4 4" xfId="42634" hidden="1"/>
    <cellStyle name="제목 4 4" xfId="42674" hidden="1"/>
    <cellStyle name="제목 4 4" xfId="42758" hidden="1"/>
    <cellStyle name="제목 4 4" xfId="42798" hidden="1"/>
    <cellStyle name="제목 4 4" xfId="42840" hidden="1"/>
    <cellStyle name="제목 4 4" xfId="42882" hidden="1"/>
    <cellStyle name="제목 4 4" xfId="42924" hidden="1"/>
    <cellStyle name="제목 4 4" xfId="42966" hidden="1"/>
    <cellStyle name="제목 4 4" xfId="43008" hidden="1"/>
    <cellStyle name="제목 4 4" xfId="43050" hidden="1"/>
    <cellStyle name="제목 4 4" xfId="43092" hidden="1"/>
    <cellStyle name="제목 4 4" xfId="43134" hidden="1"/>
    <cellStyle name="제목 4 4" xfId="43176" hidden="1"/>
    <cellStyle name="제목 4 4" xfId="43218" hidden="1"/>
    <cellStyle name="제목 4 4" xfId="42714" hidden="1"/>
    <cellStyle name="제목 4 4" xfId="43398" hidden="1"/>
    <cellStyle name="제목 4 4" xfId="43438" hidden="1"/>
    <cellStyle name="제목 4 4" xfId="43478" hidden="1"/>
    <cellStyle name="제목 4 4" xfId="43518" hidden="1"/>
    <cellStyle name="제목 4 4" xfId="43558" hidden="1"/>
    <cellStyle name="제목 4 4" xfId="43598" hidden="1"/>
    <cellStyle name="제목 4 4" xfId="43638" hidden="1"/>
    <cellStyle name="제목 4 4" xfId="43678" hidden="1"/>
    <cellStyle name="제목 4 4" xfId="43718" hidden="1"/>
    <cellStyle name="제목 4 4" xfId="43758" hidden="1"/>
    <cellStyle name="제목 4 4" xfId="43798" hidden="1"/>
    <cellStyle name="제목 4 4" xfId="43838" hidden="1"/>
    <cellStyle name="제목 4 4" xfId="43332" hidden="1"/>
    <cellStyle name="제목 4 4" xfId="43293" hidden="1"/>
    <cellStyle name="제목 4 4" xfId="43879" hidden="1"/>
    <cellStyle name="제목 4 4" xfId="43921" hidden="1"/>
    <cellStyle name="제목 4 4" xfId="43963" hidden="1"/>
    <cellStyle name="제목 4 4" xfId="44005" hidden="1"/>
    <cellStyle name="제목 4 4" xfId="44047" hidden="1"/>
    <cellStyle name="제목 4 4" xfId="44089" hidden="1"/>
    <cellStyle name="제목 4 4" xfId="44131" hidden="1"/>
    <cellStyle name="제목 4 4" xfId="44173" hidden="1"/>
    <cellStyle name="제목 4 4" xfId="44215" hidden="1"/>
    <cellStyle name="제목 4 4" xfId="44257" hidden="1"/>
    <cellStyle name="제목 4 4" xfId="43386" hidden="1"/>
    <cellStyle name="제목 4 4" xfId="43392" hidden="1"/>
    <cellStyle name="제목 4 4" xfId="44326" hidden="1"/>
    <cellStyle name="제목 4 4" xfId="44366" hidden="1"/>
    <cellStyle name="제목 4 4" xfId="44406" hidden="1"/>
    <cellStyle name="제목 4 4" xfId="44446" hidden="1"/>
    <cellStyle name="제목 4 4" xfId="44486" hidden="1"/>
    <cellStyle name="제목 4 4" xfId="44526" hidden="1"/>
    <cellStyle name="제목 4 4" xfId="44566" hidden="1"/>
    <cellStyle name="제목 4 4" xfId="44606" hidden="1"/>
    <cellStyle name="제목 4 4" xfId="44646" hidden="1"/>
    <cellStyle name="제목 4 4" xfId="44686" hidden="1"/>
    <cellStyle name="제목 4 4" xfId="44726" hidden="1"/>
    <cellStyle name="제목 4 4" xfId="44822" hidden="1"/>
    <cellStyle name="제목 4 4" xfId="44862" hidden="1"/>
    <cellStyle name="제목 4 4" xfId="44903" hidden="1"/>
    <cellStyle name="제목 4 4" xfId="44945" hidden="1"/>
    <cellStyle name="제목 4 4" xfId="44985" hidden="1"/>
    <cellStyle name="제목 4 4" xfId="45025" hidden="1"/>
    <cellStyle name="제목 4 4" xfId="45065" hidden="1"/>
    <cellStyle name="제목 4 4" xfId="45105" hidden="1"/>
    <cellStyle name="제목 4 4" xfId="45145" hidden="1"/>
    <cellStyle name="제목 4 4" xfId="45185" hidden="1"/>
    <cellStyle name="제목 4 4" xfId="45225" hidden="1"/>
    <cellStyle name="제목 4 4" xfId="45265" hidden="1"/>
    <cellStyle name="제목 4 4" xfId="45349" hidden="1"/>
    <cellStyle name="제목 4 4" xfId="45389" hidden="1"/>
    <cellStyle name="제목 4 4" xfId="45431" hidden="1"/>
    <cellStyle name="제목 4 4" xfId="45473" hidden="1"/>
    <cellStyle name="제목 4 4" xfId="45515" hidden="1"/>
    <cellStyle name="제목 4 4" xfId="45557" hidden="1"/>
    <cellStyle name="제목 4 4" xfId="45599" hidden="1"/>
    <cellStyle name="제목 4 4" xfId="45641" hidden="1"/>
    <cellStyle name="제목 4 4" xfId="45683" hidden="1"/>
    <cellStyle name="제목 4 4" xfId="45725" hidden="1"/>
    <cellStyle name="제목 4 4" xfId="45767" hidden="1"/>
    <cellStyle name="제목 4 4" xfId="45809" hidden="1"/>
    <cellStyle name="제목 4 4" xfId="45305" hidden="1"/>
    <cellStyle name="제목 4 4" xfId="45989" hidden="1"/>
    <cellStyle name="제목 4 4" xfId="46029" hidden="1"/>
    <cellStyle name="제목 4 4" xfId="46069" hidden="1"/>
    <cellStyle name="제목 4 4" xfId="46109" hidden="1"/>
    <cellStyle name="제목 4 4" xfId="46149" hidden="1"/>
    <cellStyle name="제목 4 4" xfId="46189" hidden="1"/>
    <cellStyle name="제목 4 4" xfId="46229" hidden="1"/>
    <cellStyle name="제목 4 4" xfId="46269" hidden="1"/>
    <cellStyle name="제목 4 4" xfId="46309" hidden="1"/>
    <cellStyle name="제목 4 4" xfId="46349" hidden="1"/>
    <cellStyle name="제목 4 4" xfId="46389" hidden="1"/>
    <cellStyle name="제목 4 4" xfId="46429" hidden="1"/>
    <cellStyle name="제목 4 4" xfId="45923" hidden="1"/>
    <cellStyle name="제목 4 4" xfId="45884" hidden="1"/>
    <cellStyle name="제목 4 4" xfId="46470" hidden="1"/>
    <cellStyle name="제목 4 4" xfId="46512" hidden="1"/>
    <cellStyle name="제목 4 4" xfId="46554" hidden="1"/>
    <cellStyle name="제목 4 4" xfId="46596" hidden="1"/>
    <cellStyle name="제목 4 4" xfId="46638" hidden="1"/>
    <cellStyle name="제목 4 4" xfId="46680" hidden="1"/>
    <cellStyle name="제목 4 4" xfId="46722" hidden="1"/>
    <cellStyle name="제목 4 4" xfId="46764" hidden="1"/>
    <cellStyle name="제목 4 4" xfId="46806" hidden="1"/>
    <cellStyle name="제목 4 4" xfId="46848" hidden="1"/>
    <cellStyle name="제목 4 4" xfId="45977" hidden="1"/>
    <cellStyle name="제목 4 4" xfId="45983" hidden="1"/>
    <cellStyle name="제목 4 4" xfId="46917" hidden="1"/>
    <cellStyle name="제목 4 4" xfId="46957" hidden="1"/>
    <cellStyle name="제목 4 4" xfId="46997" hidden="1"/>
    <cellStyle name="제목 4 4" xfId="47037" hidden="1"/>
    <cellStyle name="제목 4 4" xfId="47077" hidden="1"/>
    <cellStyle name="제목 4 4" xfId="47117" hidden="1"/>
    <cellStyle name="제목 4 4" xfId="47157" hidden="1"/>
    <cellStyle name="제목 4 4" xfId="47197" hidden="1"/>
    <cellStyle name="제목 4 4" xfId="47237" hidden="1"/>
    <cellStyle name="제목 4 4" xfId="47277" hidden="1"/>
    <cellStyle name="제목 4 4" xfId="47317" hidden="1"/>
    <cellStyle name="제목 4 4" xfId="44770" hidden="1"/>
    <cellStyle name="제목 4 4" xfId="47368" hidden="1"/>
    <cellStyle name="제목 4 4" xfId="47408" hidden="1"/>
    <cellStyle name="제목 4 4" xfId="47448" hidden="1"/>
    <cellStyle name="제목 4 4" xfId="47488" hidden="1"/>
    <cellStyle name="제목 4 4" xfId="47528" hidden="1"/>
    <cellStyle name="제목 4 4" xfId="47568" hidden="1"/>
    <cellStyle name="제목 4 4" xfId="47608" hidden="1"/>
    <cellStyle name="제목 4 4" xfId="47648" hidden="1"/>
    <cellStyle name="제목 4 4" xfId="47688" hidden="1"/>
    <cellStyle name="제목 4 4" xfId="47728" hidden="1"/>
    <cellStyle name="제목 4 4" xfId="47768" hidden="1"/>
    <cellStyle name="제목 4 4" xfId="47852" hidden="1"/>
    <cellStyle name="제목 4 4" xfId="47892" hidden="1"/>
    <cellStyle name="제목 4 4" xfId="47934" hidden="1"/>
    <cellStyle name="제목 4 4" xfId="47976" hidden="1"/>
    <cellStyle name="제목 4 4" xfId="48018" hidden="1"/>
    <cellStyle name="제목 4 4" xfId="48060" hidden="1"/>
    <cellStyle name="제목 4 4" xfId="48102" hidden="1"/>
    <cellStyle name="제목 4 4" xfId="48144" hidden="1"/>
    <cellStyle name="제목 4 4" xfId="48186" hidden="1"/>
    <cellStyle name="제목 4 4" xfId="48228" hidden="1"/>
    <cellStyle name="제목 4 4" xfId="48270" hidden="1"/>
    <cellStyle name="제목 4 4" xfId="48312" hidden="1"/>
    <cellStyle name="제목 4 4" xfId="47808" hidden="1"/>
    <cellStyle name="제목 4 4" xfId="48492" hidden="1"/>
    <cellStyle name="제목 4 4" xfId="48532" hidden="1"/>
    <cellStyle name="제목 4 4" xfId="48572" hidden="1"/>
    <cellStyle name="제목 4 4" xfId="48612" hidden="1"/>
    <cellStyle name="제목 4 4" xfId="48652" hidden="1"/>
    <cellStyle name="제목 4 4" xfId="48692" hidden="1"/>
    <cellStyle name="제목 4 4" xfId="48732" hidden="1"/>
    <cellStyle name="제목 4 4" xfId="48772" hidden="1"/>
    <cellStyle name="제목 4 4" xfId="48812" hidden="1"/>
    <cellStyle name="제목 4 4" xfId="48852" hidden="1"/>
    <cellStyle name="제목 4 4" xfId="48892" hidden="1"/>
    <cellStyle name="제목 4 4" xfId="48932" hidden="1"/>
    <cellStyle name="제목 4 4" xfId="48426" hidden="1"/>
    <cellStyle name="제목 4 4" xfId="48387" hidden="1"/>
    <cellStyle name="제목 4 4" xfId="48973" hidden="1"/>
    <cellStyle name="제목 4 4" xfId="49015" hidden="1"/>
    <cellStyle name="제목 4 4" xfId="49057" hidden="1"/>
    <cellStyle name="제목 4 4" xfId="49099" hidden="1"/>
    <cellStyle name="제목 4 4" xfId="49141" hidden="1"/>
    <cellStyle name="제목 4 4" xfId="49183" hidden="1"/>
    <cellStyle name="제목 4 4" xfId="49225" hidden="1"/>
    <cellStyle name="제목 4 4" xfId="49267" hidden="1"/>
    <cellStyle name="제목 4 4" xfId="49309" hidden="1"/>
    <cellStyle name="제목 4 4" xfId="49351" hidden="1"/>
    <cellStyle name="제목 4 4" xfId="48480" hidden="1"/>
    <cellStyle name="제목 4 4" xfId="48486" hidden="1"/>
    <cellStyle name="제목 4 4" xfId="49420" hidden="1"/>
    <cellStyle name="제목 4 4" xfId="49460" hidden="1"/>
    <cellStyle name="제목 4 4" xfId="49500" hidden="1"/>
    <cellStyle name="제목 4 4" xfId="49540" hidden="1"/>
    <cellStyle name="제목 4 4" xfId="49580" hidden="1"/>
    <cellStyle name="제목 4 4" xfId="49620" hidden="1"/>
    <cellStyle name="제목 4 4" xfId="49660" hidden="1"/>
    <cellStyle name="제목 4 4" xfId="49700" hidden="1"/>
    <cellStyle name="제목 4 4" xfId="49740" hidden="1"/>
    <cellStyle name="제목 4 4" xfId="49780" hidden="1"/>
    <cellStyle name="제목 4 4" xfId="49820" hidden="1"/>
    <cellStyle name="제목 4 4" xfId="44792" hidden="1"/>
    <cellStyle name="제목 4 4" xfId="49870" hidden="1"/>
    <cellStyle name="제목 4 4" xfId="49910" hidden="1"/>
    <cellStyle name="제목 4 4" xfId="49950" hidden="1"/>
    <cellStyle name="제목 4 4" xfId="49990" hidden="1"/>
    <cellStyle name="제목 4 4" xfId="50030" hidden="1"/>
    <cellStyle name="제목 4 4" xfId="50070" hidden="1"/>
    <cellStyle name="제목 4 4" xfId="50110" hidden="1"/>
    <cellStyle name="제목 4 4" xfId="50150" hidden="1"/>
    <cellStyle name="제목 4 4" xfId="50190" hidden="1"/>
    <cellStyle name="제목 4 4" xfId="50230" hidden="1"/>
    <cellStyle name="제목 4 4" xfId="50270" hidden="1"/>
    <cellStyle name="제목 4 4" xfId="50354" hidden="1"/>
    <cellStyle name="제목 4 4" xfId="50394" hidden="1"/>
    <cellStyle name="제목 4 4" xfId="50436" hidden="1"/>
    <cellStyle name="제목 4 4" xfId="50478" hidden="1"/>
    <cellStyle name="제목 4 4" xfId="50520" hidden="1"/>
    <cellStyle name="제목 4 4" xfId="50562" hidden="1"/>
    <cellStyle name="제목 4 4" xfId="50604" hidden="1"/>
    <cellStyle name="제목 4 4" xfId="50646" hidden="1"/>
    <cellStyle name="제목 4 4" xfId="50688" hidden="1"/>
    <cellStyle name="제목 4 4" xfId="50730" hidden="1"/>
    <cellStyle name="제목 4 4" xfId="50772" hidden="1"/>
    <cellStyle name="제목 4 4" xfId="50814" hidden="1"/>
    <cellStyle name="제목 4 4" xfId="50310" hidden="1"/>
    <cellStyle name="제목 4 4" xfId="50994" hidden="1"/>
    <cellStyle name="제목 4 4" xfId="51034" hidden="1"/>
    <cellStyle name="제목 4 4" xfId="51074" hidden="1"/>
    <cellStyle name="제목 4 4" xfId="51114" hidden="1"/>
    <cellStyle name="제목 4 4" xfId="51154" hidden="1"/>
    <cellStyle name="제목 4 4" xfId="51194" hidden="1"/>
    <cellStyle name="제목 4 4" xfId="51234" hidden="1"/>
    <cellStyle name="제목 4 4" xfId="51274" hidden="1"/>
    <cellStyle name="제목 4 4" xfId="51314" hidden="1"/>
    <cellStyle name="제목 4 4" xfId="51354" hidden="1"/>
    <cellStyle name="제목 4 4" xfId="51394" hidden="1"/>
    <cellStyle name="제목 4 4" xfId="51434" hidden="1"/>
    <cellStyle name="제목 4 4" xfId="50928" hidden="1"/>
    <cellStyle name="제목 4 4" xfId="50889" hidden="1"/>
    <cellStyle name="제목 4 4" xfId="51475" hidden="1"/>
    <cellStyle name="제목 4 4" xfId="51517" hidden="1"/>
    <cellStyle name="제목 4 4" xfId="51559" hidden="1"/>
    <cellStyle name="제목 4 4" xfId="51601" hidden="1"/>
    <cellStyle name="제목 4 4" xfId="51643" hidden="1"/>
    <cellStyle name="제목 4 4" xfId="51685" hidden="1"/>
    <cellStyle name="제목 4 4" xfId="51727" hidden="1"/>
    <cellStyle name="제목 4 4" xfId="51769" hidden="1"/>
    <cellStyle name="제목 4 4" xfId="51811" hidden="1"/>
    <cellStyle name="제목 4 4" xfId="51853" hidden="1"/>
    <cellStyle name="제목 4 4" xfId="50982" hidden="1"/>
    <cellStyle name="제목 4 4" xfId="50988" hidden="1"/>
    <cellStyle name="제목 4 4" xfId="51922" hidden="1"/>
    <cellStyle name="제목 4 4" xfId="51962" hidden="1"/>
    <cellStyle name="제목 4 4" xfId="52002" hidden="1"/>
    <cellStyle name="제목 4 4" xfId="52042" hidden="1"/>
    <cellStyle name="제목 4 4" xfId="52082" hidden="1"/>
    <cellStyle name="제목 4 4" xfId="52122" hidden="1"/>
    <cellStyle name="제목 4 4" xfId="52162" hidden="1"/>
    <cellStyle name="제목 4 4" xfId="52202" hidden="1"/>
    <cellStyle name="제목 4 4" xfId="52242" hidden="1"/>
    <cellStyle name="제목 4 4" xfId="52282" hidden="1"/>
    <cellStyle name="제목 4 4" xfId="52322" hidden="1"/>
    <cellStyle name="제목 4 4 2" xfId="8060"/>
    <cellStyle name="제목 4 4 3" xfId="8061"/>
    <cellStyle name="제목 4 4 4" xfId="8062"/>
    <cellStyle name="제목 4 4 5" xfId="8063"/>
    <cellStyle name="제목 4 40" xfId="8064"/>
    <cellStyle name="제목 4 41" xfId="8065"/>
    <cellStyle name="제목 4 42" xfId="8066"/>
    <cellStyle name="제목 4 43" xfId="8067"/>
    <cellStyle name="제목 4 44" xfId="8068"/>
    <cellStyle name="제목 4 45" xfId="8069"/>
    <cellStyle name="제목 4 46" xfId="8070"/>
    <cellStyle name="제목 4 47" xfId="8071"/>
    <cellStyle name="제목 4 48" xfId="8072"/>
    <cellStyle name="제목 4 49" xfId="8073"/>
    <cellStyle name="제목 4 5" xfId="8074"/>
    <cellStyle name="제목 4 50" xfId="8075"/>
    <cellStyle name="제목 4 51" xfId="8076"/>
    <cellStyle name="제목 4 52" xfId="8077"/>
    <cellStyle name="제목 4 6" xfId="8078"/>
    <cellStyle name="제목 4 7" xfId="8079"/>
    <cellStyle name="제목 4 8" xfId="8080"/>
    <cellStyle name="제목 4 9" xfId="8081"/>
    <cellStyle name="제목 40" xfId="8082"/>
    <cellStyle name="제목 41" xfId="8083"/>
    <cellStyle name="제목 42" xfId="8084"/>
    <cellStyle name="제목 43" xfId="8085"/>
    <cellStyle name="제목 44" xfId="8086"/>
    <cellStyle name="제목 45" xfId="8087"/>
    <cellStyle name="제목 46" xfId="8088"/>
    <cellStyle name="제목 47" xfId="8089"/>
    <cellStyle name="제목 48" xfId="8090"/>
    <cellStyle name="제목 49" xfId="8091"/>
    <cellStyle name="제목 5" xfId="396"/>
    <cellStyle name="제목 5 10" xfId="8092"/>
    <cellStyle name="제목 5 100" xfId="8093"/>
    <cellStyle name="제목 5 101" xfId="8094"/>
    <cellStyle name="제목 5 102" xfId="8095"/>
    <cellStyle name="제목 5 103" xfId="8096"/>
    <cellStyle name="제목 5 104" xfId="8097"/>
    <cellStyle name="제목 5 105" xfId="8098"/>
    <cellStyle name="제목 5 106" xfId="8099"/>
    <cellStyle name="제목 5 107" xfId="8100"/>
    <cellStyle name="제목 5 108" xfId="8101"/>
    <cellStyle name="제목 5 109" xfId="8102"/>
    <cellStyle name="제목 5 11" xfId="8103"/>
    <cellStyle name="제목 5 110" xfId="8104"/>
    <cellStyle name="제목 5 111" xfId="8105"/>
    <cellStyle name="제목 5 112" xfId="8106"/>
    <cellStyle name="제목 5 12" xfId="8107"/>
    <cellStyle name="제목 5 13" xfId="8108"/>
    <cellStyle name="제목 5 14" xfId="8109"/>
    <cellStyle name="제목 5 15" xfId="8110"/>
    <cellStyle name="제목 5 16" xfId="8111"/>
    <cellStyle name="제목 5 17" xfId="8112"/>
    <cellStyle name="제목 5 18" xfId="8113"/>
    <cellStyle name="제목 5 19" xfId="8114"/>
    <cellStyle name="제목 5 2" xfId="8115"/>
    <cellStyle name="제목 5 2 2" xfId="8116"/>
    <cellStyle name="제목 5 2 3" xfId="8117"/>
    <cellStyle name="제목 5 2 4" xfId="8118"/>
    <cellStyle name="제목 5 2 5" xfId="8119"/>
    <cellStyle name="제목 5 20" xfId="8120"/>
    <cellStyle name="제목 5 21" xfId="8121"/>
    <cellStyle name="제목 5 22" xfId="8122"/>
    <cellStyle name="제목 5 23" xfId="8123"/>
    <cellStyle name="제목 5 24" xfId="8124"/>
    <cellStyle name="제목 5 25" xfId="8125"/>
    <cellStyle name="제목 5 26" xfId="8126"/>
    <cellStyle name="제목 5 27" xfId="8127"/>
    <cellStyle name="제목 5 28" xfId="8128"/>
    <cellStyle name="제목 5 29" xfId="8129"/>
    <cellStyle name="제목 5 3" xfId="8130"/>
    <cellStyle name="제목 5 30" xfId="8131"/>
    <cellStyle name="제목 5 31" xfId="8132"/>
    <cellStyle name="제목 5 32" xfId="8133"/>
    <cellStyle name="제목 5 33" xfId="8134"/>
    <cellStyle name="제목 5 34" xfId="8135"/>
    <cellStyle name="제목 5 35" xfId="8136"/>
    <cellStyle name="제목 5 36" xfId="8137"/>
    <cellStyle name="제목 5 37" xfId="8138"/>
    <cellStyle name="제목 5 38" xfId="8139"/>
    <cellStyle name="제목 5 39" xfId="8140"/>
    <cellStyle name="제목 5 4" xfId="8141"/>
    <cellStyle name="제목 5 40" xfId="8142"/>
    <cellStyle name="제목 5 41" xfId="8143"/>
    <cellStyle name="제목 5 42" xfId="8144"/>
    <cellStyle name="제목 5 43" xfId="8145"/>
    <cellStyle name="제목 5 44" xfId="8146"/>
    <cellStyle name="제목 5 45" xfId="8147"/>
    <cellStyle name="제목 5 46" xfId="8148"/>
    <cellStyle name="제목 5 47" xfId="8149"/>
    <cellStyle name="제목 5 48" xfId="8150"/>
    <cellStyle name="제목 5 49" xfId="8151"/>
    <cellStyle name="제목 5 5" xfId="8152"/>
    <cellStyle name="제목 5 50" xfId="8153"/>
    <cellStyle name="제목 5 51" xfId="8154"/>
    <cellStyle name="제목 5 52" xfId="8155"/>
    <cellStyle name="제목 5 53" xfId="8156"/>
    <cellStyle name="제목 5 54" xfId="8157"/>
    <cellStyle name="제목 5 55" xfId="8158"/>
    <cellStyle name="제목 5 56" xfId="8159"/>
    <cellStyle name="제목 5 57" xfId="8160"/>
    <cellStyle name="제목 5 58" xfId="8161"/>
    <cellStyle name="제목 5 59" xfId="8162"/>
    <cellStyle name="제목 5 6" xfId="8163"/>
    <cellStyle name="제목 5 60" xfId="8164"/>
    <cellStyle name="제목 5 61" xfId="8165"/>
    <cellStyle name="제목 5 62" xfId="8166"/>
    <cellStyle name="제목 5 63" xfId="8167"/>
    <cellStyle name="제목 5 64" xfId="8168"/>
    <cellStyle name="제목 5 65" xfId="8169"/>
    <cellStyle name="제목 5 66" xfId="8170"/>
    <cellStyle name="제목 5 67" xfId="8171"/>
    <cellStyle name="제목 5 68" xfId="8172"/>
    <cellStyle name="제목 5 69" xfId="8173"/>
    <cellStyle name="제목 5 7" xfId="8174"/>
    <cellStyle name="제목 5 70" xfId="8175"/>
    <cellStyle name="제목 5 71" xfId="8176"/>
    <cellStyle name="제목 5 72" xfId="8177"/>
    <cellStyle name="제목 5 73" xfId="8178"/>
    <cellStyle name="제목 5 74" xfId="8179"/>
    <cellStyle name="제목 5 75" xfId="8180"/>
    <cellStyle name="제목 5 76" xfId="8181"/>
    <cellStyle name="제목 5 77" xfId="8182"/>
    <cellStyle name="제목 5 78" xfId="8183"/>
    <cellStyle name="제목 5 79" xfId="8184"/>
    <cellStyle name="제목 5 8" xfId="8185"/>
    <cellStyle name="제목 5 80" xfId="8186"/>
    <cellStyle name="제목 5 81" xfId="8187"/>
    <cellStyle name="제목 5 82" xfId="8188"/>
    <cellStyle name="제목 5 83" xfId="8189"/>
    <cellStyle name="제목 5 84" xfId="8190"/>
    <cellStyle name="제목 5 85" xfId="8191"/>
    <cellStyle name="제목 5 86" xfId="8192"/>
    <cellStyle name="제목 5 87" xfId="8193"/>
    <cellStyle name="제목 5 88" xfId="8194"/>
    <cellStyle name="제목 5 89" xfId="8195"/>
    <cellStyle name="제목 5 9" xfId="8196"/>
    <cellStyle name="제목 5 90" xfId="8197"/>
    <cellStyle name="제목 5 91" xfId="8198"/>
    <cellStyle name="제목 5 92" xfId="8199"/>
    <cellStyle name="제목 5 93" xfId="8200"/>
    <cellStyle name="제목 5 94" xfId="8201"/>
    <cellStyle name="제목 5 95" xfId="8202"/>
    <cellStyle name="제목 5 96" xfId="8203"/>
    <cellStyle name="제목 5 97" xfId="8204"/>
    <cellStyle name="제목 5 98" xfId="8205"/>
    <cellStyle name="제목 5 99" xfId="8206"/>
    <cellStyle name="제목 50" xfId="8207"/>
    <cellStyle name="제목 51" xfId="8208"/>
    <cellStyle name="제목 52" xfId="8209"/>
    <cellStyle name="제목 53" xfId="8210"/>
    <cellStyle name="제목 54" xfId="8211"/>
    <cellStyle name="제목 55" xfId="8212"/>
    <cellStyle name="제목 56" xfId="12301"/>
    <cellStyle name="제목 6" xfId="11706" hidden="1"/>
    <cellStyle name="제목 6" xfId="11752" hidden="1"/>
    <cellStyle name="제목 6" xfId="11798" hidden="1"/>
    <cellStyle name="제목 6" xfId="11844" hidden="1"/>
    <cellStyle name="제목 6" xfId="11890" hidden="1"/>
    <cellStyle name="제목 6" xfId="11936" hidden="1"/>
    <cellStyle name="제목 6" xfId="11982" hidden="1"/>
    <cellStyle name="제목 6" xfId="12028" hidden="1"/>
    <cellStyle name="제목 6" xfId="12074" hidden="1"/>
    <cellStyle name="제목 6" xfId="12120" hidden="1"/>
    <cellStyle name="제목 6" xfId="12166" hidden="1"/>
    <cellStyle name="제목 6" xfId="12212" hidden="1"/>
    <cellStyle name="제목 6" xfId="12304" hidden="1"/>
    <cellStyle name="제목 6" xfId="12344" hidden="1"/>
    <cellStyle name="제목 6" xfId="12386" hidden="1"/>
    <cellStyle name="제목 6" xfId="12428" hidden="1"/>
    <cellStyle name="제목 6" xfId="12470" hidden="1"/>
    <cellStyle name="제목 6" xfId="12512" hidden="1"/>
    <cellStyle name="제목 6" xfId="12554" hidden="1"/>
    <cellStyle name="제목 6" xfId="12596" hidden="1"/>
    <cellStyle name="제목 6" xfId="12638" hidden="1"/>
    <cellStyle name="제목 6" xfId="12680" hidden="1"/>
    <cellStyle name="제목 6" xfId="12722" hidden="1"/>
    <cellStyle name="제목 6" xfId="12764" hidden="1"/>
    <cellStyle name="제목 6" xfId="12256" hidden="1"/>
    <cellStyle name="제목 6" xfId="12947" hidden="1"/>
    <cellStyle name="제목 6" xfId="12987" hidden="1"/>
    <cellStyle name="제목 6" xfId="13027" hidden="1"/>
    <cellStyle name="제목 6" xfId="13067" hidden="1"/>
    <cellStyle name="제목 6" xfId="13107" hidden="1"/>
    <cellStyle name="제목 6" xfId="13147" hidden="1"/>
    <cellStyle name="제목 6" xfId="13187" hidden="1"/>
    <cellStyle name="제목 6" xfId="13227" hidden="1"/>
    <cellStyle name="제목 6" xfId="13267" hidden="1"/>
    <cellStyle name="제목 6" xfId="13307" hidden="1"/>
    <cellStyle name="제목 6" xfId="13347" hidden="1"/>
    <cellStyle name="제목 6" xfId="13387" hidden="1"/>
    <cellStyle name="제목 6" xfId="12887" hidden="1"/>
    <cellStyle name="제목 6" xfId="12848" hidden="1"/>
    <cellStyle name="제목 6" xfId="13428" hidden="1"/>
    <cellStyle name="제목 6" xfId="13470" hidden="1"/>
    <cellStyle name="제목 6" xfId="13512" hidden="1"/>
    <cellStyle name="제목 6" xfId="13554" hidden="1"/>
    <cellStyle name="제목 6" xfId="13596" hidden="1"/>
    <cellStyle name="제목 6" xfId="13638" hidden="1"/>
    <cellStyle name="제목 6" xfId="13680" hidden="1"/>
    <cellStyle name="제목 6" xfId="13722" hidden="1"/>
    <cellStyle name="제목 6" xfId="13764" hidden="1"/>
    <cellStyle name="제목 6" xfId="13806" hidden="1"/>
    <cellStyle name="제목 6" xfId="12942" hidden="1"/>
    <cellStyle name="제목 6" xfId="12890" hidden="1"/>
    <cellStyle name="제목 6" xfId="13875" hidden="1"/>
    <cellStyle name="제목 6" xfId="13915" hidden="1"/>
    <cellStyle name="제목 6" xfId="13955" hidden="1"/>
    <cellStyle name="제목 6" xfId="13995" hidden="1"/>
    <cellStyle name="제목 6" xfId="14035" hidden="1"/>
    <cellStyle name="제목 6" xfId="14075" hidden="1"/>
    <cellStyle name="제목 6" xfId="14115" hidden="1"/>
    <cellStyle name="제목 6" xfId="14155" hidden="1"/>
    <cellStyle name="제목 6" xfId="14195" hidden="1"/>
    <cellStyle name="제목 6" xfId="14235" hidden="1"/>
    <cellStyle name="제목 6" xfId="14275" hidden="1"/>
    <cellStyle name="제목 6" xfId="14381" hidden="1"/>
    <cellStyle name="제목 6" xfId="14421" hidden="1"/>
    <cellStyle name="제목 6" xfId="14461" hidden="1"/>
    <cellStyle name="제목 6" xfId="14501" hidden="1"/>
    <cellStyle name="제목 6" xfId="14541" hidden="1"/>
    <cellStyle name="제목 6" xfId="14581" hidden="1"/>
    <cellStyle name="제목 6" xfId="14621" hidden="1"/>
    <cellStyle name="제목 6" xfId="14661" hidden="1"/>
    <cellStyle name="제목 6" xfId="14701" hidden="1"/>
    <cellStyle name="제목 6" xfId="14741" hidden="1"/>
    <cellStyle name="제목 6" xfId="14781" hidden="1"/>
    <cellStyle name="제목 6" xfId="14821" hidden="1"/>
    <cellStyle name="제목 6" xfId="14905" hidden="1"/>
    <cellStyle name="제목 6" xfId="14945" hidden="1"/>
    <cellStyle name="제목 6" xfId="14987" hidden="1"/>
    <cellStyle name="제목 6" xfId="15029" hidden="1"/>
    <cellStyle name="제목 6" xfId="15071" hidden="1"/>
    <cellStyle name="제목 6" xfId="15113" hidden="1"/>
    <cellStyle name="제목 6" xfId="15155" hidden="1"/>
    <cellStyle name="제목 6" xfId="15197" hidden="1"/>
    <cellStyle name="제목 6" xfId="15239" hidden="1"/>
    <cellStyle name="제목 6" xfId="15281" hidden="1"/>
    <cellStyle name="제목 6" xfId="15323" hidden="1"/>
    <cellStyle name="제목 6" xfId="15365" hidden="1"/>
    <cellStyle name="제목 6" xfId="14861" hidden="1"/>
    <cellStyle name="제목 6" xfId="15545" hidden="1"/>
    <cellStyle name="제목 6" xfId="15585" hidden="1"/>
    <cellStyle name="제목 6" xfId="15625" hidden="1"/>
    <cellStyle name="제목 6" xfId="15665" hidden="1"/>
    <cellStyle name="제목 6" xfId="15705" hidden="1"/>
    <cellStyle name="제목 6" xfId="15745" hidden="1"/>
    <cellStyle name="제목 6" xfId="15785" hidden="1"/>
    <cellStyle name="제목 6" xfId="15825" hidden="1"/>
    <cellStyle name="제목 6" xfId="15865" hidden="1"/>
    <cellStyle name="제목 6" xfId="15905" hidden="1"/>
    <cellStyle name="제목 6" xfId="15945" hidden="1"/>
    <cellStyle name="제목 6" xfId="15985" hidden="1"/>
    <cellStyle name="제목 6" xfId="15487" hidden="1"/>
    <cellStyle name="제목 6" xfId="15448" hidden="1"/>
    <cellStyle name="제목 6" xfId="16026" hidden="1"/>
    <cellStyle name="제목 6" xfId="16068" hidden="1"/>
    <cellStyle name="제목 6" xfId="16110" hidden="1"/>
    <cellStyle name="제목 6" xfId="16152" hidden="1"/>
    <cellStyle name="제목 6" xfId="16194" hidden="1"/>
    <cellStyle name="제목 6" xfId="16236" hidden="1"/>
    <cellStyle name="제목 6" xfId="16278" hidden="1"/>
    <cellStyle name="제목 6" xfId="16320" hidden="1"/>
    <cellStyle name="제목 6" xfId="16362" hidden="1"/>
    <cellStyle name="제목 6" xfId="16404" hidden="1"/>
    <cellStyle name="제목 6" xfId="15541" hidden="1"/>
    <cellStyle name="제목 6" xfId="15489" hidden="1"/>
    <cellStyle name="제목 6" xfId="16473" hidden="1"/>
    <cellStyle name="제목 6" xfId="16513" hidden="1"/>
    <cellStyle name="제목 6" xfId="16553" hidden="1"/>
    <cellStyle name="제목 6" xfId="16593" hidden="1"/>
    <cellStyle name="제목 6" xfId="16633" hidden="1"/>
    <cellStyle name="제목 6" xfId="16673" hidden="1"/>
    <cellStyle name="제목 6" xfId="16713" hidden="1"/>
    <cellStyle name="제목 6" xfId="16753" hidden="1"/>
    <cellStyle name="제목 6" xfId="16793" hidden="1"/>
    <cellStyle name="제목 6" xfId="16833" hidden="1"/>
    <cellStyle name="제목 6" xfId="16873" hidden="1"/>
    <cellStyle name="제목 6" xfId="14343" hidden="1"/>
    <cellStyle name="제목 6" xfId="16924" hidden="1"/>
    <cellStyle name="제목 6" xfId="16965" hidden="1"/>
    <cellStyle name="제목 6" xfId="17005" hidden="1"/>
    <cellStyle name="제목 6" xfId="17045" hidden="1"/>
    <cellStyle name="제목 6" xfId="17085" hidden="1"/>
    <cellStyle name="제목 6" xfId="17125" hidden="1"/>
    <cellStyle name="제목 6" xfId="17165" hidden="1"/>
    <cellStyle name="제목 6" xfId="17205" hidden="1"/>
    <cellStyle name="제목 6" xfId="17245" hidden="1"/>
    <cellStyle name="제목 6" xfId="17285" hidden="1"/>
    <cellStyle name="제목 6" xfId="17325" hidden="1"/>
    <cellStyle name="제목 6" xfId="17409" hidden="1"/>
    <cellStyle name="제목 6" xfId="17449" hidden="1"/>
    <cellStyle name="제목 6" xfId="17491" hidden="1"/>
    <cellStyle name="제목 6" xfId="17533" hidden="1"/>
    <cellStyle name="제목 6" xfId="17575" hidden="1"/>
    <cellStyle name="제목 6" xfId="17617" hidden="1"/>
    <cellStyle name="제목 6" xfId="17659" hidden="1"/>
    <cellStyle name="제목 6" xfId="17701" hidden="1"/>
    <cellStyle name="제목 6" xfId="17743" hidden="1"/>
    <cellStyle name="제목 6" xfId="17785" hidden="1"/>
    <cellStyle name="제목 6" xfId="17827" hidden="1"/>
    <cellStyle name="제목 6" xfId="17869" hidden="1"/>
    <cellStyle name="제목 6" xfId="17365" hidden="1"/>
    <cellStyle name="제목 6" xfId="18049" hidden="1"/>
    <cellStyle name="제목 6" xfId="18089" hidden="1"/>
    <cellStyle name="제목 6" xfId="18129" hidden="1"/>
    <cellStyle name="제목 6" xfId="18169" hidden="1"/>
    <cellStyle name="제목 6" xfId="18209" hidden="1"/>
    <cellStyle name="제목 6" xfId="18249" hidden="1"/>
    <cellStyle name="제목 6" xfId="18289" hidden="1"/>
    <cellStyle name="제목 6" xfId="18329" hidden="1"/>
    <cellStyle name="제목 6" xfId="18369" hidden="1"/>
    <cellStyle name="제목 6" xfId="18409" hidden="1"/>
    <cellStyle name="제목 6" xfId="18449" hidden="1"/>
    <cellStyle name="제목 6" xfId="18489" hidden="1"/>
    <cellStyle name="제목 6" xfId="17991" hidden="1"/>
    <cellStyle name="제목 6" xfId="17952" hidden="1"/>
    <cellStyle name="제목 6" xfId="18530" hidden="1"/>
    <cellStyle name="제목 6" xfId="18572" hidden="1"/>
    <cellStyle name="제목 6" xfId="18614" hidden="1"/>
    <cellStyle name="제목 6" xfId="18656" hidden="1"/>
    <cellStyle name="제목 6" xfId="18698" hidden="1"/>
    <cellStyle name="제목 6" xfId="18740" hidden="1"/>
    <cellStyle name="제목 6" xfId="18782" hidden="1"/>
    <cellStyle name="제목 6" xfId="18824" hidden="1"/>
    <cellStyle name="제목 6" xfId="18866" hidden="1"/>
    <cellStyle name="제목 6" xfId="18908" hidden="1"/>
    <cellStyle name="제목 6" xfId="18045" hidden="1"/>
    <cellStyle name="제목 6" xfId="17993" hidden="1"/>
    <cellStyle name="제목 6" xfId="18977" hidden="1"/>
    <cellStyle name="제목 6" xfId="19017" hidden="1"/>
    <cellStyle name="제목 6" xfId="19057" hidden="1"/>
    <cellStyle name="제목 6" xfId="19097" hidden="1"/>
    <cellStyle name="제목 6" xfId="19137" hidden="1"/>
    <cellStyle name="제목 6" xfId="19177" hidden="1"/>
    <cellStyle name="제목 6" xfId="19217" hidden="1"/>
    <cellStyle name="제목 6" xfId="19257" hidden="1"/>
    <cellStyle name="제목 6" xfId="19297" hidden="1"/>
    <cellStyle name="제목 6" xfId="19337" hidden="1"/>
    <cellStyle name="제목 6" xfId="19377" hidden="1"/>
    <cellStyle name="제목 6" xfId="14349" hidden="1"/>
    <cellStyle name="제목 6" xfId="19427" hidden="1"/>
    <cellStyle name="제목 6" xfId="19467" hidden="1"/>
    <cellStyle name="제목 6" xfId="19507" hidden="1"/>
    <cellStyle name="제목 6" xfId="19547" hidden="1"/>
    <cellStyle name="제목 6" xfId="19587" hidden="1"/>
    <cellStyle name="제목 6" xfId="19627" hidden="1"/>
    <cellStyle name="제목 6" xfId="19667" hidden="1"/>
    <cellStyle name="제목 6" xfId="19707" hidden="1"/>
    <cellStyle name="제목 6" xfId="19747" hidden="1"/>
    <cellStyle name="제목 6" xfId="19787" hidden="1"/>
    <cellStyle name="제목 6" xfId="19827" hidden="1"/>
    <cellStyle name="제목 6" xfId="19911" hidden="1"/>
    <cellStyle name="제목 6" xfId="19951" hidden="1"/>
    <cellStyle name="제목 6" xfId="19993" hidden="1"/>
    <cellStyle name="제목 6" xfId="20035" hidden="1"/>
    <cellStyle name="제목 6" xfId="20077" hidden="1"/>
    <cellStyle name="제목 6" xfId="20119" hidden="1"/>
    <cellStyle name="제목 6" xfId="20161" hidden="1"/>
    <cellStyle name="제목 6" xfId="20203" hidden="1"/>
    <cellStyle name="제목 6" xfId="20245" hidden="1"/>
    <cellStyle name="제목 6" xfId="20287" hidden="1"/>
    <cellStyle name="제목 6" xfId="20329" hidden="1"/>
    <cellStyle name="제목 6" xfId="20371" hidden="1"/>
    <cellStyle name="제목 6" xfId="19867" hidden="1"/>
    <cellStyle name="제목 6" xfId="20551" hidden="1"/>
    <cellStyle name="제목 6" xfId="20591" hidden="1"/>
    <cellStyle name="제목 6" xfId="20631" hidden="1"/>
    <cellStyle name="제목 6" xfId="20671" hidden="1"/>
    <cellStyle name="제목 6" xfId="20711" hidden="1"/>
    <cellStyle name="제목 6" xfId="20751" hidden="1"/>
    <cellStyle name="제목 6" xfId="20791" hidden="1"/>
    <cellStyle name="제목 6" xfId="20831" hidden="1"/>
    <cellStyle name="제목 6" xfId="20871" hidden="1"/>
    <cellStyle name="제목 6" xfId="20911" hidden="1"/>
    <cellStyle name="제목 6" xfId="20951" hidden="1"/>
    <cellStyle name="제목 6" xfId="20991" hidden="1"/>
    <cellStyle name="제목 6" xfId="20493" hidden="1"/>
    <cellStyle name="제목 6" xfId="20454" hidden="1"/>
    <cellStyle name="제목 6" xfId="21032" hidden="1"/>
    <cellStyle name="제목 6" xfId="21074" hidden="1"/>
    <cellStyle name="제목 6" xfId="21116" hidden="1"/>
    <cellStyle name="제목 6" xfId="21158" hidden="1"/>
    <cellStyle name="제목 6" xfId="21200" hidden="1"/>
    <cellStyle name="제목 6" xfId="21242" hidden="1"/>
    <cellStyle name="제목 6" xfId="21284" hidden="1"/>
    <cellStyle name="제목 6" xfId="21326" hidden="1"/>
    <cellStyle name="제목 6" xfId="21368" hidden="1"/>
    <cellStyle name="제목 6" xfId="21410" hidden="1"/>
    <cellStyle name="제목 6" xfId="20547" hidden="1"/>
    <cellStyle name="제목 6" xfId="20495" hidden="1"/>
    <cellStyle name="제목 6" xfId="21479" hidden="1"/>
    <cellStyle name="제목 6" xfId="21519" hidden="1"/>
    <cellStyle name="제목 6" xfId="21559" hidden="1"/>
    <cellStyle name="제목 6" xfId="21599" hidden="1"/>
    <cellStyle name="제목 6" xfId="21639" hidden="1"/>
    <cellStyle name="제목 6" xfId="21679" hidden="1"/>
    <cellStyle name="제목 6" xfId="21719" hidden="1"/>
    <cellStyle name="제목 6" xfId="21759" hidden="1"/>
    <cellStyle name="제목 6" xfId="21799" hidden="1"/>
    <cellStyle name="제목 6" xfId="21839" hidden="1"/>
    <cellStyle name="제목 6" xfId="21879" hidden="1"/>
    <cellStyle name="제목 6" xfId="21947" hidden="1"/>
    <cellStyle name="제목 6" xfId="21987" hidden="1"/>
    <cellStyle name="제목 6" xfId="22027" hidden="1"/>
    <cellStyle name="제목 6" xfId="22067" hidden="1"/>
    <cellStyle name="제목 6" xfId="22107" hidden="1"/>
    <cellStyle name="제목 6" xfId="22147" hidden="1"/>
    <cellStyle name="제목 6" xfId="22187" hidden="1"/>
    <cellStyle name="제목 6" xfId="22227" hidden="1"/>
    <cellStyle name="제목 6" xfId="22267" hidden="1"/>
    <cellStyle name="제목 6" xfId="22307" hidden="1"/>
    <cellStyle name="제목 6" xfId="22347" hidden="1"/>
    <cellStyle name="제목 6" xfId="22387" hidden="1"/>
    <cellStyle name="제목 6" xfId="22471" hidden="1"/>
    <cellStyle name="제목 6" xfId="22511" hidden="1"/>
    <cellStyle name="제목 6" xfId="22553" hidden="1"/>
    <cellStyle name="제목 6" xfId="22595" hidden="1"/>
    <cellStyle name="제목 6" xfId="22637" hidden="1"/>
    <cellStyle name="제목 6" xfId="22679" hidden="1"/>
    <cellStyle name="제목 6" xfId="22721" hidden="1"/>
    <cellStyle name="제목 6" xfId="22763" hidden="1"/>
    <cellStyle name="제목 6" xfId="22805" hidden="1"/>
    <cellStyle name="제목 6" xfId="22847" hidden="1"/>
    <cellStyle name="제목 6" xfId="22889" hidden="1"/>
    <cellStyle name="제목 6" xfId="22931" hidden="1"/>
    <cellStyle name="제목 6" xfId="22427" hidden="1"/>
    <cellStyle name="제목 6" xfId="23111" hidden="1"/>
    <cellStyle name="제목 6" xfId="23151" hidden="1"/>
    <cellStyle name="제목 6" xfId="23191" hidden="1"/>
    <cellStyle name="제목 6" xfId="23231" hidden="1"/>
    <cellStyle name="제목 6" xfId="23271" hidden="1"/>
    <cellStyle name="제목 6" xfId="23311" hidden="1"/>
    <cellStyle name="제목 6" xfId="23351" hidden="1"/>
    <cellStyle name="제목 6" xfId="23391" hidden="1"/>
    <cellStyle name="제목 6" xfId="23431" hidden="1"/>
    <cellStyle name="제목 6" xfId="23471" hidden="1"/>
    <cellStyle name="제목 6" xfId="23511" hidden="1"/>
    <cellStyle name="제목 6" xfId="23551" hidden="1"/>
    <cellStyle name="제목 6" xfId="23053" hidden="1"/>
    <cellStyle name="제목 6" xfId="23014" hidden="1"/>
    <cellStyle name="제목 6" xfId="23592" hidden="1"/>
    <cellStyle name="제목 6" xfId="23634" hidden="1"/>
    <cellStyle name="제목 6" xfId="23676" hidden="1"/>
    <cellStyle name="제목 6" xfId="23718" hidden="1"/>
    <cellStyle name="제목 6" xfId="23760" hidden="1"/>
    <cellStyle name="제목 6" xfId="23802" hidden="1"/>
    <cellStyle name="제목 6" xfId="23844" hidden="1"/>
    <cellStyle name="제목 6" xfId="23886" hidden="1"/>
    <cellStyle name="제목 6" xfId="23928" hidden="1"/>
    <cellStyle name="제목 6" xfId="23970" hidden="1"/>
    <cellStyle name="제목 6" xfId="23107" hidden="1"/>
    <cellStyle name="제목 6" xfId="23055" hidden="1"/>
    <cellStyle name="제목 6" xfId="24039" hidden="1"/>
    <cellStyle name="제목 6" xfId="24079" hidden="1"/>
    <cellStyle name="제목 6" xfId="24119" hidden="1"/>
    <cellStyle name="제목 6" xfId="24159" hidden="1"/>
    <cellStyle name="제목 6" xfId="24199" hidden="1"/>
    <cellStyle name="제목 6" xfId="24239" hidden="1"/>
    <cellStyle name="제목 6" xfId="24279" hidden="1"/>
    <cellStyle name="제목 6" xfId="24319" hidden="1"/>
    <cellStyle name="제목 6" xfId="24359" hidden="1"/>
    <cellStyle name="제목 6" xfId="24399" hidden="1"/>
    <cellStyle name="제목 6" xfId="24439" hidden="1"/>
    <cellStyle name="제목 6" xfId="24537" hidden="1"/>
    <cellStyle name="제목 6" xfId="24577" hidden="1"/>
    <cellStyle name="제목 6" xfId="24618" hidden="1"/>
    <cellStyle name="제목 6" xfId="24660" hidden="1"/>
    <cellStyle name="제목 6" xfId="24700" hidden="1"/>
    <cellStyle name="제목 6" xfId="24740" hidden="1"/>
    <cellStyle name="제목 6" xfId="24780" hidden="1"/>
    <cellStyle name="제목 6" xfId="24820" hidden="1"/>
    <cellStyle name="제목 6" xfId="24860" hidden="1"/>
    <cellStyle name="제목 6" xfId="24900" hidden="1"/>
    <cellStyle name="제목 6" xfId="24940" hidden="1"/>
    <cellStyle name="제목 6" xfId="24980" hidden="1"/>
    <cellStyle name="제목 6" xfId="25064" hidden="1"/>
    <cellStyle name="제목 6" xfId="25104" hidden="1"/>
    <cellStyle name="제목 6" xfId="25146" hidden="1"/>
    <cellStyle name="제목 6" xfId="25188" hidden="1"/>
    <cellStyle name="제목 6" xfId="25230" hidden="1"/>
    <cellStyle name="제목 6" xfId="25272" hidden="1"/>
    <cellStyle name="제목 6" xfId="25314" hidden="1"/>
    <cellStyle name="제목 6" xfId="25356" hidden="1"/>
    <cellStyle name="제목 6" xfId="25398" hidden="1"/>
    <cellStyle name="제목 6" xfId="25440" hidden="1"/>
    <cellStyle name="제목 6" xfId="25482" hidden="1"/>
    <cellStyle name="제목 6" xfId="25524" hidden="1"/>
    <cellStyle name="제목 6" xfId="25020" hidden="1"/>
    <cellStyle name="제목 6" xfId="25704" hidden="1"/>
    <cellStyle name="제목 6" xfId="25744" hidden="1"/>
    <cellStyle name="제목 6" xfId="25784" hidden="1"/>
    <cellStyle name="제목 6" xfId="25824" hidden="1"/>
    <cellStyle name="제목 6" xfId="25864" hidden="1"/>
    <cellStyle name="제목 6" xfId="25904" hidden="1"/>
    <cellStyle name="제목 6" xfId="25944" hidden="1"/>
    <cellStyle name="제목 6" xfId="25984" hidden="1"/>
    <cellStyle name="제목 6" xfId="26024" hidden="1"/>
    <cellStyle name="제목 6" xfId="26064" hidden="1"/>
    <cellStyle name="제목 6" xfId="26104" hidden="1"/>
    <cellStyle name="제목 6" xfId="26144" hidden="1"/>
    <cellStyle name="제목 6" xfId="25646" hidden="1"/>
    <cellStyle name="제목 6" xfId="25607" hidden="1"/>
    <cellStyle name="제목 6" xfId="26185" hidden="1"/>
    <cellStyle name="제목 6" xfId="26227" hidden="1"/>
    <cellStyle name="제목 6" xfId="26269" hidden="1"/>
    <cellStyle name="제목 6" xfId="26311" hidden="1"/>
    <cellStyle name="제목 6" xfId="26353" hidden="1"/>
    <cellStyle name="제목 6" xfId="26395" hidden="1"/>
    <cellStyle name="제목 6" xfId="26437" hidden="1"/>
    <cellStyle name="제목 6" xfId="26479" hidden="1"/>
    <cellStyle name="제목 6" xfId="26521" hidden="1"/>
    <cellStyle name="제목 6" xfId="26563" hidden="1"/>
    <cellStyle name="제목 6" xfId="25700" hidden="1"/>
    <cellStyle name="제목 6" xfId="25648" hidden="1"/>
    <cellStyle name="제목 6" xfId="26632" hidden="1"/>
    <cellStyle name="제목 6" xfId="26672" hidden="1"/>
    <cellStyle name="제목 6" xfId="26712" hidden="1"/>
    <cellStyle name="제목 6" xfId="26752" hidden="1"/>
    <cellStyle name="제목 6" xfId="26792" hidden="1"/>
    <cellStyle name="제목 6" xfId="26832" hidden="1"/>
    <cellStyle name="제목 6" xfId="26872" hidden="1"/>
    <cellStyle name="제목 6" xfId="26912" hidden="1"/>
    <cellStyle name="제목 6" xfId="26952" hidden="1"/>
    <cellStyle name="제목 6" xfId="26992" hidden="1"/>
    <cellStyle name="제목 6" xfId="27032" hidden="1"/>
    <cellStyle name="제목 6" xfId="24505" hidden="1"/>
    <cellStyle name="제목 6" xfId="27083" hidden="1"/>
    <cellStyle name="제목 6" xfId="27123" hidden="1"/>
    <cellStyle name="제목 6" xfId="27163" hidden="1"/>
    <cellStyle name="제목 6" xfId="27203" hidden="1"/>
    <cellStyle name="제목 6" xfId="27243" hidden="1"/>
    <cellStyle name="제목 6" xfId="27283" hidden="1"/>
    <cellStyle name="제목 6" xfId="27323" hidden="1"/>
    <cellStyle name="제목 6" xfId="27363" hidden="1"/>
    <cellStyle name="제목 6" xfId="27403" hidden="1"/>
    <cellStyle name="제목 6" xfId="27443" hidden="1"/>
    <cellStyle name="제목 6" xfId="27483" hidden="1"/>
    <cellStyle name="제목 6" xfId="27567" hidden="1"/>
    <cellStyle name="제목 6" xfId="27607" hidden="1"/>
    <cellStyle name="제목 6" xfId="27649" hidden="1"/>
    <cellStyle name="제목 6" xfId="27691" hidden="1"/>
    <cellStyle name="제목 6" xfId="27733" hidden="1"/>
    <cellStyle name="제목 6" xfId="27775" hidden="1"/>
    <cellStyle name="제목 6" xfId="27817" hidden="1"/>
    <cellStyle name="제목 6" xfId="27859" hidden="1"/>
    <cellStyle name="제목 6" xfId="27901" hidden="1"/>
    <cellStyle name="제목 6" xfId="27943" hidden="1"/>
    <cellStyle name="제목 6" xfId="27985" hidden="1"/>
    <cellStyle name="제목 6" xfId="28027" hidden="1"/>
    <cellStyle name="제목 6" xfId="27523" hidden="1"/>
    <cellStyle name="제목 6" xfId="28207" hidden="1"/>
    <cellStyle name="제목 6" xfId="28247" hidden="1"/>
    <cellStyle name="제목 6" xfId="28287" hidden="1"/>
    <cellStyle name="제목 6" xfId="28327" hidden="1"/>
    <cellStyle name="제목 6" xfId="28367" hidden="1"/>
    <cellStyle name="제목 6" xfId="28407" hidden="1"/>
    <cellStyle name="제목 6" xfId="28447" hidden="1"/>
    <cellStyle name="제목 6" xfId="28487" hidden="1"/>
    <cellStyle name="제목 6" xfId="28527" hidden="1"/>
    <cellStyle name="제목 6" xfId="28567" hidden="1"/>
    <cellStyle name="제목 6" xfId="28607" hidden="1"/>
    <cellStyle name="제목 6" xfId="28647" hidden="1"/>
    <cellStyle name="제목 6" xfId="28149" hidden="1"/>
    <cellStyle name="제목 6" xfId="28110" hidden="1"/>
    <cellStyle name="제목 6" xfId="28688" hidden="1"/>
    <cellStyle name="제목 6" xfId="28730" hidden="1"/>
    <cellStyle name="제목 6" xfId="28772" hidden="1"/>
    <cellStyle name="제목 6" xfId="28814" hidden="1"/>
    <cellStyle name="제목 6" xfId="28856" hidden="1"/>
    <cellStyle name="제목 6" xfId="28898" hidden="1"/>
    <cellStyle name="제목 6" xfId="28940" hidden="1"/>
    <cellStyle name="제목 6" xfId="28982" hidden="1"/>
    <cellStyle name="제목 6" xfId="29024" hidden="1"/>
    <cellStyle name="제목 6" xfId="29066" hidden="1"/>
    <cellStyle name="제목 6" xfId="28203" hidden="1"/>
    <cellStyle name="제목 6" xfId="28151" hidden="1"/>
    <cellStyle name="제목 6" xfId="29135" hidden="1"/>
    <cellStyle name="제목 6" xfId="29175" hidden="1"/>
    <cellStyle name="제목 6" xfId="29215" hidden="1"/>
    <cellStyle name="제목 6" xfId="29255" hidden="1"/>
    <cellStyle name="제목 6" xfId="29295" hidden="1"/>
    <cellStyle name="제목 6" xfId="29335" hidden="1"/>
    <cellStyle name="제목 6" xfId="29375" hidden="1"/>
    <cellStyle name="제목 6" xfId="29415" hidden="1"/>
    <cellStyle name="제목 6" xfId="29455" hidden="1"/>
    <cellStyle name="제목 6" xfId="29495" hidden="1"/>
    <cellStyle name="제목 6" xfId="29535" hidden="1"/>
    <cellStyle name="제목 6" xfId="24507" hidden="1"/>
    <cellStyle name="제목 6" xfId="29585" hidden="1"/>
    <cellStyle name="제목 6" xfId="29625" hidden="1"/>
    <cellStyle name="제목 6" xfId="29665" hidden="1"/>
    <cellStyle name="제목 6" xfId="29705" hidden="1"/>
    <cellStyle name="제목 6" xfId="29745" hidden="1"/>
    <cellStyle name="제목 6" xfId="29785" hidden="1"/>
    <cellStyle name="제목 6" xfId="29825" hidden="1"/>
    <cellStyle name="제목 6" xfId="29865" hidden="1"/>
    <cellStyle name="제목 6" xfId="29905" hidden="1"/>
    <cellStyle name="제목 6" xfId="29945" hidden="1"/>
    <cellStyle name="제목 6" xfId="29985" hidden="1"/>
    <cellStyle name="제목 6" xfId="30069" hidden="1"/>
    <cellStyle name="제목 6" xfId="30109" hidden="1"/>
    <cellStyle name="제목 6" xfId="30151" hidden="1"/>
    <cellStyle name="제목 6" xfId="30193" hidden="1"/>
    <cellStyle name="제목 6" xfId="30235" hidden="1"/>
    <cellStyle name="제목 6" xfId="30277" hidden="1"/>
    <cellStyle name="제목 6" xfId="30319" hidden="1"/>
    <cellStyle name="제목 6" xfId="30361" hidden="1"/>
    <cellStyle name="제목 6" xfId="30403" hidden="1"/>
    <cellStyle name="제목 6" xfId="30445" hidden="1"/>
    <cellStyle name="제목 6" xfId="30487" hidden="1"/>
    <cellStyle name="제목 6" xfId="30529" hidden="1"/>
    <cellStyle name="제목 6" xfId="30025" hidden="1"/>
    <cellStyle name="제목 6" xfId="30709" hidden="1"/>
    <cellStyle name="제목 6" xfId="30749" hidden="1"/>
    <cellStyle name="제목 6" xfId="30789" hidden="1"/>
    <cellStyle name="제목 6" xfId="30829" hidden="1"/>
    <cellStyle name="제목 6" xfId="30869" hidden="1"/>
    <cellStyle name="제목 6" xfId="30909" hidden="1"/>
    <cellStyle name="제목 6" xfId="30949" hidden="1"/>
    <cellStyle name="제목 6" xfId="30989" hidden="1"/>
    <cellStyle name="제목 6" xfId="31029" hidden="1"/>
    <cellStyle name="제목 6" xfId="31069" hidden="1"/>
    <cellStyle name="제목 6" xfId="31109" hidden="1"/>
    <cellStyle name="제목 6" xfId="31149" hidden="1"/>
    <cellStyle name="제목 6" xfId="30651" hidden="1"/>
    <cellStyle name="제목 6" xfId="30612" hidden="1"/>
    <cellStyle name="제목 6" xfId="31190" hidden="1"/>
    <cellStyle name="제목 6" xfId="31232" hidden="1"/>
    <cellStyle name="제목 6" xfId="31274" hidden="1"/>
    <cellStyle name="제목 6" xfId="31316" hidden="1"/>
    <cellStyle name="제목 6" xfId="31358" hidden="1"/>
    <cellStyle name="제목 6" xfId="31400" hidden="1"/>
    <cellStyle name="제목 6" xfId="31442" hidden="1"/>
    <cellStyle name="제목 6" xfId="31484" hidden="1"/>
    <cellStyle name="제목 6" xfId="31526" hidden="1"/>
    <cellStyle name="제목 6" xfId="31568" hidden="1"/>
    <cellStyle name="제목 6" xfId="30705" hidden="1"/>
    <cellStyle name="제목 6" xfId="30653" hidden="1"/>
    <cellStyle name="제목 6" xfId="31637" hidden="1"/>
    <cellStyle name="제목 6" xfId="31677" hidden="1"/>
    <cellStyle name="제목 6" xfId="31717" hidden="1"/>
    <cellStyle name="제목 6" xfId="31757" hidden="1"/>
    <cellStyle name="제목 6" xfId="31797" hidden="1"/>
    <cellStyle name="제목 6" xfId="31837" hidden="1"/>
    <cellStyle name="제목 6" xfId="31877" hidden="1"/>
    <cellStyle name="제목 6" xfId="31917" hidden="1"/>
    <cellStyle name="제목 6" xfId="31957" hidden="1"/>
    <cellStyle name="제목 6" xfId="31997" hidden="1"/>
    <cellStyle name="제목 6" xfId="32037" hidden="1"/>
    <cellStyle name="제목 6" xfId="387"/>
    <cellStyle name="제목 6 10" xfId="32419"/>
    <cellStyle name="제목 6 100" xfId="36293"/>
    <cellStyle name="제목 6 101" xfId="35795"/>
    <cellStyle name="제목 6 102" xfId="35756"/>
    <cellStyle name="제목 6 103" xfId="36334"/>
    <cellStyle name="제목 6 104" xfId="36376"/>
    <cellStyle name="제목 6 105" xfId="36418"/>
    <cellStyle name="제목 6 106" xfId="36460"/>
    <cellStyle name="제목 6 107" xfId="36502"/>
    <cellStyle name="제목 6 108" xfId="36544"/>
    <cellStyle name="제목 6 109" xfId="36586"/>
    <cellStyle name="제목 6 11" xfId="32459"/>
    <cellStyle name="제목 6 110" xfId="36628"/>
    <cellStyle name="제목 6 111" xfId="36670"/>
    <cellStyle name="제목 6 112" xfId="36712"/>
    <cellStyle name="제목 6 113" xfId="35849"/>
    <cellStyle name="제목 6 114" xfId="35797"/>
    <cellStyle name="제목 6 115" xfId="36781"/>
    <cellStyle name="제목 6 116" xfId="36821"/>
    <cellStyle name="제목 6 117" xfId="36861"/>
    <cellStyle name="제목 6 118" xfId="36901"/>
    <cellStyle name="제목 6 119" xfId="36941"/>
    <cellStyle name="제목 6 12" xfId="32499"/>
    <cellStyle name="제목 6 120" xfId="36981"/>
    <cellStyle name="제목 6 121" xfId="37021"/>
    <cellStyle name="제목 6 122" xfId="37061"/>
    <cellStyle name="제목 6 123" xfId="37101"/>
    <cellStyle name="제목 6 124" xfId="37141"/>
    <cellStyle name="제목 6 125" xfId="37181"/>
    <cellStyle name="제목 6 126" xfId="34657"/>
    <cellStyle name="제목 6 127" xfId="37232"/>
    <cellStyle name="제목 6 128" xfId="37273"/>
    <cellStyle name="제목 6 129" xfId="37313"/>
    <cellStyle name="제목 6 13" xfId="32539"/>
    <cellStyle name="제목 6 130" xfId="37353"/>
    <cellStyle name="제목 6 131" xfId="37393"/>
    <cellStyle name="제목 6 132" xfId="37433"/>
    <cellStyle name="제목 6 133" xfId="37473"/>
    <cellStyle name="제목 6 134" xfId="37513"/>
    <cellStyle name="제목 6 135" xfId="37553"/>
    <cellStyle name="제목 6 136" xfId="37593"/>
    <cellStyle name="제목 6 137" xfId="37633"/>
    <cellStyle name="제목 6 138" xfId="37717"/>
    <cellStyle name="제목 6 139" xfId="37757"/>
    <cellStyle name="제목 6 14" xfId="32624"/>
    <cellStyle name="제목 6 140" xfId="37799"/>
    <cellStyle name="제목 6 141" xfId="37841"/>
    <cellStyle name="제목 6 142" xfId="37883"/>
    <cellStyle name="제목 6 143" xfId="37925"/>
    <cellStyle name="제목 6 144" xfId="37967"/>
    <cellStyle name="제목 6 145" xfId="38009"/>
    <cellStyle name="제목 6 146" xfId="38051"/>
    <cellStyle name="제목 6 147" xfId="38093"/>
    <cellStyle name="제목 6 148" xfId="38135"/>
    <cellStyle name="제목 6 149" xfId="38177"/>
    <cellStyle name="제목 6 15" xfId="32664"/>
    <cellStyle name="제목 6 150" xfId="37673"/>
    <cellStyle name="제목 6 151" xfId="38357"/>
    <cellStyle name="제목 6 152" xfId="38397"/>
    <cellStyle name="제목 6 153" xfId="38437"/>
    <cellStyle name="제목 6 154" xfId="38477"/>
    <cellStyle name="제목 6 155" xfId="38517"/>
    <cellStyle name="제목 6 156" xfId="38557"/>
    <cellStyle name="제목 6 157" xfId="38597"/>
    <cellStyle name="제목 6 158" xfId="38637"/>
    <cellStyle name="제목 6 159" xfId="38677"/>
    <cellStyle name="제목 6 16" xfId="32706"/>
    <cellStyle name="제목 6 160" xfId="38717"/>
    <cellStyle name="제목 6 161" xfId="38757"/>
    <cellStyle name="제목 6 162" xfId="38797"/>
    <cellStyle name="제목 6 163" xfId="38299"/>
    <cellStyle name="제목 6 164" xfId="38260"/>
    <cellStyle name="제목 6 165" xfId="38838"/>
    <cellStyle name="제목 6 166" xfId="38880"/>
    <cellStyle name="제목 6 167" xfId="38922"/>
    <cellStyle name="제목 6 168" xfId="38964"/>
    <cellStyle name="제목 6 169" xfId="39006"/>
    <cellStyle name="제목 6 17" xfId="32748"/>
    <cellStyle name="제목 6 170" xfId="39048"/>
    <cellStyle name="제목 6 171" xfId="39090"/>
    <cellStyle name="제목 6 172" xfId="39132"/>
    <cellStyle name="제목 6 173" xfId="39174"/>
    <cellStyle name="제목 6 174" xfId="39216"/>
    <cellStyle name="제목 6 175" xfId="38353"/>
    <cellStyle name="제목 6 176" xfId="38301"/>
    <cellStyle name="제목 6 177" xfId="39285"/>
    <cellStyle name="제목 6 178" xfId="39325"/>
    <cellStyle name="제목 6 179" xfId="39365"/>
    <cellStyle name="제목 6 18" xfId="32790"/>
    <cellStyle name="제목 6 180" xfId="39405"/>
    <cellStyle name="제목 6 181" xfId="39445"/>
    <cellStyle name="제목 6 182" xfId="39485"/>
    <cellStyle name="제목 6 183" xfId="39525"/>
    <cellStyle name="제목 6 184" xfId="39565"/>
    <cellStyle name="제목 6 185" xfId="39605"/>
    <cellStyle name="제목 6 186" xfId="39645"/>
    <cellStyle name="제목 6 187" xfId="39685"/>
    <cellStyle name="제목 6 188" xfId="34659"/>
    <cellStyle name="제목 6 189" xfId="39735"/>
    <cellStyle name="제목 6 19" xfId="32832"/>
    <cellStyle name="제목 6 190" xfId="39775"/>
    <cellStyle name="제목 6 191" xfId="39815"/>
    <cellStyle name="제목 6 192" xfId="39855"/>
    <cellStyle name="제목 6 193" xfId="39895"/>
    <cellStyle name="제목 6 194" xfId="39935"/>
    <cellStyle name="제목 6 195" xfId="39975"/>
    <cellStyle name="제목 6 196" xfId="40015"/>
    <cellStyle name="제목 6 197" xfId="40055"/>
    <cellStyle name="제목 6 198" xfId="40095"/>
    <cellStyle name="제목 6 199" xfId="40135"/>
    <cellStyle name="제목 6 2" xfId="32099"/>
    <cellStyle name="제목 6 20" xfId="32874"/>
    <cellStyle name="제목 6 200" xfId="40219"/>
    <cellStyle name="제목 6 201" xfId="40259"/>
    <cellStyle name="제목 6 202" xfId="40301"/>
    <cellStyle name="제목 6 203" xfId="40343"/>
    <cellStyle name="제목 6 204" xfId="40385"/>
    <cellStyle name="제목 6 205" xfId="40427"/>
    <cellStyle name="제목 6 206" xfId="40469"/>
    <cellStyle name="제목 6 207" xfId="40511"/>
    <cellStyle name="제목 6 208" xfId="40553"/>
    <cellStyle name="제목 6 209" xfId="40595"/>
    <cellStyle name="제목 6 21" xfId="32916"/>
    <cellStyle name="제목 6 210" xfId="40637"/>
    <cellStyle name="제목 6 211" xfId="40679"/>
    <cellStyle name="제목 6 212" xfId="40175"/>
    <cellStyle name="제목 6 213" xfId="40859"/>
    <cellStyle name="제목 6 214" xfId="40899"/>
    <cellStyle name="제목 6 215" xfId="40939"/>
    <cellStyle name="제목 6 216" xfId="40979"/>
    <cellStyle name="제목 6 217" xfId="41019"/>
    <cellStyle name="제목 6 218" xfId="41059"/>
    <cellStyle name="제목 6 219" xfId="41099"/>
    <cellStyle name="제목 6 22" xfId="32958"/>
    <cellStyle name="제목 6 220" xfId="41139"/>
    <cellStyle name="제목 6 221" xfId="41179"/>
    <cellStyle name="제목 6 222" xfId="41219"/>
    <cellStyle name="제목 6 223" xfId="41259"/>
    <cellStyle name="제목 6 224" xfId="41299"/>
    <cellStyle name="제목 6 225" xfId="40801"/>
    <cellStyle name="제목 6 226" xfId="40762"/>
    <cellStyle name="제목 6 227" xfId="41340"/>
    <cellStyle name="제목 6 228" xfId="41382"/>
    <cellStyle name="제목 6 229" xfId="41424"/>
    <cellStyle name="제목 6 23" xfId="33000"/>
    <cellStyle name="제목 6 230" xfId="41466"/>
    <cellStyle name="제목 6 231" xfId="41508"/>
    <cellStyle name="제목 6 232" xfId="41550"/>
    <cellStyle name="제목 6 233" xfId="41592"/>
    <cellStyle name="제목 6 234" xfId="41634"/>
    <cellStyle name="제목 6 235" xfId="41676"/>
    <cellStyle name="제목 6 236" xfId="41718"/>
    <cellStyle name="제목 6 237" xfId="40855"/>
    <cellStyle name="제목 6 238" xfId="40803"/>
    <cellStyle name="제목 6 239" xfId="41787"/>
    <cellStyle name="제목 6 24" xfId="33042"/>
    <cellStyle name="제목 6 240" xfId="41827"/>
    <cellStyle name="제목 6 241" xfId="41867"/>
    <cellStyle name="제목 6 242" xfId="41907"/>
    <cellStyle name="제목 6 243" xfId="41947"/>
    <cellStyle name="제목 6 244" xfId="41987"/>
    <cellStyle name="제목 6 245" xfId="42027"/>
    <cellStyle name="제목 6 246" xfId="42067"/>
    <cellStyle name="제목 6 247" xfId="42107"/>
    <cellStyle name="제목 6 248" xfId="42147"/>
    <cellStyle name="제목 6 249" xfId="42187"/>
    <cellStyle name="제목 6 25" xfId="33084"/>
    <cellStyle name="제목 6 250" xfId="42230"/>
    <cellStyle name="제목 6 251" xfId="42270"/>
    <cellStyle name="제목 6 252" xfId="42310"/>
    <cellStyle name="제목 6 253" xfId="42350"/>
    <cellStyle name="제목 6 254" xfId="42390"/>
    <cellStyle name="제목 6 255" xfId="42430"/>
    <cellStyle name="제목 6 256" xfId="42470"/>
    <cellStyle name="제목 6 257" xfId="42510"/>
    <cellStyle name="제목 6 258" xfId="42550"/>
    <cellStyle name="제목 6 259" xfId="42590"/>
    <cellStyle name="제목 6 26" xfId="32580"/>
    <cellStyle name="제목 6 260" xfId="42630"/>
    <cellStyle name="제목 6 261" xfId="42670"/>
    <cellStyle name="제목 6 262" xfId="42754"/>
    <cellStyle name="제목 6 263" xfId="42794"/>
    <cellStyle name="제목 6 264" xfId="42836"/>
    <cellStyle name="제목 6 265" xfId="42878"/>
    <cellStyle name="제목 6 266" xfId="42920"/>
    <cellStyle name="제목 6 267" xfId="42962"/>
    <cellStyle name="제목 6 268" xfId="43004"/>
    <cellStyle name="제목 6 269" xfId="43046"/>
    <cellStyle name="제목 6 27" xfId="33264"/>
    <cellStyle name="제목 6 270" xfId="43088"/>
    <cellStyle name="제목 6 271" xfId="43130"/>
    <cellStyle name="제목 6 272" xfId="43172"/>
    <cellStyle name="제목 6 273" xfId="43214"/>
    <cellStyle name="제목 6 274" xfId="42710"/>
    <cellStyle name="제목 6 275" xfId="43394"/>
    <cellStyle name="제목 6 276" xfId="43434"/>
    <cellStyle name="제목 6 277" xfId="43474"/>
    <cellStyle name="제목 6 278" xfId="43514"/>
    <cellStyle name="제목 6 279" xfId="43554"/>
    <cellStyle name="제목 6 28" xfId="33304"/>
    <cellStyle name="제목 6 280" xfId="43594"/>
    <cellStyle name="제목 6 281" xfId="43634"/>
    <cellStyle name="제목 6 282" xfId="43674"/>
    <cellStyle name="제목 6 283" xfId="43714"/>
    <cellStyle name="제목 6 284" xfId="43754"/>
    <cellStyle name="제목 6 285" xfId="43794"/>
    <cellStyle name="제목 6 286" xfId="43834"/>
    <cellStyle name="제목 6 287" xfId="43336"/>
    <cellStyle name="제목 6 288" xfId="43297"/>
    <cellStyle name="제목 6 289" xfId="43875"/>
    <cellStyle name="제목 6 29" xfId="33344"/>
    <cellStyle name="제목 6 290" xfId="43917"/>
    <cellStyle name="제목 6 291" xfId="43959"/>
    <cellStyle name="제목 6 292" xfId="44001"/>
    <cellStyle name="제목 6 293" xfId="44043"/>
    <cellStyle name="제목 6 294" xfId="44085"/>
    <cellStyle name="제목 6 295" xfId="44127"/>
    <cellStyle name="제목 6 296" xfId="44169"/>
    <cellStyle name="제목 6 297" xfId="44211"/>
    <cellStyle name="제목 6 298" xfId="44253"/>
    <cellStyle name="제목 6 299" xfId="43390"/>
    <cellStyle name="제목 6 3" xfId="32139"/>
    <cellStyle name="제목 6 30" xfId="33384"/>
    <cellStyle name="제목 6 300" xfId="43338"/>
    <cellStyle name="제목 6 301" xfId="44322"/>
    <cellStyle name="제목 6 302" xfId="44362"/>
    <cellStyle name="제목 6 303" xfId="44402"/>
    <cellStyle name="제목 6 304" xfId="44442"/>
    <cellStyle name="제목 6 305" xfId="44482"/>
    <cellStyle name="제목 6 306" xfId="44522"/>
    <cellStyle name="제목 6 307" xfId="44562"/>
    <cellStyle name="제목 6 308" xfId="44602"/>
    <cellStyle name="제목 6 309" xfId="44642"/>
    <cellStyle name="제목 6 31" xfId="33424"/>
    <cellStyle name="제목 6 310" xfId="44682"/>
    <cellStyle name="제목 6 311" xfId="44722"/>
    <cellStyle name="제목 6 312" xfId="44818"/>
    <cellStyle name="제목 6 313" xfId="44858"/>
    <cellStyle name="제목 6 314" xfId="44899"/>
    <cellStyle name="제목 6 315" xfId="44941"/>
    <cellStyle name="제목 6 316" xfId="44981"/>
    <cellStyle name="제목 6 317" xfId="45021"/>
    <cellStyle name="제목 6 318" xfId="45061"/>
    <cellStyle name="제목 6 319" xfId="45101"/>
    <cellStyle name="제목 6 32" xfId="33464"/>
    <cellStyle name="제목 6 320" xfId="45141"/>
    <cellStyle name="제목 6 321" xfId="45181"/>
    <cellStyle name="제목 6 322" xfId="45221"/>
    <cellStyle name="제목 6 323" xfId="45261"/>
    <cellStyle name="제목 6 324" xfId="45345"/>
    <cellStyle name="제목 6 325" xfId="45385"/>
    <cellStyle name="제목 6 326" xfId="45427"/>
    <cellStyle name="제목 6 327" xfId="45469"/>
    <cellStyle name="제목 6 328" xfId="45511"/>
    <cellStyle name="제목 6 329" xfId="45553"/>
    <cellStyle name="제목 6 33" xfId="33504"/>
    <cellStyle name="제목 6 330" xfId="45595"/>
    <cellStyle name="제목 6 331" xfId="45637"/>
    <cellStyle name="제목 6 332" xfId="45679"/>
    <cellStyle name="제목 6 333" xfId="45721"/>
    <cellStyle name="제목 6 334" xfId="45763"/>
    <cellStyle name="제목 6 335" xfId="45805"/>
    <cellStyle name="제목 6 336" xfId="45301"/>
    <cellStyle name="제목 6 337" xfId="45985"/>
    <cellStyle name="제목 6 338" xfId="46025"/>
    <cellStyle name="제목 6 339" xfId="46065"/>
    <cellStyle name="제목 6 34" xfId="33544"/>
    <cellStyle name="제목 6 340" xfId="46105"/>
    <cellStyle name="제목 6 341" xfId="46145"/>
    <cellStyle name="제목 6 342" xfId="46185"/>
    <cellStyle name="제목 6 343" xfId="46225"/>
    <cellStyle name="제목 6 344" xfId="46265"/>
    <cellStyle name="제목 6 345" xfId="46305"/>
    <cellStyle name="제목 6 346" xfId="46345"/>
    <cellStyle name="제목 6 347" xfId="46385"/>
    <cellStyle name="제목 6 348" xfId="46425"/>
    <cellStyle name="제목 6 349" xfId="45927"/>
    <cellStyle name="제목 6 35" xfId="33584"/>
    <cellStyle name="제목 6 350" xfId="45888"/>
    <cellStyle name="제목 6 351" xfId="46466"/>
    <cellStyle name="제목 6 352" xfId="46508"/>
    <cellStyle name="제목 6 353" xfId="46550"/>
    <cellStyle name="제목 6 354" xfId="46592"/>
    <cellStyle name="제목 6 355" xfId="46634"/>
    <cellStyle name="제목 6 356" xfId="46676"/>
    <cellStyle name="제목 6 357" xfId="46718"/>
    <cellStyle name="제목 6 358" xfId="46760"/>
    <cellStyle name="제목 6 359" xfId="46802"/>
    <cellStyle name="제목 6 36" xfId="33624"/>
    <cellStyle name="제목 6 360" xfId="46844"/>
    <cellStyle name="제목 6 361" xfId="45981"/>
    <cellStyle name="제목 6 362" xfId="45929"/>
    <cellStyle name="제목 6 363" xfId="46913"/>
    <cellStyle name="제목 6 364" xfId="46953"/>
    <cellStyle name="제목 6 365" xfId="46993"/>
    <cellStyle name="제목 6 366" xfId="47033"/>
    <cellStyle name="제목 6 367" xfId="47073"/>
    <cellStyle name="제목 6 368" xfId="47113"/>
    <cellStyle name="제목 6 369" xfId="47153"/>
    <cellStyle name="제목 6 37" xfId="33664"/>
    <cellStyle name="제목 6 370" xfId="47193"/>
    <cellStyle name="제목 6 371" xfId="47233"/>
    <cellStyle name="제목 6 372" xfId="47273"/>
    <cellStyle name="제목 6 373" xfId="47313"/>
    <cellStyle name="제목 6 374" xfId="44787"/>
    <cellStyle name="제목 6 375" xfId="47364"/>
    <cellStyle name="제목 6 376" xfId="47404"/>
    <cellStyle name="제목 6 377" xfId="47444"/>
    <cellStyle name="제목 6 378" xfId="47484"/>
    <cellStyle name="제목 6 379" xfId="47524"/>
    <cellStyle name="제목 6 38" xfId="33704"/>
    <cellStyle name="제목 6 380" xfId="47564"/>
    <cellStyle name="제목 6 381" xfId="47604"/>
    <cellStyle name="제목 6 382" xfId="47644"/>
    <cellStyle name="제목 6 383" xfId="47684"/>
    <cellStyle name="제목 6 384" xfId="47724"/>
    <cellStyle name="제목 6 385" xfId="47764"/>
    <cellStyle name="제목 6 386" xfId="47848"/>
    <cellStyle name="제목 6 387" xfId="47888"/>
    <cellStyle name="제목 6 388" xfId="47930"/>
    <cellStyle name="제목 6 389" xfId="47972"/>
    <cellStyle name="제목 6 39" xfId="33206"/>
    <cellStyle name="제목 6 390" xfId="48014"/>
    <cellStyle name="제목 6 391" xfId="48056"/>
    <cellStyle name="제목 6 392" xfId="48098"/>
    <cellStyle name="제목 6 393" xfId="48140"/>
    <cellStyle name="제목 6 394" xfId="48182"/>
    <cellStyle name="제목 6 395" xfId="48224"/>
    <cellStyle name="제목 6 396" xfId="48266"/>
    <cellStyle name="제목 6 397" xfId="48308"/>
    <cellStyle name="제목 6 398" xfId="47804"/>
    <cellStyle name="제목 6 399" xfId="48488"/>
    <cellStyle name="제목 6 4" xfId="32179"/>
    <cellStyle name="제목 6 40" xfId="33167"/>
    <cellStyle name="제목 6 400" xfId="48528"/>
    <cellStyle name="제목 6 401" xfId="48568"/>
    <cellStyle name="제목 6 402" xfId="48608"/>
    <cellStyle name="제목 6 403" xfId="48648"/>
    <cellStyle name="제목 6 404" xfId="48688"/>
    <cellStyle name="제목 6 405" xfId="48728"/>
    <cellStyle name="제목 6 406" xfId="48768"/>
    <cellStyle name="제목 6 407" xfId="48808"/>
    <cellStyle name="제목 6 408" xfId="48848"/>
    <cellStyle name="제목 6 409" xfId="48888"/>
    <cellStyle name="제목 6 41" xfId="33745"/>
    <cellStyle name="제목 6 410" xfId="48928"/>
    <cellStyle name="제목 6 411" xfId="48430"/>
    <cellStyle name="제목 6 412" xfId="48391"/>
    <cellStyle name="제목 6 413" xfId="48969"/>
    <cellStyle name="제목 6 414" xfId="49011"/>
    <cellStyle name="제목 6 415" xfId="49053"/>
    <cellStyle name="제목 6 416" xfId="49095"/>
    <cellStyle name="제목 6 417" xfId="49137"/>
    <cellStyle name="제목 6 418" xfId="49179"/>
    <cellStyle name="제목 6 419" xfId="49221"/>
    <cellStyle name="제목 6 42" xfId="33787"/>
    <cellStyle name="제목 6 420" xfId="49263"/>
    <cellStyle name="제목 6 421" xfId="49305"/>
    <cellStyle name="제목 6 422" xfId="49347"/>
    <cellStyle name="제목 6 423" xfId="48484"/>
    <cellStyle name="제목 6 424" xfId="48432"/>
    <cellStyle name="제목 6 425" xfId="49416"/>
    <cellStyle name="제목 6 426" xfId="49456"/>
    <cellStyle name="제목 6 427" xfId="49496"/>
    <cellStyle name="제목 6 428" xfId="49536"/>
    <cellStyle name="제목 6 429" xfId="49576"/>
    <cellStyle name="제목 6 43" xfId="33829"/>
    <cellStyle name="제목 6 430" xfId="49616"/>
    <cellStyle name="제목 6 431" xfId="49656"/>
    <cellStyle name="제목 6 432" xfId="49696"/>
    <cellStyle name="제목 6 433" xfId="49736"/>
    <cellStyle name="제목 6 434" xfId="49776"/>
    <cellStyle name="제목 6 435" xfId="49816"/>
    <cellStyle name="제목 6 436" xfId="44788"/>
    <cellStyle name="제목 6 437" xfId="49866"/>
    <cellStyle name="제목 6 438" xfId="49906"/>
    <cellStyle name="제목 6 439" xfId="49946"/>
    <cellStyle name="제목 6 44" xfId="33871"/>
    <cellStyle name="제목 6 440" xfId="49986"/>
    <cellStyle name="제목 6 441" xfId="50026"/>
    <cellStyle name="제목 6 442" xfId="50066"/>
    <cellStyle name="제목 6 443" xfId="50106"/>
    <cellStyle name="제목 6 444" xfId="50146"/>
    <cellStyle name="제목 6 445" xfId="50186"/>
    <cellStyle name="제목 6 446" xfId="50226"/>
    <cellStyle name="제목 6 447" xfId="50266"/>
    <cellStyle name="제목 6 448" xfId="50350"/>
    <cellStyle name="제목 6 449" xfId="50390"/>
    <cellStyle name="제목 6 45" xfId="33913"/>
    <cellStyle name="제목 6 450" xfId="50432"/>
    <cellStyle name="제목 6 451" xfId="50474"/>
    <cellStyle name="제목 6 452" xfId="50516"/>
    <cellStyle name="제목 6 453" xfId="50558"/>
    <cellStyle name="제목 6 454" xfId="50600"/>
    <cellStyle name="제목 6 455" xfId="50642"/>
    <cellStyle name="제목 6 456" xfId="50684"/>
    <cellStyle name="제목 6 457" xfId="50726"/>
    <cellStyle name="제목 6 458" xfId="50768"/>
    <cellStyle name="제목 6 459" xfId="50810"/>
    <cellStyle name="제목 6 46" xfId="33955"/>
    <cellStyle name="제목 6 460" xfId="50306"/>
    <cellStyle name="제목 6 461" xfId="50990"/>
    <cellStyle name="제목 6 462" xfId="51030"/>
    <cellStyle name="제목 6 463" xfId="51070"/>
    <cellStyle name="제목 6 464" xfId="51110"/>
    <cellStyle name="제목 6 465" xfId="51150"/>
    <cellStyle name="제목 6 466" xfId="51190"/>
    <cellStyle name="제목 6 467" xfId="51230"/>
    <cellStyle name="제목 6 468" xfId="51270"/>
    <cellStyle name="제목 6 469" xfId="51310"/>
    <cellStyle name="제목 6 47" xfId="33997"/>
    <cellStyle name="제목 6 470" xfId="51350"/>
    <cellStyle name="제목 6 471" xfId="51390"/>
    <cellStyle name="제목 6 472" xfId="51430"/>
    <cellStyle name="제목 6 473" xfId="50932"/>
    <cellStyle name="제목 6 474" xfId="50893"/>
    <cellStyle name="제목 6 475" xfId="51471"/>
    <cellStyle name="제목 6 476" xfId="51513"/>
    <cellStyle name="제목 6 477" xfId="51555"/>
    <cellStyle name="제목 6 478" xfId="51597"/>
    <cellStyle name="제목 6 479" xfId="51639"/>
    <cellStyle name="제목 6 48" xfId="34039"/>
    <cellStyle name="제목 6 480" xfId="51681"/>
    <cellStyle name="제목 6 481" xfId="51723"/>
    <cellStyle name="제목 6 482" xfId="51765"/>
    <cellStyle name="제목 6 483" xfId="51807"/>
    <cellStyle name="제목 6 484" xfId="51849"/>
    <cellStyle name="제목 6 485" xfId="50986"/>
    <cellStyle name="제목 6 486" xfId="50934"/>
    <cellStyle name="제목 6 487" xfId="51918"/>
    <cellStyle name="제목 6 488" xfId="51958"/>
    <cellStyle name="제목 6 489" xfId="51998"/>
    <cellStyle name="제목 6 49" xfId="34081"/>
    <cellStyle name="제목 6 490" xfId="52038"/>
    <cellStyle name="제목 6 491" xfId="52078"/>
    <cellStyle name="제목 6 492" xfId="52118"/>
    <cellStyle name="제목 6 493" xfId="52158"/>
    <cellStyle name="제목 6 494" xfId="52198"/>
    <cellStyle name="제목 6 495" xfId="52238"/>
    <cellStyle name="제목 6 496" xfId="52278"/>
    <cellStyle name="제목 6 497" xfId="52318"/>
    <cellStyle name="제목 6 5" xfId="32219"/>
    <cellStyle name="제목 6 50" xfId="34123"/>
    <cellStyle name="제목 6 51" xfId="33260"/>
    <cellStyle name="제목 6 52" xfId="33208"/>
    <cellStyle name="제목 6 53" xfId="34192"/>
    <cellStyle name="제목 6 54" xfId="34232"/>
    <cellStyle name="제목 6 55" xfId="34272"/>
    <cellStyle name="제목 6 56" xfId="34312"/>
    <cellStyle name="제목 6 57" xfId="34352"/>
    <cellStyle name="제목 6 58" xfId="34392"/>
    <cellStyle name="제목 6 59" xfId="34432"/>
    <cellStyle name="제목 6 6" xfId="32259"/>
    <cellStyle name="제목 6 60" xfId="34472"/>
    <cellStyle name="제목 6 61" xfId="34512"/>
    <cellStyle name="제목 6 62" xfId="34552"/>
    <cellStyle name="제목 6 63" xfId="34592"/>
    <cellStyle name="제목 6 64" xfId="34689"/>
    <cellStyle name="제목 6 65" xfId="34729"/>
    <cellStyle name="제목 6 66" xfId="34769"/>
    <cellStyle name="제목 6 67" xfId="34809"/>
    <cellStyle name="제목 6 68" xfId="34849"/>
    <cellStyle name="제목 6 69" xfId="34889"/>
    <cellStyle name="제목 6 7" xfId="32299"/>
    <cellStyle name="제목 6 70" xfId="34929"/>
    <cellStyle name="제목 6 71" xfId="34969"/>
    <cellStyle name="제목 6 72" xfId="35009"/>
    <cellStyle name="제목 6 73" xfId="35049"/>
    <cellStyle name="제목 6 74" xfId="35089"/>
    <cellStyle name="제목 6 75" xfId="35129"/>
    <cellStyle name="제목 6 76" xfId="35213"/>
    <cellStyle name="제목 6 77" xfId="35253"/>
    <cellStyle name="제목 6 78" xfId="35295"/>
    <cellStyle name="제목 6 79" xfId="35337"/>
    <cellStyle name="제목 6 8" xfId="32339"/>
    <cellStyle name="제목 6 80" xfId="35379"/>
    <cellStyle name="제목 6 81" xfId="35421"/>
    <cellStyle name="제목 6 82" xfId="35463"/>
    <cellStyle name="제목 6 83" xfId="35505"/>
    <cellStyle name="제목 6 84" xfId="35547"/>
    <cellStyle name="제목 6 85" xfId="35589"/>
    <cellStyle name="제목 6 86" xfId="35631"/>
    <cellStyle name="제목 6 87" xfId="35673"/>
    <cellStyle name="제목 6 88" xfId="35169"/>
    <cellStyle name="제목 6 89" xfId="35853"/>
    <cellStyle name="제목 6 9" xfId="32379"/>
    <cellStyle name="제목 6 90" xfId="35893"/>
    <cellStyle name="제목 6 91" xfId="35933"/>
    <cellStyle name="제목 6 92" xfId="35973"/>
    <cellStyle name="제목 6 93" xfId="36013"/>
    <cellStyle name="제목 6 94" xfId="36053"/>
    <cellStyle name="제목 6 95" xfId="36093"/>
    <cellStyle name="제목 6 96" xfId="36133"/>
    <cellStyle name="제목 6 97" xfId="36173"/>
    <cellStyle name="제목 6 98" xfId="36213"/>
    <cellStyle name="제목 6 99" xfId="36253"/>
    <cellStyle name="제목 7" xfId="8213"/>
    <cellStyle name="제목 8" xfId="8214"/>
    <cellStyle name="제목 9" xfId="8215"/>
    <cellStyle name="좋음 10" xfId="8216"/>
    <cellStyle name="좋음 11" xfId="8217"/>
    <cellStyle name="좋음 12" xfId="8218"/>
    <cellStyle name="좋음 13" xfId="8219"/>
    <cellStyle name="좋음 14" xfId="8220"/>
    <cellStyle name="좋음 15" xfId="8221"/>
    <cellStyle name="좋음 16" xfId="8222"/>
    <cellStyle name="좋음 17" xfId="8223"/>
    <cellStyle name="좋음 18" xfId="8224"/>
    <cellStyle name="좋음 19" xfId="8225"/>
    <cellStyle name="좋음 2" xfId="397"/>
    <cellStyle name="좋음 2 10" xfId="8226"/>
    <cellStyle name="좋음 2 100" xfId="8227"/>
    <cellStyle name="좋음 2 101" xfId="8228"/>
    <cellStyle name="좋음 2 102" xfId="8229"/>
    <cellStyle name="좋음 2 103" xfId="8230"/>
    <cellStyle name="좋음 2 104" xfId="8231"/>
    <cellStyle name="좋음 2 105" xfId="8232"/>
    <cellStyle name="좋음 2 106" xfId="8233"/>
    <cellStyle name="좋음 2 107" xfId="8234"/>
    <cellStyle name="좋음 2 108" xfId="8235"/>
    <cellStyle name="좋음 2 109" xfId="8236"/>
    <cellStyle name="좋음 2 11" xfId="8237"/>
    <cellStyle name="좋음 2 110" xfId="8238"/>
    <cellStyle name="좋음 2 111" xfId="8239"/>
    <cellStyle name="좋음 2 112" xfId="8240"/>
    <cellStyle name="좋음 2 12" xfId="8241"/>
    <cellStyle name="좋음 2 13" xfId="8242"/>
    <cellStyle name="좋음 2 14" xfId="8243"/>
    <cellStyle name="좋음 2 15" xfId="8244"/>
    <cellStyle name="좋음 2 16" xfId="8245"/>
    <cellStyle name="좋음 2 17" xfId="8246"/>
    <cellStyle name="좋음 2 18" xfId="8247"/>
    <cellStyle name="좋음 2 19" xfId="8248"/>
    <cellStyle name="좋음 2 2" xfId="8249"/>
    <cellStyle name="좋음 2 2 2" xfId="8250"/>
    <cellStyle name="좋음 2 2 3" xfId="8251"/>
    <cellStyle name="좋음 2 2 4" xfId="8252"/>
    <cellStyle name="좋음 2 2 5" xfId="8253"/>
    <cellStyle name="좋음 2 20" xfId="8254"/>
    <cellStyle name="좋음 2 21" xfId="8255"/>
    <cellStyle name="좋음 2 22" xfId="8256"/>
    <cellStyle name="좋음 2 23" xfId="8257"/>
    <cellStyle name="좋음 2 24" xfId="8258"/>
    <cellStyle name="좋음 2 25" xfId="8259"/>
    <cellStyle name="좋음 2 26" xfId="8260"/>
    <cellStyle name="좋음 2 27" xfId="8261"/>
    <cellStyle name="좋음 2 28" xfId="8262"/>
    <cellStyle name="좋음 2 29" xfId="8263"/>
    <cellStyle name="좋음 2 3" xfId="8264"/>
    <cellStyle name="좋음 2 30" xfId="8265"/>
    <cellStyle name="좋음 2 31" xfId="8266"/>
    <cellStyle name="좋음 2 32" xfId="8267"/>
    <cellStyle name="좋음 2 33" xfId="8268"/>
    <cellStyle name="좋음 2 34" xfId="8269"/>
    <cellStyle name="좋음 2 35" xfId="8270"/>
    <cellStyle name="좋음 2 36" xfId="8271"/>
    <cellStyle name="좋음 2 37" xfId="8272"/>
    <cellStyle name="좋음 2 38" xfId="8273"/>
    <cellStyle name="좋음 2 39" xfId="8274"/>
    <cellStyle name="좋음 2 4" xfId="8275"/>
    <cellStyle name="좋음 2 40" xfId="8276"/>
    <cellStyle name="좋음 2 41" xfId="8277"/>
    <cellStyle name="좋음 2 42" xfId="8278"/>
    <cellStyle name="좋음 2 43" xfId="8279"/>
    <cellStyle name="좋음 2 44" xfId="8280"/>
    <cellStyle name="좋음 2 45" xfId="8281"/>
    <cellStyle name="좋음 2 46" xfId="8282"/>
    <cellStyle name="좋음 2 47" xfId="8283"/>
    <cellStyle name="좋음 2 48" xfId="8284"/>
    <cellStyle name="좋음 2 49" xfId="8285"/>
    <cellStyle name="좋음 2 5" xfId="8286"/>
    <cellStyle name="좋음 2 50" xfId="8287"/>
    <cellStyle name="좋음 2 51" xfId="8288"/>
    <cellStyle name="좋음 2 52" xfId="8289"/>
    <cellStyle name="좋음 2 53" xfId="8290"/>
    <cellStyle name="좋음 2 54" xfId="8291"/>
    <cellStyle name="좋음 2 55" xfId="8292"/>
    <cellStyle name="좋음 2 56" xfId="8293"/>
    <cellStyle name="좋음 2 57" xfId="8294"/>
    <cellStyle name="좋음 2 58" xfId="8295"/>
    <cellStyle name="좋음 2 59" xfId="8296"/>
    <cellStyle name="좋음 2 6" xfId="8297"/>
    <cellStyle name="좋음 2 60" xfId="8298"/>
    <cellStyle name="좋음 2 61" xfId="8299"/>
    <cellStyle name="좋음 2 62" xfId="8300"/>
    <cellStyle name="좋음 2 63" xfId="8301"/>
    <cellStyle name="좋음 2 64" xfId="8302"/>
    <cellStyle name="좋음 2 65" xfId="8303"/>
    <cellStyle name="좋음 2 66" xfId="8304"/>
    <cellStyle name="좋음 2 67" xfId="8305"/>
    <cellStyle name="좋음 2 68" xfId="8306"/>
    <cellStyle name="좋음 2 69" xfId="8307"/>
    <cellStyle name="좋음 2 7" xfId="8308"/>
    <cellStyle name="좋음 2 70" xfId="8309"/>
    <cellStyle name="좋음 2 71" xfId="8310"/>
    <cellStyle name="좋음 2 72" xfId="8311"/>
    <cellStyle name="좋음 2 73" xfId="8312"/>
    <cellStyle name="좋음 2 74" xfId="8313"/>
    <cellStyle name="좋음 2 75" xfId="8314"/>
    <cellStyle name="좋음 2 76" xfId="8315"/>
    <cellStyle name="좋음 2 77" xfId="8316"/>
    <cellStyle name="좋음 2 78" xfId="8317"/>
    <cellStyle name="좋음 2 79" xfId="8318"/>
    <cellStyle name="좋음 2 8" xfId="8319"/>
    <cellStyle name="좋음 2 80" xfId="8320"/>
    <cellStyle name="좋음 2 81" xfId="8321"/>
    <cellStyle name="좋음 2 82" xfId="8322"/>
    <cellStyle name="좋음 2 83" xfId="8323"/>
    <cellStyle name="좋음 2 84" xfId="8324"/>
    <cellStyle name="좋음 2 85" xfId="8325"/>
    <cellStyle name="좋음 2 86" xfId="8326"/>
    <cellStyle name="좋음 2 87" xfId="8327"/>
    <cellStyle name="좋음 2 88" xfId="8328"/>
    <cellStyle name="좋음 2 89" xfId="8329"/>
    <cellStyle name="좋음 2 9" xfId="8330"/>
    <cellStyle name="좋음 2 90" xfId="8331"/>
    <cellStyle name="좋음 2 91" xfId="8332"/>
    <cellStyle name="좋음 2 92" xfId="8333"/>
    <cellStyle name="좋음 2 93" xfId="8334"/>
    <cellStyle name="좋음 2 94" xfId="8335"/>
    <cellStyle name="좋음 2 95" xfId="8336"/>
    <cellStyle name="좋음 2 96" xfId="8337"/>
    <cellStyle name="좋음 2 97" xfId="8338"/>
    <cellStyle name="좋음 2 98" xfId="8339"/>
    <cellStyle name="좋음 2 99" xfId="8340"/>
    <cellStyle name="좋음 20" xfId="8341"/>
    <cellStyle name="좋음 21" xfId="8342"/>
    <cellStyle name="좋음 22" xfId="8343"/>
    <cellStyle name="좋음 23" xfId="8344"/>
    <cellStyle name="좋음 24" xfId="8345"/>
    <cellStyle name="좋음 25" xfId="8346"/>
    <cellStyle name="좋음 26" xfId="8347"/>
    <cellStyle name="좋음 27" xfId="8348"/>
    <cellStyle name="좋음 28" xfId="8349"/>
    <cellStyle name="좋음 29" xfId="8350"/>
    <cellStyle name="좋음 3" xfId="398"/>
    <cellStyle name="좋음 30" xfId="8351"/>
    <cellStyle name="좋음 31" xfId="8352"/>
    <cellStyle name="좋음 32" xfId="8353"/>
    <cellStyle name="좋음 33" xfId="8354"/>
    <cellStyle name="좋음 34" xfId="8355"/>
    <cellStyle name="좋음 35" xfId="8356"/>
    <cellStyle name="좋음 36" xfId="8357"/>
    <cellStyle name="좋음 37" xfId="8358"/>
    <cellStyle name="좋음 38" xfId="8359"/>
    <cellStyle name="좋음 39" xfId="8360"/>
    <cellStyle name="좋음 4" xfId="11713" hidden="1"/>
    <cellStyle name="좋음 4" xfId="11759" hidden="1"/>
    <cellStyle name="좋음 4" xfId="11805" hidden="1"/>
    <cellStyle name="좋음 4" xfId="11851" hidden="1"/>
    <cellStyle name="좋음 4" xfId="11897" hidden="1"/>
    <cellStyle name="좋음 4" xfId="11943" hidden="1"/>
    <cellStyle name="좋음 4" xfId="11989" hidden="1"/>
    <cellStyle name="좋음 4" xfId="12035" hidden="1"/>
    <cellStyle name="좋음 4" xfId="12081" hidden="1"/>
    <cellStyle name="좋음 4" xfId="12127" hidden="1"/>
    <cellStyle name="좋음 4" xfId="12173" hidden="1"/>
    <cellStyle name="좋음 4" xfId="12219" hidden="1"/>
    <cellStyle name="좋음 4" xfId="12309" hidden="1"/>
    <cellStyle name="좋음 4" xfId="12349" hidden="1"/>
    <cellStyle name="좋음 4" xfId="12391" hidden="1"/>
    <cellStyle name="좋음 4" xfId="12433" hidden="1"/>
    <cellStyle name="좋음 4" xfId="12475" hidden="1"/>
    <cellStyle name="좋음 4" xfId="12517" hidden="1"/>
    <cellStyle name="좋음 4" xfId="12559" hidden="1"/>
    <cellStyle name="좋음 4" xfId="12601" hidden="1"/>
    <cellStyle name="좋음 4" xfId="12643" hidden="1"/>
    <cellStyle name="좋음 4" xfId="12685" hidden="1"/>
    <cellStyle name="좋음 4" xfId="12727" hidden="1"/>
    <cellStyle name="좋음 4" xfId="12769" hidden="1"/>
    <cellStyle name="좋음 4" xfId="12263" hidden="1"/>
    <cellStyle name="좋음 4" xfId="12952" hidden="1"/>
    <cellStyle name="좋음 4" xfId="12992" hidden="1"/>
    <cellStyle name="좋음 4" xfId="13032" hidden="1"/>
    <cellStyle name="좋음 4" xfId="13072" hidden="1"/>
    <cellStyle name="좋음 4" xfId="13112" hidden="1"/>
    <cellStyle name="좋음 4" xfId="13152" hidden="1"/>
    <cellStyle name="좋음 4" xfId="13192" hidden="1"/>
    <cellStyle name="좋음 4" xfId="13232" hidden="1"/>
    <cellStyle name="좋음 4" xfId="13272" hidden="1"/>
    <cellStyle name="좋음 4" xfId="13312" hidden="1"/>
    <cellStyle name="좋음 4" xfId="13352" hidden="1"/>
    <cellStyle name="좋음 4" xfId="13392" hidden="1"/>
    <cellStyle name="좋음 4" xfId="12882" hidden="1"/>
    <cellStyle name="좋음 4" xfId="12843" hidden="1"/>
    <cellStyle name="좋음 4" xfId="13433" hidden="1"/>
    <cellStyle name="좋음 4" xfId="13475" hidden="1"/>
    <cellStyle name="좋음 4" xfId="13517" hidden="1"/>
    <cellStyle name="좋음 4" xfId="13559" hidden="1"/>
    <cellStyle name="좋음 4" xfId="13601" hidden="1"/>
    <cellStyle name="좋음 4" xfId="13643" hidden="1"/>
    <cellStyle name="좋음 4" xfId="13685" hidden="1"/>
    <cellStyle name="좋음 4" xfId="13727" hidden="1"/>
    <cellStyle name="좋음 4" xfId="13769" hidden="1"/>
    <cellStyle name="좋음 4" xfId="13811" hidden="1"/>
    <cellStyle name="좋음 4" xfId="12937" hidden="1"/>
    <cellStyle name="좋음 4" xfId="12894" hidden="1"/>
    <cellStyle name="좋음 4" xfId="13880" hidden="1"/>
    <cellStyle name="좋음 4" xfId="13920" hidden="1"/>
    <cellStyle name="좋음 4" xfId="13960" hidden="1"/>
    <cellStyle name="좋음 4" xfId="14000" hidden="1"/>
    <cellStyle name="좋음 4" xfId="14040" hidden="1"/>
    <cellStyle name="좋음 4" xfId="14080" hidden="1"/>
    <cellStyle name="좋음 4" xfId="14120" hidden="1"/>
    <cellStyle name="좋음 4" xfId="14160" hidden="1"/>
    <cellStyle name="좋음 4" xfId="14200" hidden="1"/>
    <cellStyle name="좋음 4" xfId="14240" hidden="1"/>
    <cellStyle name="좋음 4" xfId="14280" hidden="1"/>
    <cellStyle name="좋음 4" xfId="14386" hidden="1"/>
    <cellStyle name="좋음 4" xfId="14426" hidden="1"/>
    <cellStyle name="좋음 4" xfId="14466" hidden="1"/>
    <cellStyle name="좋음 4" xfId="14506" hidden="1"/>
    <cellStyle name="좋음 4" xfId="14546" hidden="1"/>
    <cellStyle name="좋음 4" xfId="14586" hidden="1"/>
    <cellStyle name="좋음 4" xfId="14626" hidden="1"/>
    <cellStyle name="좋음 4" xfId="14666" hidden="1"/>
    <cellStyle name="좋음 4" xfId="14706" hidden="1"/>
    <cellStyle name="좋음 4" xfId="14746" hidden="1"/>
    <cellStyle name="좋음 4" xfId="14786" hidden="1"/>
    <cellStyle name="좋음 4" xfId="14826" hidden="1"/>
    <cellStyle name="좋음 4" xfId="14910" hidden="1"/>
    <cellStyle name="좋음 4" xfId="14950" hidden="1"/>
    <cellStyle name="좋음 4" xfId="14992" hidden="1"/>
    <cellStyle name="좋음 4" xfId="15034" hidden="1"/>
    <cellStyle name="좋음 4" xfId="15076" hidden="1"/>
    <cellStyle name="좋음 4" xfId="15118" hidden="1"/>
    <cellStyle name="좋음 4" xfId="15160" hidden="1"/>
    <cellStyle name="좋음 4" xfId="15202" hidden="1"/>
    <cellStyle name="좋음 4" xfId="15244" hidden="1"/>
    <cellStyle name="좋음 4" xfId="15286" hidden="1"/>
    <cellStyle name="좋음 4" xfId="15328" hidden="1"/>
    <cellStyle name="좋음 4" xfId="15370" hidden="1"/>
    <cellStyle name="좋음 4" xfId="14866" hidden="1"/>
    <cellStyle name="좋음 4" xfId="15550" hidden="1"/>
    <cellStyle name="좋음 4" xfId="15590" hidden="1"/>
    <cellStyle name="좋음 4" xfId="15630" hidden="1"/>
    <cellStyle name="좋음 4" xfId="15670" hidden="1"/>
    <cellStyle name="좋음 4" xfId="15710" hidden="1"/>
    <cellStyle name="좋음 4" xfId="15750" hidden="1"/>
    <cellStyle name="좋음 4" xfId="15790" hidden="1"/>
    <cellStyle name="좋음 4" xfId="15830" hidden="1"/>
    <cellStyle name="좋음 4" xfId="15870" hidden="1"/>
    <cellStyle name="좋음 4" xfId="15910" hidden="1"/>
    <cellStyle name="좋음 4" xfId="15950" hidden="1"/>
    <cellStyle name="좋음 4" xfId="15990" hidden="1"/>
    <cellStyle name="좋음 4" xfId="15482" hidden="1"/>
    <cellStyle name="좋음 4" xfId="15443" hidden="1"/>
    <cellStyle name="좋음 4" xfId="16031" hidden="1"/>
    <cellStyle name="좋음 4" xfId="16073" hidden="1"/>
    <cellStyle name="좋음 4" xfId="16115" hidden="1"/>
    <cellStyle name="좋음 4" xfId="16157" hidden="1"/>
    <cellStyle name="좋음 4" xfId="16199" hidden="1"/>
    <cellStyle name="좋음 4" xfId="16241" hidden="1"/>
    <cellStyle name="좋음 4" xfId="16283" hidden="1"/>
    <cellStyle name="좋음 4" xfId="16325" hidden="1"/>
    <cellStyle name="좋음 4" xfId="16367" hidden="1"/>
    <cellStyle name="좋음 4" xfId="16409" hidden="1"/>
    <cellStyle name="좋음 4" xfId="15536" hidden="1"/>
    <cellStyle name="좋음 4" xfId="15493" hidden="1"/>
    <cellStyle name="좋음 4" xfId="16478" hidden="1"/>
    <cellStyle name="좋음 4" xfId="16518" hidden="1"/>
    <cellStyle name="좋음 4" xfId="16558" hidden="1"/>
    <cellStyle name="좋음 4" xfId="16598" hidden="1"/>
    <cellStyle name="좋음 4" xfId="16638" hidden="1"/>
    <cellStyle name="좋음 4" xfId="16678" hidden="1"/>
    <cellStyle name="좋음 4" xfId="16718" hidden="1"/>
    <cellStyle name="좋음 4" xfId="16758" hidden="1"/>
    <cellStyle name="좋음 4" xfId="16798" hidden="1"/>
    <cellStyle name="좋음 4" xfId="16838" hidden="1"/>
    <cellStyle name="좋음 4" xfId="16878" hidden="1"/>
    <cellStyle name="좋음 4" xfId="14339" hidden="1"/>
    <cellStyle name="좋음 4" xfId="16929" hidden="1"/>
    <cellStyle name="좋음 4" xfId="16970" hidden="1"/>
    <cellStyle name="좋음 4" xfId="17010" hidden="1"/>
    <cellStyle name="좋음 4" xfId="17050" hidden="1"/>
    <cellStyle name="좋음 4" xfId="17090" hidden="1"/>
    <cellStyle name="좋음 4" xfId="17130" hidden="1"/>
    <cellStyle name="좋음 4" xfId="17170" hidden="1"/>
    <cellStyle name="좋음 4" xfId="17210" hidden="1"/>
    <cellStyle name="좋음 4" xfId="17250" hidden="1"/>
    <cellStyle name="좋음 4" xfId="17290" hidden="1"/>
    <cellStyle name="좋음 4" xfId="17330" hidden="1"/>
    <cellStyle name="좋음 4" xfId="17414" hidden="1"/>
    <cellStyle name="좋음 4" xfId="17454" hidden="1"/>
    <cellStyle name="좋음 4" xfId="17496" hidden="1"/>
    <cellStyle name="좋음 4" xfId="17538" hidden="1"/>
    <cellStyle name="좋음 4" xfId="17580" hidden="1"/>
    <cellStyle name="좋음 4" xfId="17622" hidden="1"/>
    <cellStyle name="좋음 4" xfId="17664" hidden="1"/>
    <cellStyle name="좋음 4" xfId="17706" hidden="1"/>
    <cellStyle name="좋음 4" xfId="17748" hidden="1"/>
    <cellStyle name="좋음 4" xfId="17790" hidden="1"/>
    <cellStyle name="좋음 4" xfId="17832" hidden="1"/>
    <cellStyle name="좋음 4" xfId="17874" hidden="1"/>
    <cellStyle name="좋음 4" xfId="17370" hidden="1"/>
    <cellStyle name="좋음 4" xfId="18054" hidden="1"/>
    <cellStyle name="좋음 4" xfId="18094" hidden="1"/>
    <cellStyle name="좋음 4" xfId="18134" hidden="1"/>
    <cellStyle name="좋음 4" xfId="18174" hidden="1"/>
    <cellStyle name="좋음 4" xfId="18214" hidden="1"/>
    <cellStyle name="좋음 4" xfId="18254" hidden="1"/>
    <cellStyle name="좋음 4" xfId="18294" hidden="1"/>
    <cellStyle name="좋음 4" xfId="18334" hidden="1"/>
    <cellStyle name="좋음 4" xfId="18374" hidden="1"/>
    <cellStyle name="좋음 4" xfId="18414" hidden="1"/>
    <cellStyle name="좋음 4" xfId="18454" hidden="1"/>
    <cellStyle name="좋음 4" xfId="18494" hidden="1"/>
    <cellStyle name="좋음 4" xfId="17986" hidden="1"/>
    <cellStyle name="좋음 4" xfId="17947" hidden="1"/>
    <cellStyle name="좋음 4" xfId="18535" hidden="1"/>
    <cellStyle name="좋음 4" xfId="18577" hidden="1"/>
    <cellStyle name="좋음 4" xfId="18619" hidden="1"/>
    <cellStyle name="좋음 4" xfId="18661" hidden="1"/>
    <cellStyle name="좋음 4" xfId="18703" hidden="1"/>
    <cellStyle name="좋음 4" xfId="18745" hidden="1"/>
    <cellStyle name="좋음 4" xfId="18787" hidden="1"/>
    <cellStyle name="좋음 4" xfId="18829" hidden="1"/>
    <cellStyle name="좋음 4" xfId="18871" hidden="1"/>
    <cellStyle name="좋음 4" xfId="18913" hidden="1"/>
    <cellStyle name="좋음 4" xfId="18040" hidden="1"/>
    <cellStyle name="좋음 4" xfId="17997" hidden="1"/>
    <cellStyle name="좋음 4" xfId="18982" hidden="1"/>
    <cellStyle name="좋음 4" xfId="19022" hidden="1"/>
    <cellStyle name="좋음 4" xfId="19062" hidden="1"/>
    <cellStyle name="좋음 4" xfId="19102" hidden="1"/>
    <cellStyle name="좋음 4" xfId="19142" hidden="1"/>
    <cellStyle name="좋음 4" xfId="19182" hidden="1"/>
    <cellStyle name="좋음 4" xfId="19222" hidden="1"/>
    <cellStyle name="좋음 4" xfId="19262" hidden="1"/>
    <cellStyle name="좋음 4" xfId="19302" hidden="1"/>
    <cellStyle name="좋음 4" xfId="19342" hidden="1"/>
    <cellStyle name="좋음 4" xfId="19382" hidden="1"/>
    <cellStyle name="좋음 4" xfId="14367" hidden="1"/>
    <cellStyle name="좋음 4" xfId="19432" hidden="1"/>
    <cellStyle name="좋음 4" xfId="19472" hidden="1"/>
    <cellStyle name="좋음 4" xfId="19512" hidden="1"/>
    <cellStyle name="좋음 4" xfId="19552" hidden="1"/>
    <cellStyle name="좋음 4" xfId="19592" hidden="1"/>
    <cellStyle name="좋음 4" xfId="19632" hidden="1"/>
    <cellStyle name="좋음 4" xfId="19672" hidden="1"/>
    <cellStyle name="좋음 4" xfId="19712" hidden="1"/>
    <cellStyle name="좋음 4" xfId="19752" hidden="1"/>
    <cellStyle name="좋음 4" xfId="19792" hidden="1"/>
    <cellStyle name="좋음 4" xfId="19832" hidden="1"/>
    <cellStyle name="좋음 4" xfId="19916" hidden="1"/>
    <cellStyle name="좋음 4" xfId="19956" hidden="1"/>
    <cellStyle name="좋음 4" xfId="19998" hidden="1"/>
    <cellStyle name="좋음 4" xfId="20040" hidden="1"/>
    <cellStyle name="좋음 4" xfId="20082" hidden="1"/>
    <cellStyle name="좋음 4" xfId="20124" hidden="1"/>
    <cellStyle name="좋음 4" xfId="20166" hidden="1"/>
    <cellStyle name="좋음 4" xfId="20208" hidden="1"/>
    <cellStyle name="좋음 4" xfId="20250" hidden="1"/>
    <cellStyle name="좋음 4" xfId="20292" hidden="1"/>
    <cellStyle name="좋음 4" xfId="20334" hidden="1"/>
    <cellStyle name="좋음 4" xfId="20376" hidden="1"/>
    <cellStyle name="좋음 4" xfId="19872" hidden="1"/>
    <cellStyle name="좋음 4" xfId="20556" hidden="1"/>
    <cellStyle name="좋음 4" xfId="20596" hidden="1"/>
    <cellStyle name="좋음 4" xfId="20636" hidden="1"/>
    <cellStyle name="좋음 4" xfId="20676" hidden="1"/>
    <cellStyle name="좋음 4" xfId="20716" hidden="1"/>
    <cellStyle name="좋음 4" xfId="20756" hidden="1"/>
    <cellStyle name="좋음 4" xfId="20796" hidden="1"/>
    <cellStyle name="좋음 4" xfId="20836" hidden="1"/>
    <cellStyle name="좋음 4" xfId="20876" hidden="1"/>
    <cellStyle name="좋음 4" xfId="20916" hidden="1"/>
    <cellStyle name="좋음 4" xfId="20956" hidden="1"/>
    <cellStyle name="좋음 4" xfId="20996" hidden="1"/>
    <cellStyle name="좋음 4" xfId="20488" hidden="1"/>
    <cellStyle name="좋음 4" xfId="20449" hidden="1"/>
    <cellStyle name="좋음 4" xfId="21037" hidden="1"/>
    <cellStyle name="좋음 4" xfId="21079" hidden="1"/>
    <cellStyle name="좋음 4" xfId="21121" hidden="1"/>
    <cellStyle name="좋음 4" xfId="21163" hidden="1"/>
    <cellStyle name="좋음 4" xfId="21205" hidden="1"/>
    <cellStyle name="좋음 4" xfId="21247" hidden="1"/>
    <cellStyle name="좋음 4" xfId="21289" hidden="1"/>
    <cellStyle name="좋음 4" xfId="21331" hidden="1"/>
    <cellStyle name="좋음 4" xfId="21373" hidden="1"/>
    <cellStyle name="좋음 4" xfId="21415" hidden="1"/>
    <cellStyle name="좋음 4" xfId="20542" hidden="1"/>
    <cellStyle name="좋음 4" xfId="20499" hidden="1"/>
    <cellStyle name="좋음 4" xfId="21484" hidden="1"/>
    <cellStyle name="좋음 4" xfId="21524" hidden="1"/>
    <cellStyle name="좋음 4" xfId="21564" hidden="1"/>
    <cellStyle name="좋음 4" xfId="21604" hidden="1"/>
    <cellStyle name="좋음 4" xfId="21644" hidden="1"/>
    <cellStyle name="좋음 4" xfId="21684" hidden="1"/>
    <cellStyle name="좋음 4" xfId="21724" hidden="1"/>
    <cellStyle name="좋음 4" xfId="21764" hidden="1"/>
    <cellStyle name="좋음 4" xfId="21804" hidden="1"/>
    <cellStyle name="좋음 4" xfId="21844" hidden="1"/>
    <cellStyle name="좋음 4" xfId="21884" hidden="1"/>
    <cellStyle name="좋음 4" xfId="21952" hidden="1"/>
    <cellStyle name="좋음 4" xfId="21992" hidden="1"/>
    <cellStyle name="좋음 4" xfId="22032" hidden="1"/>
    <cellStyle name="좋음 4" xfId="22072" hidden="1"/>
    <cellStyle name="좋음 4" xfId="22112" hidden="1"/>
    <cellStyle name="좋음 4" xfId="22152" hidden="1"/>
    <cellStyle name="좋음 4" xfId="22192" hidden="1"/>
    <cellStyle name="좋음 4" xfId="22232" hidden="1"/>
    <cellStyle name="좋음 4" xfId="22272" hidden="1"/>
    <cellStyle name="좋음 4" xfId="22312" hidden="1"/>
    <cellStyle name="좋음 4" xfId="22352" hidden="1"/>
    <cellStyle name="좋음 4" xfId="22392" hidden="1"/>
    <cellStyle name="좋음 4" xfId="22476" hidden="1"/>
    <cellStyle name="좋음 4" xfId="22516" hidden="1"/>
    <cellStyle name="좋음 4" xfId="22558" hidden="1"/>
    <cellStyle name="좋음 4" xfId="22600" hidden="1"/>
    <cellStyle name="좋음 4" xfId="22642" hidden="1"/>
    <cellStyle name="좋음 4" xfId="22684" hidden="1"/>
    <cellStyle name="좋음 4" xfId="22726" hidden="1"/>
    <cellStyle name="좋음 4" xfId="22768" hidden="1"/>
    <cellStyle name="좋음 4" xfId="22810" hidden="1"/>
    <cellStyle name="좋음 4" xfId="22852" hidden="1"/>
    <cellStyle name="좋음 4" xfId="22894" hidden="1"/>
    <cellStyle name="좋음 4" xfId="22936" hidden="1"/>
    <cellStyle name="좋음 4" xfId="22432" hidden="1"/>
    <cellStyle name="좋음 4" xfId="23116" hidden="1"/>
    <cellStyle name="좋음 4" xfId="23156" hidden="1"/>
    <cellStyle name="좋음 4" xfId="23196" hidden="1"/>
    <cellStyle name="좋음 4" xfId="23236" hidden="1"/>
    <cellStyle name="좋음 4" xfId="23276" hidden="1"/>
    <cellStyle name="좋음 4" xfId="23316" hidden="1"/>
    <cellStyle name="좋음 4" xfId="23356" hidden="1"/>
    <cellStyle name="좋음 4" xfId="23396" hidden="1"/>
    <cellStyle name="좋음 4" xfId="23436" hidden="1"/>
    <cellStyle name="좋음 4" xfId="23476" hidden="1"/>
    <cellStyle name="좋음 4" xfId="23516" hidden="1"/>
    <cellStyle name="좋음 4" xfId="23556" hidden="1"/>
    <cellStyle name="좋음 4" xfId="23048" hidden="1"/>
    <cellStyle name="좋음 4" xfId="23009" hidden="1"/>
    <cellStyle name="좋음 4" xfId="23597" hidden="1"/>
    <cellStyle name="좋음 4" xfId="23639" hidden="1"/>
    <cellStyle name="좋음 4" xfId="23681" hidden="1"/>
    <cellStyle name="좋음 4" xfId="23723" hidden="1"/>
    <cellStyle name="좋음 4" xfId="23765" hidden="1"/>
    <cellStyle name="좋음 4" xfId="23807" hidden="1"/>
    <cellStyle name="좋음 4" xfId="23849" hidden="1"/>
    <cellStyle name="좋음 4" xfId="23891" hidden="1"/>
    <cellStyle name="좋음 4" xfId="23933" hidden="1"/>
    <cellStyle name="좋음 4" xfId="23975" hidden="1"/>
    <cellStyle name="좋음 4" xfId="23102" hidden="1"/>
    <cellStyle name="좋음 4" xfId="23059" hidden="1"/>
    <cellStyle name="좋음 4" xfId="24044" hidden="1"/>
    <cellStyle name="좋음 4" xfId="24084" hidden="1"/>
    <cellStyle name="좋음 4" xfId="24124" hidden="1"/>
    <cellStyle name="좋음 4" xfId="24164" hidden="1"/>
    <cellStyle name="좋음 4" xfId="24204" hidden="1"/>
    <cellStyle name="좋음 4" xfId="24244" hidden="1"/>
    <cellStyle name="좋음 4" xfId="24284" hidden="1"/>
    <cellStyle name="좋음 4" xfId="24324" hidden="1"/>
    <cellStyle name="좋음 4" xfId="24364" hidden="1"/>
    <cellStyle name="좋음 4" xfId="24404" hidden="1"/>
    <cellStyle name="좋음 4" xfId="24444" hidden="1"/>
    <cellStyle name="좋음 4" xfId="24542" hidden="1"/>
    <cellStyle name="좋음 4" xfId="24582" hidden="1"/>
    <cellStyle name="좋음 4" xfId="24623" hidden="1"/>
    <cellStyle name="좋음 4" xfId="24665" hidden="1"/>
    <cellStyle name="좋음 4" xfId="24705" hidden="1"/>
    <cellStyle name="좋음 4" xfId="24745" hidden="1"/>
    <cellStyle name="좋음 4" xfId="24785" hidden="1"/>
    <cellStyle name="좋음 4" xfId="24825" hidden="1"/>
    <cellStyle name="좋음 4" xfId="24865" hidden="1"/>
    <cellStyle name="좋음 4" xfId="24905" hidden="1"/>
    <cellStyle name="좋음 4" xfId="24945" hidden="1"/>
    <cellStyle name="좋음 4" xfId="24985" hidden="1"/>
    <cellStyle name="좋음 4" xfId="25069" hidden="1"/>
    <cellStyle name="좋음 4" xfId="25109" hidden="1"/>
    <cellStyle name="좋음 4" xfId="25151" hidden="1"/>
    <cellStyle name="좋음 4" xfId="25193" hidden="1"/>
    <cellStyle name="좋음 4" xfId="25235" hidden="1"/>
    <cellStyle name="좋음 4" xfId="25277" hidden="1"/>
    <cellStyle name="좋음 4" xfId="25319" hidden="1"/>
    <cellStyle name="좋음 4" xfId="25361" hidden="1"/>
    <cellStyle name="좋음 4" xfId="25403" hidden="1"/>
    <cellStyle name="좋음 4" xfId="25445" hidden="1"/>
    <cellStyle name="좋음 4" xfId="25487" hidden="1"/>
    <cellStyle name="좋음 4" xfId="25529" hidden="1"/>
    <cellStyle name="좋음 4" xfId="25025" hidden="1"/>
    <cellStyle name="좋음 4" xfId="25709" hidden="1"/>
    <cellStyle name="좋음 4" xfId="25749" hidden="1"/>
    <cellStyle name="좋음 4" xfId="25789" hidden="1"/>
    <cellStyle name="좋음 4" xfId="25829" hidden="1"/>
    <cellStyle name="좋음 4" xfId="25869" hidden="1"/>
    <cellStyle name="좋음 4" xfId="25909" hidden="1"/>
    <cellStyle name="좋음 4" xfId="25949" hidden="1"/>
    <cellStyle name="좋음 4" xfId="25989" hidden="1"/>
    <cellStyle name="좋음 4" xfId="26029" hidden="1"/>
    <cellStyle name="좋음 4" xfId="26069" hidden="1"/>
    <cellStyle name="좋음 4" xfId="26109" hidden="1"/>
    <cellStyle name="좋음 4" xfId="26149" hidden="1"/>
    <cellStyle name="좋음 4" xfId="25641" hidden="1"/>
    <cellStyle name="좋음 4" xfId="25602" hidden="1"/>
    <cellStyle name="좋음 4" xfId="26190" hidden="1"/>
    <cellStyle name="좋음 4" xfId="26232" hidden="1"/>
    <cellStyle name="좋음 4" xfId="26274" hidden="1"/>
    <cellStyle name="좋음 4" xfId="26316" hidden="1"/>
    <cellStyle name="좋음 4" xfId="26358" hidden="1"/>
    <cellStyle name="좋음 4" xfId="26400" hidden="1"/>
    <cellStyle name="좋음 4" xfId="26442" hidden="1"/>
    <cellStyle name="좋음 4" xfId="26484" hidden="1"/>
    <cellStyle name="좋음 4" xfId="26526" hidden="1"/>
    <cellStyle name="좋음 4" xfId="26568" hidden="1"/>
    <cellStyle name="좋음 4" xfId="25695" hidden="1"/>
    <cellStyle name="좋음 4" xfId="25652" hidden="1"/>
    <cellStyle name="좋음 4" xfId="26637" hidden="1"/>
    <cellStyle name="좋음 4" xfId="26677" hidden="1"/>
    <cellStyle name="좋음 4" xfId="26717" hidden="1"/>
    <cellStyle name="좋음 4" xfId="26757" hidden="1"/>
    <cellStyle name="좋음 4" xfId="26797" hidden="1"/>
    <cellStyle name="좋음 4" xfId="26837" hidden="1"/>
    <cellStyle name="좋음 4" xfId="26877" hidden="1"/>
    <cellStyle name="좋음 4" xfId="26917" hidden="1"/>
    <cellStyle name="좋음 4" xfId="26957" hidden="1"/>
    <cellStyle name="좋음 4" xfId="26997" hidden="1"/>
    <cellStyle name="좋음 4" xfId="27037" hidden="1"/>
    <cellStyle name="좋음 4" xfId="24501" hidden="1"/>
    <cellStyle name="좋음 4" xfId="27088" hidden="1"/>
    <cellStyle name="좋음 4" xfId="27128" hidden="1"/>
    <cellStyle name="좋음 4" xfId="27168" hidden="1"/>
    <cellStyle name="좋음 4" xfId="27208" hidden="1"/>
    <cellStyle name="좋음 4" xfId="27248" hidden="1"/>
    <cellStyle name="좋음 4" xfId="27288" hidden="1"/>
    <cellStyle name="좋음 4" xfId="27328" hidden="1"/>
    <cellStyle name="좋음 4" xfId="27368" hidden="1"/>
    <cellStyle name="좋음 4" xfId="27408" hidden="1"/>
    <cellStyle name="좋음 4" xfId="27448" hidden="1"/>
    <cellStyle name="좋음 4" xfId="27488" hidden="1"/>
    <cellStyle name="좋음 4" xfId="27572" hidden="1"/>
    <cellStyle name="좋음 4" xfId="27612" hidden="1"/>
    <cellStyle name="좋음 4" xfId="27654" hidden="1"/>
    <cellStyle name="좋음 4" xfId="27696" hidden="1"/>
    <cellStyle name="좋음 4" xfId="27738" hidden="1"/>
    <cellStyle name="좋음 4" xfId="27780" hidden="1"/>
    <cellStyle name="좋음 4" xfId="27822" hidden="1"/>
    <cellStyle name="좋음 4" xfId="27864" hidden="1"/>
    <cellStyle name="좋음 4" xfId="27906" hidden="1"/>
    <cellStyle name="좋음 4" xfId="27948" hidden="1"/>
    <cellStyle name="좋음 4" xfId="27990" hidden="1"/>
    <cellStyle name="좋음 4" xfId="28032" hidden="1"/>
    <cellStyle name="좋음 4" xfId="27528" hidden="1"/>
    <cellStyle name="좋음 4" xfId="28212" hidden="1"/>
    <cellStyle name="좋음 4" xfId="28252" hidden="1"/>
    <cellStyle name="좋음 4" xfId="28292" hidden="1"/>
    <cellStyle name="좋음 4" xfId="28332" hidden="1"/>
    <cellStyle name="좋음 4" xfId="28372" hidden="1"/>
    <cellStyle name="좋음 4" xfId="28412" hidden="1"/>
    <cellStyle name="좋음 4" xfId="28452" hidden="1"/>
    <cellStyle name="좋음 4" xfId="28492" hidden="1"/>
    <cellStyle name="좋음 4" xfId="28532" hidden="1"/>
    <cellStyle name="좋음 4" xfId="28572" hidden="1"/>
    <cellStyle name="좋음 4" xfId="28612" hidden="1"/>
    <cellStyle name="좋음 4" xfId="28652" hidden="1"/>
    <cellStyle name="좋음 4" xfId="28144" hidden="1"/>
    <cellStyle name="좋음 4" xfId="28105" hidden="1"/>
    <cellStyle name="좋음 4" xfId="28693" hidden="1"/>
    <cellStyle name="좋음 4" xfId="28735" hidden="1"/>
    <cellStyle name="좋음 4" xfId="28777" hidden="1"/>
    <cellStyle name="좋음 4" xfId="28819" hidden="1"/>
    <cellStyle name="좋음 4" xfId="28861" hidden="1"/>
    <cellStyle name="좋음 4" xfId="28903" hidden="1"/>
    <cellStyle name="좋음 4" xfId="28945" hidden="1"/>
    <cellStyle name="좋음 4" xfId="28987" hidden="1"/>
    <cellStyle name="좋음 4" xfId="29029" hidden="1"/>
    <cellStyle name="좋음 4" xfId="29071" hidden="1"/>
    <cellStyle name="좋음 4" xfId="28198" hidden="1"/>
    <cellStyle name="좋음 4" xfId="28155" hidden="1"/>
    <cellStyle name="좋음 4" xfId="29140" hidden="1"/>
    <cellStyle name="좋음 4" xfId="29180" hidden="1"/>
    <cellStyle name="좋음 4" xfId="29220" hidden="1"/>
    <cellStyle name="좋음 4" xfId="29260" hidden="1"/>
    <cellStyle name="좋음 4" xfId="29300" hidden="1"/>
    <cellStyle name="좋음 4" xfId="29340" hidden="1"/>
    <cellStyle name="좋음 4" xfId="29380" hidden="1"/>
    <cellStyle name="좋음 4" xfId="29420" hidden="1"/>
    <cellStyle name="좋음 4" xfId="29460" hidden="1"/>
    <cellStyle name="좋음 4" xfId="29500" hidden="1"/>
    <cellStyle name="좋음 4" xfId="29540" hidden="1"/>
    <cellStyle name="좋음 4" xfId="24525" hidden="1"/>
    <cellStyle name="좋음 4" xfId="29590" hidden="1"/>
    <cellStyle name="좋음 4" xfId="29630" hidden="1"/>
    <cellStyle name="좋음 4" xfId="29670" hidden="1"/>
    <cellStyle name="좋음 4" xfId="29710" hidden="1"/>
    <cellStyle name="좋음 4" xfId="29750" hidden="1"/>
    <cellStyle name="좋음 4" xfId="29790" hidden="1"/>
    <cellStyle name="좋음 4" xfId="29830" hidden="1"/>
    <cellStyle name="좋음 4" xfId="29870" hidden="1"/>
    <cellStyle name="좋음 4" xfId="29910" hidden="1"/>
    <cellStyle name="좋음 4" xfId="29950" hidden="1"/>
    <cellStyle name="좋음 4" xfId="29990" hidden="1"/>
    <cellStyle name="좋음 4" xfId="30074" hidden="1"/>
    <cellStyle name="좋음 4" xfId="30114" hidden="1"/>
    <cellStyle name="좋음 4" xfId="30156" hidden="1"/>
    <cellStyle name="좋음 4" xfId="30198" hidden="1"/>
    <cellStyle name="좋음 4" xfId="30240" hidden="1"/>
    <cellStyle name="좋음 4" xfId="30282" hidden="1"/>
    <cellStyle name="좋음 4" xfId="30324" hidden="1"/>
    <cellStyle name="좋음 4" xfId="30366" hidden="1"/>
    <cellStyle name="좋음 4" xfId="30408" hidden="1"/>
    <cellStyle name="좋음 4" xfId="30450" hidden="1"/>
    <cellStyle name="좋음 4" xfId="30492" hidden="1"/>
    <cellStyle name="좋음 4" xfId="30534" hidden="1"/>
    <cellStyle name="좋음 4" xfId="30030" hidden="1"/>
    <cellStyle name="좋음 4" xfId="30714" hidden="1"/>
    <cellStyle name="좋음 4" xfId="30754" hidden="1"/>
    <cellStyle name="좋음 4" xfId="30794" hidden="1"/>
    <cellStyle name="좋음 4" xfId="30834" hidden="1"/>
    <cellStyle name="좋음 4" xfId="30874" hidden="1"/>
    <cellStyle name="좋음 4" xfId="30914" hidden="1"/>
    <cellStyle name="좋음 4" xfId="30954" hidden="1"/>
    <cellStyle name="좋음 4" xfId="30994" hidden="1"/>
    <cellStyle name="좋음 4" xfId="31034" hidden="1"/>
    <cellStyle name="좋음 4" xfId="31074" hidden="1"/>
    <cellStyle name="좋음 4" xfId="31114" hidden="1"/>
    <cellStyle name="좋음 4" xfId="31154" hidden="1"/>
    <cellStyle name="좋음 4" xfId="30646" hidden="1"/>
    <cellStyle name="좋음 4" xfId="30607" hidden="1"/>
    <cellStyle name="좋음 4" xfId="31195" hidden="1"/>
    <cellStyle name="좋음 4" xfId="31237" hidden="1"/>
    <cellStyle name="좋음 4" xfId="31279" hidden="1"/>
    <cellStyle name="좋음 4" xfId="31321" hidden="1"/>
    <cellStyle name="좋음 4" xfId="31363" hidden="1"/>
    <cellStyle name="좋음 4" xfId="31405" hidden="1"/>
    <cellStyle name="좋음 4" xfId="31447" hidden="1"/>
    <cellStyle name="좋음 4" xfId="31489" hidden="1"/>
    <cellStyle name="좋음 4" xfId="31531" hidden="1"/>
    <cellStyle name="좋음 4" xfId="31573" hidden="1"/>
    <cellStyle name="좋음 4" xfId="30700" hidden="1"/>
    <cellStyle name="좋음 4" xfId="30657" hidden="1"/>
    <cellStyle name="좋음 4" xfId="31642" hidden="1"/>
    <cellStyle name="좋음 4" xfId="31682" hidden="1"/>
    <cellStyle name="좋음 4" xfId="31722" hidden="1"/>
    <cellStyle name="좋음 4" xfId="31762" hidden="1"/>
    <cellStyle name="좋음 4" xfId="31802" hidden="1"/>
    <cellStyle name="좋음 4" xfId="31842" hidden="1"/>
    <cellStyle name="좋음 4" xfId="31882" hidden="1"/>
    <cellStyle name="좋음 4" xfId="31922" hidden="1"/>
    <cellStyle name="좋음 4" xfId="31962" hidden="1"/>
    <cellStyle name="좋음 4" xfId="32002" hidden="1"/>
    <cellStyle name="좋음 4" xfId="32042" hidden="1"/>
    <cellStyle name="좋음 4" xfId="32104" hidden="1"/>
    <cellStyle name="좋음 4" xfId="32144" hidden="1"/>
    <cellStyle name="좋음 4" xfId="32184" hidden="1"/>
    <cellStyle name="좋음 4" xfId="32224" hidden="1"/>
    <cellStyle name="좋음 4" xfId="32264" hidden="1"/>
    <cellStyle name="좋음 4" xfId="32304" hidden="1"/>
    <cellStyle name="좋음 4" xfId="32344" hidden="1"/>
    <cellStyle name="좋음 4" xfId="32384" hidden="1"/>
    <cellStyle name="좋음 4" xfId="32424" hidden="1"/>
    <cellStyle name="좋음 4" xfId="32464" hidden="1"/>
    <cellStyle name="좋음 4" xfId="32504" hidden="1"/>
    <cellStyle name="좋음 4" xfId="32544" hidden="1"/>
    <cellStyle name="좋음 4" xfId="32629" hidden="1"/>
    <cellStyle name="좋음 4" xfId="32669" hidden="1"/>
    <cellStyle name="좋음 4" xfId="32711" hidden="1"/>
    <cellStyle name="좋음 4" xfId="32753" hidden="1"/>
    <cellStyle name="좋음 4" xfId="32795" hidden="1"/>
    <cellStyle name="좋음 4" xfId="32837" hidden="1"/>
    <cellStyle name="좋음 4" xfId="32879" hidden="1"/>
    <cellStyle name="좋음 4" xfId="32921" hidden="1"/>
    <cellStyle name="좋음 4" xfId="32963" hidden="1"/>
    <cellStyle name="좋음 4" xfId="33005" hidden="1"/>
    <cellStyle name="좋음 4" xfId="33047" hidden="1"/>
    <cellStyle name="좋음 4" xfId="33089" hidden="1"/>
    <cellStyle name="좋음 4" xfId="32585" hidden="1"/>
    <cellStyle name="좋음 4" xfId="33269" hidden="1"/>
    <cellStyle name="좋음 4" xfId="33309" hidden="1"/>
    <cellStyle name="좋음 4" xfId="33349" hidden="1"/>
    <cellStyle name="좋음 4" xfId="33389" hidden="1"/>
    <cellStyle name="좋음 4" xfId="33429" hidden="1"/>
    <cellStyle name="좋음 4" xfId="33469" hidden="1"/>
    <cellStyle name="좋음 4" xfId="33509" hidden="1"/>
    <cellStyle name="좋음 4" xfId="33549" hidden="1"/>
    <cellStyle name="좋음 4" xfId="33589" hidden="1"/>
    <cellStyle name="좋음 4" xfId="33629" hidden="1"/>
    <cellStyle name="좋음 4" xfId="33669" hidden="1"/>
    <cellStyle name="좋음 4" xfId="33709" hidden="1"/>
    <cellStyle name="좋음 4" xfId="33201" hidden="1"/>
    <cellStyle name="좋음 4" xfId="33162" hidden="1"/>
    <cellStyle name="좋음 4" xfId="33750" hidden="1"/>
    <cellStyle name="좋음 4" xfId="33792" hidden="1"/>
    <cellStyle name="좋음 4" xfId="33834" hidden="1"/>
    <cellStyle name="좋음 4" xfId="33876" hidden="1"/>
    <cellStyle name="좋음 4" xfId="33918" hidden="1"/>
    <cellStyle name="좋음 4" xfId="33960" hidden="1"/>
    <cellStyle name="좋음 4" xfId="34002" hidden="1"/>
    <cellStyle name="좋음 4" xfId="34044" hidden="1"/>
    <cellStyle name="좋음 4" xfId="34086" hidden="1"/>
    <cellStyle name="좋음 4" xfId="34128" hidden="1"/>
    <cellStyle name="좋음 4" xfId="33255" hidden="1"/>
    <cellStyle name="좋음 4" xfId="33212" hidden="1"/>
    <cellStyle name="좋음 4" xfId="34197" hidden="1"/>
    <cellStyle name="좋음 4" xfId="34237" hidden="1"/>
    <cellStyle name="좋음 4" xfId="34277" hidden="1"/>
    <cellStyle name="좋음 4" xfId="34317" hidden="1"/>
    <cellStyle name="좋음 4" xfId="34357" hidden="1"/>
    <cellStyle name="좋음 4" xfId="34397" hidden="1"/>
    <cellStyle name="좋음 4" xfId="34437" hidden="1"/>
    <cellStyle name="좋음 4" xfId="34477" hidden="1"/>
    <cellStyle name="좋음 4" xfId="34517" hidden="1"/>
    <cellStyle name="좋음 4" xfId="34557" hidden="1"/>
    <cellStyle name="좋음 4" xfId="34597" hidden="1"/>
    <cellStyle name="좋음 4" xfId="34694" hidden="1"/>
    <cellStyle name="좋음 4" xfId="34734" hidden="1"/>
    <cellStyle name="좋음 4" xfId="34774" hidden="1"/>
    <cellStyle name="좋음 4" xfId="34814" hidden="1"/>
    <cellStyle name="좋음 4" xfId="34854" hidden="1"/>
    <cellStyle name="좋음 4" xfId="34894" hidden="1"/>
    <cellStyle name="좋음 4" xfId="34934" hidden="1"/>
    <cellStyle name="좋음 4" xfId="34974" hidden="1"/>
    <cellStyle name="좋음 4" xfId="35014" hidden="1"/>
    <cellStyle name="좋음 4" xfId="35054" hidden="1"/>
    <cellStyle name="좋음 4" xfId="35094" hidden="1"/>
    <cellStyle name="좋음 4" xfId="35134" hidden="1"/>
    <cellStyle name="좋음 4" xfId="35218" hidden="1"/>
    <cellStyle name="좋음 4" xfId="35258" hidden="1"/>
    <cellStyle name="좋음 4" xfId="35300" hidden="1"/>
    <cellStyle name="좋음 4" xfId="35342" hidden="1"/>
    <cellStyle name="좋음 4" xfId="35384" hidden="1"/>
    <cellStyle name="좋음 4" xfId="35426" hidden="1"/>
    <cellStyle name="좋음 4" xfId="35468" hidden="1"/>
    <cellStyle name="좋음 4" xfId="35510" hidden="1"/>
    <cellStyle name="좋음 4" xfId="35552" hidden="1"/>
    <cellStyle name="좋음 4" xfId="35594" hidden="1"/>
    <cellStyle name="좋음 4" xfId="35636" hidden="1"/>
    <cellStyle name="좋음 4" xfId="35678" hidden="1"/>
    <cellStyle name="좋음 4" xfId="35174" hidden="1"/>
    <cellStyle name="좋음 4" xfId="35858" hidden="1"/>
    <cellStyle name="좋음 4" xfId="35898" hidden="1"/>
    <cellStyle name="좋음 4" xfId="35938" hidden="1"/>
    <cellStyle name="좋음 4" xfId="35978" hidden="1"/>
    <cellStyle name="좋음 4" xfId="36018" hidden="1"/>
    <cellStyle name="좋음 4" xfId="36058" hidden="1"/>
    <cellStyle name="좋음 4" xfId="36098" hidden="1"/>
    <cellStyle name="좋음 4" xfId="36138" hidden="1"/>
    <cellStyle name="좋음 4" xfId="36178" hidden="1"/>
    <cellStyle name="좋음 4" xfId="36218" hidden="1"/>
    <cellStyle name="좋음 4" xfId="36258" hidden="1"/>
    <cellStyle name="좋음 4" xfId="36298" hidden="1"/>
    <cellStyle name="좋음 4" xfId="35790" hidden="1"/>
    <cellStyle name="좋음 4" xfId="35751" hidden="1"/>
    <cellStyle name="좋음 4" xfId="36339" hidden="1"/>
    <cellStyle name="좋음 4" xfId="36381" hidden="1"/>
    <cellStyle name="좋음 4" xfId="36423" hidden="1"/>
    <cellStyle name="좋음 4" xfId="36465" hidden="1"/>
    <cellStyle name="좋음 4" xfId="36507" hidden="1"/>
    <cellStyle name="좋음 4" xfId="36549" hidden="1"/>
    <cellStyle name="좋음 4" xfId="36591" hidden="1"/>
    <cellStyle name="좋음 4" xfId="36633" hidden="1"/>
    <cellStyle name="좋음 4" xfId="36675" hidden="1"/>
    <cellStyle name="좋음 4" xfId="36717" hidden="1"/>
    <cellStyle name="좋음 4" xfId="35844" hidden="1"/>
    <cellStyle name="좋음 4" xfId="35801" hidden="1"/>
    <cellStyle name="좋음 4" xfId="36786" hidden="1"/>
    <cellStyle name="좋음 4" xfId="36826" hidden="1"/>
    <cellStyle name="좋음 4" xfId="36866" hidden="1"/>
    <cellStyle name="좋음 4" xfId="36906" hidden="1"/>
    <cellStyle name="좋음 4" xfId="36946" hidden="1"/>
    <cellStyle name="좋음 4" xfId="36986" hidden="1"/>
    <cellStyle name="좋음 4" xfId="37026" hidden="1"/>
    <cellStyle name="좋음 4" xfId="37066" hidden="1"/>
    <cellStyle name="좋음 4" xfId="37106" hidden="1"/>
    <cellStyle name="좋음 4" xfId="37146" hidden="1"/>
    <cellStyle name="좋음 4" xfId="37186" hidden="1"/>
    <cellStyle name="좋음 4" xfId="34653" hidden="1"/>
    <cellStyle name="좋음 4" xfId="37237" hidden="1"/>
    <cellStyle name="좋음 4" xfId="37278" hidden="1"/>
    <cellStyle name="좋음 4" xfId="37318" hidden="1"/>
    <cellStyle name="좋음 4" xfId="37358" hidden="1"/>
    <cellStyle name="좋음 4" xfId="37398" hidden="1"/>
    <cellStyle name="좋음 4" xfId="37438" hidden="1"/>
    <cellStyle name="좋음 4" xfId="37478" hidden="1"/>
    <cellStyle name="좋음 4" xfId="37518" hidden="1"/>
    <cellStyle name="좋음 4" xfId="37558" hidden="1"/>
    <cellStyle name="좋음 4" xfId="37598" hidden="1"/>
    <cellStyle name="좋음 4" xfId="37638" hidden="1"/>
    <cellStyle name="좋음 4" xfId="37722" hidden="1"/>
    <cellStyle name="좋음 4" xfId="37762" hidden="1"/>
    <cellStyle name="좋음 4" xfId="37804" hidden="1"/>
    <cellStyle name="좋음 4" xfId="37846" hidden="1"/>
    <cellStyle name="좋음 4" xfId="37888" hidden="1"/>
    <cellStyle name="좋음 4" xfId="37930" hidden="1"/>
    <cellStyle name="좋음 4" xfId="37972" hidden="1"/>
    <cellStyle name="좋음 4" xfId="38014" hidden="1"/>
    <cellStyle name="좋음 4" xfId="38056" hidden="1"/>
    <cellStyle name="좋음 4" xfId="38098" hidden="1"/>
    <cellStyle name="좋음 4" xfId="38140" hidden="1"/>
    <cellStyle name="좋음 4" xfId="38182" hidden="1"/>
    <cellStyle name="좋음 4" xfId="37678" hidden="1"/>
    <cellStyle name="좋음 4" xfId="38362" hidden="1"/>
    <cellStyle name="좋음 4" xfId="38402" hidden="1"/>
    <cellStyle name="좋음 4" xfId="38442" hidden="1"/>
    <cellStyle name="좋음 4" xfId="38482" hidden="1"/>
    <cellStyle name="좋음 4" xfId="38522" hidden="1"/>
    <cellStyle name="좋음 4" xfId="38562" hidden="1"/>
    <cellStyle name="좋음 4" xfId="38602" hidden="1"/>
    <cellStyle name="좋음 4" xfId="38642" hidden="1"/>
    <cellStyle name="좋음 4" xfId="38682" hidden="1"/>
    <cellStyle name="좋음 4" xfId="38722" hidden="1"/>
    <cellStyle name="좋음 4" xfId="38762" hidden="1"/>
    <cellStyle name="좋음 4" xfId="38802" hidden="1"/>
    <cellStyle name="좋음 4" xfId="38294" hidden="1"/>
    <cellStyle name="좋음 4" xfId="38255" hidden="1"/>
    <cellStyle name="좋음 4" xfId="38843" hidden="1"/>
    <cellStyle name="좋음 4" xfId="38885" hidden="1"/>
    <cellStyle name="좋음 4" xfId="38927" hidden="1"/>
    <cellStyle name="좋음 4" xfId="38969" hidden="1"/>
    <cellStyle name="좋음 4" xfId="39011" hidden="1"/>
    <cellStyle name="좋음 4" xfId="39053" hidden="1"/>
    <cellStyle name="좋음 4" xfId="39095" hidden="1"/>
    <cellStyle name="좋음 4" xfId="39137" hidden="1"/>
    <cellStyle name="좋음 4" xfId="39179" hidden="1"/>
    <cellStyle name="좋음 4" xfId="39221" hidden="1"/>
    <cellStyle name="좋음 4" xfId="38348" hidden="1"/>
    <cellStyle name="좋음 4" xfId="38305" hidden="1"/>
    <cellStyle name="좋음 4" xfId="39290" hidden="1"/>
    <cellStyle name="좋음 4" xfId="39330" hidden="1"/>
    <cellStyle name="좋음 4" xfId="39370" hidden="1"/>
    <cellStyle name="좋음 4" xfId="39410" hidden="1"/>
    <cellStyle name="좋음 4" xfId="39450" hidden="1"/>
    <cellStyle name="좋음 4" xfId="39490" hidden="1"/>
    <cellStyle name="좋음 4" xfId="39530" hidden="1"/>
    <cellStyle name="좋음 4" xfId="39570" hidden="1"/>
    <cellStyle name="좋음 4" xfId="39610" hidden="1"/>
    <cellStyle name="좋음 4" xfId="39650" hidden="1"/>
    <cellStyle name="좋음 4" xfId="39690" hidden="1"/>
    <cellStyle name="좋음 4" xfId="34677" hidden="1"/>
    <cellStyle name="좋음 4" xfId="39740" hidden="1"/>
    <cellStyle name="좋음 4" xfId="39780" hidden="1"/>
    <cellStyle name="좋음 4" xfId="39820" hidden="1"/>
    <cellStyle name="좋음 4" xfId="39860" hidden="1"/>
    <cellStyle name="좋음 4" xfId="39900" hidden="1"/>
    <cellStyle name="좋음 4" xfId="39940" hidden="1"/>
    <cellStyle name="좋음 4" xfId="39980" hidden="1"/>
    <cellStyle name="좋음 4" xfId="40020" hidden="1"/>
    <cellStyle name="좋음 4" xfId="40060" hidden="1"/>
    <cellStyle name="좋음 4" xfId="40100" hidden="1"/>
    <cellStyle name="좋음 4" xfId="40140" hidden="1"/>
    <cellStyle name="좋음 4" xfId="40224" hidden="1"/>
    <cellStyle name="좋음 4" xfId="40264" hidden="1"/>
    <cellStyle name="좋음 4" xfId="40306" hidden="1"/>
    <cellStyle name="좋음 4" xfId="40348" hidden="1"/>
    <cellStyle name="좋음 4" xfId="40390" hidden="1"/>
    <cellStyle name="좋음 4" xfId="40432" hidden="1"/>
    <cellStyle name="좋음 4" xfId="40474" hidden="1"/>
    <cellStyle name="좋음 4" xfId="40516" hidden="1"/>
    <cellStyle name="좋음 4" xfId="40558" hidden="1"/>
    <cellStyle name="좋음 4" xfId="40600" hidden="1"/>
    <cellStyle name="좋음 4" xfId="40642" hidden="1"/>
    <cellStyle name="좋음 4" xfId="40684" hidden="1"/>
    <cellStyle name="좋음 4" xfId="40180" hidden="1"/>
    <cellStyle name="좋음 4" xfId="40864" hidden="1"/>
    <cellStyle name="좋음 4" xfId="40904" hidden="1"/>
    <cellStyle name="좋음 4" xfId="40944" hidden="1"/>
    <cellStyle name="좋음 4" xfId="40984" hidden="1"/>
    <cellStyle name="좋음 4" xfId="41024" hidden="1"/>
    <cellStyle name="좋음 4" xfId="41064" hidden="1"/>
    <cellStyle name="좋음 4" xfId="41104" hidden="1"/>
    <cellStyle name="좋음 4" xfId="41144" hidden="1"/>
    <cellStyle name="좋음 4" xfId="41184" hidden="1"/>
    <cellStyle name="좋음 4" xfId="41224" hidden="1"/>
    <cellStyle name="좋음 4" xfId="41264" hidden="1"/>
    <cellStyle name="좋음 4" xfId="41304" hidden="1"/>
    <cellStyle name="좋음 4" xfId="40796" hidden="1"/>
    <cellStyle name="좋음 4" xfId="40757" hidden="1"/>
    <cellStyle name="좋음 4" xfId="41345" hidden="1"/>
    <cellStyle name="좋음 4" xfId="41387" hidden="1"/>
    <cellStyle name="좋음 4" xfId="41429" hidden="1"/>
    <cellStyle name="좋음 4" xfId="41471" hidden="1"/>
    <cellStyle name="좋음 4" xfId="41513" hidden="1"/>
    <cellStyle name="좋음 4" xfId="41555" hidden="1"/>
    <cellStyle name="좋음 4" xfId="41597" hidden="1"/>
    <cellStyle name="좋음 4" xfId="41639" hidden="1"/>
    <cellStyle name="좋음 4" xfId="41681" hidden="1"/>
    <cellStyle name="좋음 4" xfId="41723" hidden="1"/>
    <cellStyle name="좋음 4" xfId="40850" hidden="1"/>
    <cellStyle name="좋음 4" xfId="40807" hidden="1"/>
    <cellStyle name="좋음 4" xfId="41792" hidden="1"/>
    <cellStyle name="좋음 4" xfId="41832" hidden="1"/>
    <cellStyle name="좋음 4" xfId="41872" hidden="1"/>
    <cellStyle name="좋음 4" xfId="41912" hidden="1"/>
    <cellStyle name="좋음 4" xfId="41952" hidden="1"/>
    <cellStyle name="좋음 4" xfId="41992" hidden="1"/>
    <cellStyle name="좋음 4" xfId="42032" hidden="1"/>
    <cellStyle name="좋음 4" xfId="42072" hidden="1"/>
    <cellStyle name="좋음 4" xfId="42112" hidden="1"/>
    <cellStyle name="좋음 4" xfId="42152" hidden="1"/>
    <cellStyle name="좋음 4" xfId="42192" hidden="1"/>
    <cellStyle name="좋음 4" xfId="42235" hidden="1"/>
    <cellStyle name="좋음 4" xfId="42275" hidden="1"/>
    <cellStyle name="좋음 4" xfId="42315" hidden="1"/>
    <cellStyle name="좋음 4" xfId="42355" hidden="1"/>
    <cellStyle name="좋음 4" xfId="42395" hidden="1"/>
    <cellStyle name="좋음 4" xfId="42435" hidden="1"/>
    <cellStyle name="좋음 4" xfId="42475" hidden="1"/>
    <cellStyle name="좋음 4" xfId="42515" hidden="1"/>
    <cellStyle name="좋음 4" xfId="42555" hidden="1"/>
    <cellStyle name="좋음 4" xfId="42595" hidden="1"/>
    <cellStyle name="좋음 4" xfId="42635" hidden="1"/>
    <cellStyle name="좋음 4" xfId="42675" hidden="1"/>
    <cellStyle name="좋음 4" xfId="42759" hidden="1"/>
    <cellStyle name="좋음 4" xfId="42799" hidden="1"/>
    <cellStyle name="좋음 4" xfId="42841" hidden="1"/>
    <cellStyle name="좋음 4" xfId="42883" hidden="1"/>
    <cellStyle name="좋음 4" xfId="42925" hidden="1"/>
    <cellStyle name="좋음 4" xfId="42967" hidden="1"/>
    <cellStyle name="좋음 4" xfId="43009" hidden="1"/>
    <cellStyle name="좋음 4" xfId="43051" hidden="1"/>
    <cellStyle name="좋음 4" xfId="43093" hidden="1"/>
    <cellStyle name="좋음 4" xfId="43135" hidden="1"/>
    <cellStyle name="좋음 4" xfId="43177" hidden="1"/>
    <cellStyle name="좋음 4" xfId="43219" hidden="1"/>
    <cellStyle name="좋음 4" xfId="42715" hidden="1"/>
    <cellStyle name="좋음 4" xfId="43399" hidden="1"/>
    <cellStyle name="좋음 4" xfId="43439" hidden="1"/>
    <cellStyle name="좋음 4" xfId="43479" hidden="1"/>
    <cellStyle name="좋음 4" xfId="43519" hidden="1"/>
    <cellStyle name="좋음 4" xfId="43559" hidden="1"/>
    <cellStyle name="좋음 4" xfId="43599" hidden="1"/>
    <cellStyle name="좋음 4" xfId="43639" hidden="1"/>
    <cellStyle name="좋음 4" xfId="43679" hidden="1"/>
    <cellStyle name="좋음 4" xfId="43719" hidden="1"/>
    <cellStyle name="좋음 4" xfId="43759" hidden="1"/>
    <cellStyle name="좋음 4" xfId="43799" hidden="1"/>
    <cellStyle name="좋음 4" xfId="43839" hidden="1"/>
    <cellStyle name="좋음 4" xfId="43331" hidden="1"/>
    <cellStyle name="좋음 4" xfId="43292" hidden="1"/>
    <cellStyle name="좋음 4" xfId="43880" hidden="1"/>
    <cellStyle name="좋음 4" xfId="43922" hidden="1"/>
    <cellStyle name="좋음 4" xfId="43964" hidden="1"/>
    <cellStyle name="좋음 4" xfId="44006" hidden="1"/>
    <cellStyle name="좋음 4" xfId="44048" hidden="1"/>
    <cellStyle name="좋음 4" xfId="44090" hidden="1"/>
    <cellStyle name="좋음 4" xfId="44132" hidden="1"/>
    <cellStyle name="좋음 4" xfId="44174" hidden="1"/>
    <cellStyle name="좋음 4" xfId="44216" hidden="1"/>
    <cellStyle name="좋음 4" xfId="44258" hidden="1"/>
    <cellStyle name="좋음 4" xfId="43385" hidden="1"/>
    <cellStyle name="좋음 4" xfId="43342" hidden="1"/>
    <cellStyle name="좋음 4" xfId="44327" hidden="1"/>
    <cellStyle name="좋음 4" xfId="44367" hidden="1"/>
    <cellStyle name="좋음 4" xfId="44407" hidden="1"/>
    <cellStyle name="좋음 4" xfId="44447" hidden="1"/>
    <cellStyle name="좋음 4" xfId="44487" hidden="1"/>
    <cellStyle name="좋음 4" xfId="44527" hidden="1"/>
    <cellStyle name="좋음 4" xfId="44567" hidden="1"/>
    <cellStyle name="좋음 4" xfId="44607" hidden="1"/>
    <cellStyle name="좋음 4" xfId="44647" hidden="1"/>
    <cellStyle name="좋음 4" xfId="44687" hidden="1"/>
    <cellStyle name="좋음 4" xfId="44727" hidden="1"/>
    <cellStyle name="좋음 4" xfId="44823" hidden="1"/>
    <cellStyle name="좋음 4" xfId="44863" hidden="1"/>
    <cellStyle name="좋음 4" xfId="44904" hidden="1"/>
    <cellStyle name="좋음 4" xfId="44946" hidden="1"/>
    <cellStyle name="좋음 4" xfId="44986" hidden="1"/>
    <cellStyle name="좋음 4" xfId="45026" hidden="1"/>
    <cellStyle name="좋음 4" xfId="45066" hidden="1"/>
    <cellStyle name="좋음 4" xfId="45106" hidden="1"/>
    <cellStyle name="좋음 4" xfId="45146" hidden="1"/>
    <cellStyle name="좋음 4" xfId="45186" hidden="1"/>
    <cellStyle name="좋음 4" xfId="45226" hidden="1"/>
    <cellStyle name="좋음 4" xfId="45266" hidden="1"/>
    <cellStyle name="좋음 4" xfId="45350" hidden="1"/>
    <cellStyle name="좋음 4" xfId="45390" hidden="1"/>
    <cellStyle name="좋음 4" xfId="45432" hidden="1"/>
    <cellStyle name="좋음 4" xfId="45474" hidden="1"/>
    <cellStyle name="좋음 4" xfId="45516" hidden="1"/>
    <cellStyle name="좋음 4" xfId="45558" hidden="1"/>
    <cellStyle name="좋음 4" xfId="45600" hidden="1"/>
    <cellStyle name="좋음 4" xfId="45642" hidden="1"/>
    <cellStyle name="좋음 4" xfId="45684" hidden="1"/>
    <cellStyle name="좋음 4" xfId="45726" hidden="1"/>
    <cellStyle name="좋음 4" xfId="45768" hidden="1"/>
    <cellStyle name="좋음 4" xfId="45810" hidden="1"/>
    <cellStyle name="좋음 4" xfId="45306" hidden="1"/>
    <cellStyle name="좋음 4" xfId="45990" hidden="1"/>
    <cellStyle name="좋음 4" xfId="46030" hidden="1"/>
    <cellStyle name="좋음 4" xfId="46070" hidden="1"/>
    <cellStyle name="좋음 4" xfId="46110" hidden="1"/>
    <cellStyle name="좋음 4" xfId="46150" hidden="1"/>
    <cellStyle name="좋음 4" xfId="46190" hidden="1"/>
    <cellStyle name="좋음 4" xfId="46230" hidden="1"/>
    <cellStyle name="좋음 4" xfId="46270" hidden="1"/>
    <cellStyle name="좋음 4" xfId="46310" hidden="1"/>
    <cellStyle name="좋음 4" xfId="46350" hidden="1"/>
    <cellStyle name="좋음 4" xfId="46390" hidden="1"/>
    <cellStyle name="좋음 4" xfId="46430" hidden="1"/>
    <cellStyle name="좋음 4" xfId="45922" hidden="1"/>
    <cellStyle name="좋음 4" xfId="45883" hidden="1"/>
    <cellStyle name="좋음 4" xfId="46471" hidden="1"/>
    <cellStyle name="좋음 4" xfId="46513" hidden="1"/>
    <cellStyle name="좋음 4" xfId="46555" hidden="1"/>
    <cellStyle name="좋음 4" xfId="46597" hidden="1"/>
    <cellStyle name="좋음 4" xfId="46639" hidden="1"/>
    <cellStyle name="좋음 4" xfId="46681" hidden="1"/>
    <cellStyle name="좋음 4" xfId="46723" hidden="1"/>
    <cellStyle name="좋음 4" xfId="46765" hidden="1"/>
    <cellStyle name="좋음 4" xfId="46807" hidden="1"/>
    <cellStyle name="좋음 4" xfId="46849" hidden="1"/>
    <cellStyle name="좋음 4" xfId="45976" hidden="1"/>
    <cellStyle name="좋음 4" xfId="45933" hidden="1"/>
    <cellStyle name="좋음 4" xfId="46918" hidden="1"/>
    <cellStyle name="좋음 4" xfId="46958" hidden="1"/>
    <cellStyle name="좋음 4" xfId="46998" hidden="1"/>
    <cellStyle name="좋음 4" xfId="47038" hidden="1"/>
    <cellStyle name="좋음 4" xfId="47078" hidden="1"/>
    <cellStyle name="좋음 4" xfId="47118" hidden="1"/>
    <cellStyle name="좋음 4" xfId="47158" hidden="1"/>
    <cellStyle name="좋음 4" xfId="47198" hidden="1"/>
    <cellStyle name="좋음 4" xfId="47238" hidden="1"/>
    <cellStyle name="좋음 4" xfId="47278" hidden="1"/>
    <cellStyle name="좋음 4" xfId="47318" hidden="1"/>
    <cellStyle name="좋음 4" xfId="44783" hidden="1"/>
    <cellStyle name="좋음 4" xfId="47369" hidden="1"/>
    <cellStyle name="좋음 4" xfId="47409" hidden="1"/>
    <cellStyle name="좋음 4" xfId="47449" hidden="1"/>
    <cellStyle name="좋음 4" xfId="47489" hidden="1"/>
    <cellStyle name="좋음 4" xfId="47529" hidden="1"/>
    <cellStyle name="좋음 4" xfId="47569" hidden="1"/>
    <cellStyle name="좋음 4" xfId="47609" hidden="1"/>
    <cellStyle name="좋음 4" xfId="47649" hidden="1"/>
    <cellStyle name="좋음 4" xfId="47689" hidden="1"/>
    <cellStyle name="좋음 4" xfId="47729" hidden="1"/>
    <cellStyle name="좋음 4" xfId="47769" hidden="1"/>
    <cellStyle name="좋음 4" xfId="47853" hidden="1"/>
    <cellStyle name="좋음 4" xfId="47893" hidden="1"/>
    <cellStyle name="좋음 4" xfId="47935" hidden="1"/>
    <cellStyle name="좋음 4" xfId="47977" hidden="1"/>
    <cellStyle name="좋음 4" xfId="48019" hidden="1"/>
    <cellStyle name="좋음 4" xfId="48061" hidden="1"/>
    <cellStyle name="좋음 4" xfId="48103" hidden="1"/>
    <cellStyle name="좋음 4" xfId="48145" hidden="1"/>
    <cellStyle name="좋음 4" xfId="48187" hidden="1"/>
    <cellStyle name="좋음 4" xfId="48229" hidden="1"/>
    <cellStyle name="좋음 4" xfId="48271" hidden="1"/>
    <cellStyle name="좋음 4" xfId="48313" hidden="1"/>
    <cellStyle name="좋음 4" xfId="47809" hidden="1"/>
    <cellStyle name="좋음 4" xfId="48493" hidden="1"/>
    <cellStyle name="좋음 4" xfId="48533" hidden="1"/>
    <cellStyle name="좋음 4" xfId="48573" hidden="1"/>
    <cellStyle name="좋음 4" xfId="48613" hidden="1"/>
    <cellStyle name="좋음 4" xfId="48653" hidden="1"/>
    <cellStyle name="좋음 4" xfId="48693" hidden="1"/>
    <cellStyle name="좋음 4" xfId="48733" hidden="1"/>
    <cellStyle name="좋음 4" xfId="48773" hidden="1"/>
    <cellStyle name="좋음 4" xfId="48813" hidden="1"/>
    <cellStyle name="좋음 4" xfId="48853" hidden="1"/>
    <cellStyle name="좋음 4" xfId="48893" hidden="1"/>
    <cellStyle name="좋음 4" xfId="48933" hidden="1"/>
    <cellStyle name="좋음 4" xfId="48425" hidden="1"/>
    <cellStyle name="좋음 4" xfId="48386" hidden="1"/>
    <cellStyle name="좋음 4" xfId="48974" hidden="1"/>
    <cellStyle name="좋음 4" xfId="49016" hidden="1"/>
    <cellStyle name="좋음 4" xfId="49058" hidden="1"/>
    <cellStyle name="좋음 4" xfId="49100" hidden="1"/>
    <cellStyle name="좋음 4" xfId="49142" hidden="1"/>
    <cellStyle name="좋음 4" xfId="49184" hidden="1"/>
    <cellStyle name="좋음 4" xfId="49226" hidden="1"/>
    <cellStyle name="좋음 4" xfId="49268" hidden="1"/>
    <cellStyle name="좋음 4" xfId="49310" hidden="1"/>
    <cellStyle name="좋음 4" xfId="49352" hidden="1"/>
    <cellStyle name="좋음 4" xfId="48479" hidden="1"/>
    <cellStyle name="좋음 4" xfId="48436" hidden="1"/>
    <cellStyle name="좋음 4" xfId="49421" hidden="1"/>
    <cellStyle name="좋음 4" xfId="49461" hidden="1"/>
    <cellStyle name="좋음 4" xfId="49501" hidden="1"/>
    <cellStyle name="좋음 4" xfId="49541" hidden="1"/>
    <cellStyle name="좋음 4" xfId="49581" hidden="1"/>
    <cellStyle name="좋음 4" xfId="49621" hidden="1"/>
    <cellStyle name="좋음 4" xfId="49661" hidden="1"/>
    <cellStyle name="좋음 4" xfId="49701" hidden="1"/>
    <cellStyle name="좋음 4" xfId="49741" hidden="1"/>
    <cellStyle name="좋음 4" xfId="49781" hidden="1"/>
    <cellStyle name="좋음 4" xfId="49821" hidden="1"/>
    <cellStyle name="좋음 4" xfId="44806" hidden="1"/>
    <cellStyle name="좋음 4" xfId="49871" hidden="1"/>
    <cellStyle name="좋음 4" xfId="49911" hidden="1"/>
    <cellStyle name="좋음 4" xfId="49951" hidden="1"/>
    <cellStyle name="좋음 4" xfId="49991" hidden="1"/>
    <cellStyle name="좋음 4" xfId="50031" hidden="1"/>
    <cellStyle name="좋음 4" xfId="50071" hidden="1"/>
    <cellStyle name="좋음 4" xfId="50111" hidden="1"/>
    <cellStyle name="좋음 4" xfId="50151" hidden="1"/>
    <cellStyle name="좋음 4" xfId="50191" hidden="1"/>
    <cellStyle name="좋음 4" xfId="50231" hidden="1"/>
    <cellStyle name="좋음 4" xfId="50271" hidden="1"/>
    <cellStyle name="좋음 4" xfId="50355" hidden="1"/>
    <cellStyle name="좋음 4" xfId="50395" hidden="1"/>
    <cellStyle name="좋음 4" xfId="50437" hidden="1"/>
    <cellStyle name="좋음 4" xfId="50479" hidden="1"/>
    <cellStyle name="좋음 4" xfId="50521" hidden="1"/>
    <cellStyle name="좋음 4" xfId="50563" hidden="1"/>
    <cellStyle name="좋음 4" xfId="50605" hidden="1"/>
    <cellStyle name="좋음 4" xfId="50647" hidden="1"/>
    <cellStyle name="좋음 4" xfId="50689" hidden="1"/>
    <cellStyle name="좋음 4" xfId="50731" hidden="1"/>
    <cellStyle name="좋음 4" xfId="50773" hidden="1"/>
    <cellStyle name="좋음 4" xfId="50815" hidden="1"/>
    <cellStyle name="좋음 4" xfId="50311" hidden="1"/>
    <cellStyle name="좋음 4" xfId="50995" hidden="1"/>
    <cellStyle name="좋음 4" xfId="51035" hidden="1"/>
    <cellStyle name="좋음 4" xfId="51075" hidden="1"/>
    <cellStyle name="좋음 4" xfId="51115" hidden="1"/>
    <cellStyle name="좋음 4" xfId="51155" hidden="1"/>
    <cellStyle name="좋음 4" xfId="51195" hidden="1"/>
    <cellStyle name="좋음 4" xfId="51235" hidden="1"/>
    <cellStyle name="좋음 4" xfId="51275" hidden="1"/>
    <cellStyle name="좋음 4" xfId="51315" hidden="1"/>
    <cellStyle name="좋음 4" xfId="51355" hidden="1"/>
    <cellStyle name="좋음 4" xfId="51395" hidden="1"/>
    <cellStyle name="좋음 4" xfId="51435" hidden="1"/>
    <cellStyle name="좋음 4" xfId="50927" hidden="1"/>
    <cellStyle name="좋음 4" xfId="50888" hidden="1"/>
    <cellStyle name="좋음 4" xfId="51476" hidden="1"/>
    <cellStyle name="좋음 4" xfId="51518" hidden="1"/>
    <cellStyle name="좋음 4" xfId="51560" hidden="1"/>
    <cellStyle name="좋음 4" xfId="51602" hidden="1"/>
    <cellStyle name="좋음 4" xfId="51644" hidden="1"/>
    <cellStyle name="좋음 4" xfId="51686" hidden="1"/>
    <cellStyle name="좋음 4" xfId="51728" hidden="1"/>
    <cellStyle name="좋음 4" xfId="51770" hidden="1"/>
    <cellStyle name="좋음 4" xfId="51812" hidden="1"/>
    <cellStyle name="좋음 4" xfId="51854" hidden="1"/>
    <cellStyle name="좋음 4" xfId="50981" hidden="1"/>
    <cellStyle name="좋음 4" xfId="50938" hidden="1"/>
    <cellStyle name="좋음 4" xfId="51923" hidden="1"/>
    <cellStyle name="좋음 4" xfId="51963" hidden="1"/>
    <cellStyle name="좋음 4" xfId="52003" hidden="1"/>
    <cellStyle name="좋음 4" xfId="52043" hidden="1"/>
    <cellStyle name="좋음 4" xfId="52083" hidden="1"/>
    <cellStyle name="좋음 4" xfId="52123" hidden="1"/>
    <cellStyle name="좋음 4" xfId="52163" hidden="1"/>
    <cellStyle name="좋음 4" xfId="52203" hidden="1"/>
    <cellStyle name="좋음 4" xfId="52243" hidden="1"/>
    <cellStyle name="좋음 4" xfId="52283" hidden="1"/>
    <cellStyle name="좋음 4" xfId="52323" hidden="1"/>
    <cellStyle name="좋음 4 2" xfId="8361"/>
    <cellStyle name="좋음 4 3" xfId="8362"/>
    <cellStyle name="좋음 4 4" xfId="8363"/>
    <cellStyle name="좋음 4 5" xfId="8364"/>
    <cellStyle name="좋음 40" xfId="8365"/>
    <cellStyle name="좋음 41" xfId="8366"/>
    <cellStyle name="좋음 42" xfId="8367"/>
    <cellStyle name="좋음 43" xfId="8368"/>
    <cellStyle name="좋음 44" xfId="8369"/>
    <cellStyle name="좋음 45" xfId="8370"/>
    <cellStyle name="좋음 46" xfId="8371"/>
    <cellStyle name="좋음 47" xfId="8372"/>
    <cellStyle name="좋음 48" xfId="8373"/>
    <cellStyle name="좋음 49" xfId="8374"/>
    <cellStyle name="좋음 5" xfId="8375"/>
    <cellStyle name="좋음 50" xfId="8376"/>
    <cellStyle name="좋음 51" xfId="8377"/>
    <cellStyle name="좋음 52" xfId="8378"/>
    <cellStyle name="좋음 6" xfId="8379"/>
    <cellStyle name="좋음 7" xfId="8380"/>
    <cellStyle name="좋음 8" xfId="8381"/>
    <cellStyle name="좋음 9" xfId="8382"/>
    <cellStyle name="지정되지 않음" xfId="399"/>
    <cellStyle name="출력 10" xfId="8383"/>
    <cellStyle name="출력 11" xfId="8384"/>
    <cellStyle name="출력 12" xfId="8385"/>
    <cellStyle name="출력 13" xfId="8386"/>
    <cellStyle name="출력 14" xfId="8387"/>
    <cellStyle name="출력 15" xfId="8388"/>
    <cellStyle name="출력 16" xfId="8389"/>
    <cellStyle name="출력 17" xfId="8390"/>
    <cellStyle name="출력 18" xfId="8391"/>
    <cellStyle name="출력 19" xfId="8392"/>
    <cellStyle name="출력 2" xfId="400"/>
    <cellStyle name="출력 2 10" xfId="8393"/>
    <cellStyle name="출력 2 100" xfId="8394"/>
    <cellStyle name="출력 2 101" xfId="8395"/>
    <cellStyle name="출력 2 102" xfId="8396"/>
    <cellStyle name="출력 2 103" xfId="8397"/>
    <cellStyle name="출력 2 104" xfId="8398"/>
    <cellStyle name="출력 2 105" xfId="8399"/>
    <cellStyle name="출력 2 106" xfId="8400"/>
    <cellStyle name="출력 2 107" xfId="8401"/>
    <cellStyle name="출력 2 108" xfId="8402"/>
    <cellStyle name="출력 2 109" xfId="8403"/>
    <cellStyle name="출력 2 11" xfId="8404"/>
    <cellStyle name="출력 2 110" xfId="8405"/>
    <cellStyle name="출력 2 111" xfId="8406"/>
    <cellStyle name="출력 2 112" xfId="8407"/>
    <cellStyle name="출력 2 12" xfId="8408"/>
    <cellStyle name="출력 2 13" xfId="8409"/>
    <cellStyle name="출력 2 14" xfId="8410"/>
    <cellStyle name="출력 2 15" xfId="8411"/>
    <cellStyle name="출력 2 16" xfId="8412"/>
    <cellStyle name="출력 2 17" xfId="8413"/>
    <cellStyle name="출력 2 18" xfId="8414"/>
    <cellStyle name="출력 2 19" xfId="8415"/>
    <cellStyle name="출력 2 2" xfId="8416"/>
    <cellStyle name="출력 2 2 2" xfId="8417"/>
    <cellStyle name="출력 2 2 3" xfId="8418"/>
    <cellStyle name="출력 2 2 4" xfId="8419"/>
    <cellStyle name="출력 2 2 5" xfId="8420"/>
    <cellStyle name="출력 2 20" xfId="8421"/>
    <cellStyle name="출력 2 21" xfId="8422"/>
    <cellStyle name="출력 2 22" xfId="8423"/>
    <cellStyle name="출력 2 23" xfId="8424"/>
    <cellStyle name="출력 2 24" xfId="8425"/>
    <cellStyle name="출력 2 25" xfId="8426"/>
    <cellStyle name="출력 2 26" xfId="8427"/>
    <cellStyle name="출력 2 27" xfId="8428"/>
    <cellStyle name="출력 2 28" xfId="8429"/>
    <cellStyle name="출력 2 29" xfId="8430"/>
    <cellStyle name="출력 2 3" xfId="8431"/>
    <cellStyle name="출력 2 30" xfId="8432"/>
    <cellStyle name="출력 2 31" xfId="8433"/>
    <cellStyle name="출력 2 32" xfId="8434"/>
    <cellStyle name="출력 2 33" xfId="8435"/>
    <cellStyle name="출력 2 34" xfId="8436"/>
    <cellStyle name="출력 2 35" xfId="8437"/>
    <cellStyle name="출력 2 36" xfId="8438"/>
    <cellStyle name="출력 2 37" xfId="8439"/>
    <cellStyle name="출력 2 38" xfId="8440"/>
    <cellStyle name="출력 2 39" xfId="8441"/>
    <cellStyle name="출력 2 4" xfId="8442"/>
    <cellStyle name="출력 2 40" xfId="8443"/>
    <cellStyle name="출력 2 41" xfId="8444"/>
    <cellStyle name="출력 2 42" xfId="8445"/>
    <cellStyle name="출력 2 43" xfId="8446"/>
    <cellStyle name="출력 2 44" xfId="8447"/>
    <cellStyle name="출력 2 45" xfId="8448"/>
    <cellStyle name="출력 2 46" xfId="8449"/>
    <cellStyle name="출력 2 47" xfId="8450"/>
    <cellStyle name="출력 2 48" xfId="8451"/>
    <cellStyle name="출력 2 49" xfId="8452"/>
    <cellStyle name="출력 2 5" xfId="8453"/>
    <cellStyle name="출력 2 50" xfId="8454"/>
    <cellStyle name="출력 2 51" xfId="8455"/>
    <cellStyle name="출력 2 52" xfId="8456"/>
    <cellStyle name="출력 2 53" xfId="8457"/>
    <cellStyle name="출력 2 54" xfId="8458"/>
    <cellStyle name="출력 2 55" xfId="8459"/>
    <cellStyle name="출력 2 56" xfId="8460"/>
    <cellStyle name="출력 2 57" xfId="8461"/>
    <cellStyle name="출력 2 58" xfId="8462"/>
    <cellStyle name="출력 2 59" xfId="8463"/>
    <cellStyle name="출력 2 6" xfId="8464"/>
    <cellStyle name="출력 2 60" xfId="8465"/>
    <cellStyle name="출력 2 61" xfId="8466"/>
    <cellStyle name="출력 2 62" xfId="8467"/>
    <cellStyle name="출력 2 63" xfId="8468"/>
    <cellStyle name="출력 2 64" xfId="8469"/>
    <cellStyle name="출력 2 65" xfId="8470"/>
    <cellStyle name="출력 2 66" xfId="8471"/>
    <cellStyle name="출력 2 67" xfId="8472"/>
    <cellStyle name="출력 2 68" xfId="8473"/>
    <cellStyle name="출력 2 69" xfId="8474"/>
    <cellStyle name="출력 2 7" xfId="8475"/>
    <cellStyle name="출력 2 70" xfId="8476"/>
    <cellStyle name="출력 2 71" xfId="8477"/>
    <cellStyle name="출력 2 72" xfId="8478"/>
    <cellStyle name="출력 2 73" xfId="8479"/>
    <cellStyle name="출력 2 74" xfId="8480"/>
    <cellStyle name="출력 2 75" xfId="8481"/>
    <cellStyle name="출력 2 76" xfId="8482"/>
    <cellStyle name="출력 2 77" xfId="8483"/>
    <cellStyle name="출력 2 78" xfId="8484"/>
    <cellStyle name="출력 2 79" xfId="8485"/>
    <cellStyle name="출력 2 8" xfId="8486"/>
    <cellStyle name="출력 2 80" xfId="8487"/>
    <cellStyle name="출력 2 81" xfId="8488"/>
    <cellStyle name="출력 2 82" xfId="8489"/>
    <cellStyle name="출력 2 83" xfId="8490"/>
    <cellStyle name="출력 2 84" xfId="8491"/>
    <cellStyle name="출력 2 85" xfId="8492"/>
    <cellStyle name="출력 2 86" xfId="8493"/>
    <cellStyle name="출력 2 87" xfId="8494"/>
    <cellStyle name="출력 2 88" xfId="8495"/>
    <cellStyle name="출력 2 89" xfId="8496"/>
    <cellStyle name="출력 2 9" xfId="8497"/>
    <cellStyle name="출력 2 90" xfId="8498"/>
    <cellStyle name="출력 2 91" xfId="8499"/>
    <cellStyle name="출력 2 92" xfId="8500"/>
    <cellStyle name="출력 2 93" xfId="8501"/>
    <cellStyle name="출력 2 94" xfId="8502"/>
    <cellStyle name="출력 2 95" xfId="8503"/>
    <cellStyle name="출력 2 96" xfId="8504"/>
    <cellStyle name="출력 2 97" xfId="8505"/>
    <cellStyle name="출력 2 98" xfId="8506"/>
    <cellStyle name="출력 2 99" xfId="8507"/>
    <cellStyle name="출력 20" xfId="8508"/>
    <cellStyle name="출력 21" xfId="8509"/>
    <cellStyle name="출력 22" xfId="8510"/>
    <cellStyle name="출력 23" xfId="8511"/>
    <cellStyle name="출력 24" xfId="8512"/>
    <cellStyle name="출력 25" xfId="8513"/>
    <cellStyle name="출력 26" xfId="8514"/>
    <cellStyle name="출력 27" xfId="8515"/>
    <cellStyle name="출력 28" xfId="8516"/>
    <cellStyle name="출력 29" xfId="8517"/>
    <cellStyle name="출력 3" xfId="401"/>
    <cellStyle name="출력 3 10" xfId="8518"/>
    <cellStyle name="출력 3 11" xfId="8519"/>
    <cellStyle name="출력 3 2" xfId="8520"/>
    <cellStyle name="출력 3 2 2" xfId="8521"/>
    <cellStyle name="출력 3 2 3" xfId="8522"/>
    <cellStyle name="출력 3 2 4" xfId="8523"/>
    <cellStyle name="출력 3 2 5" xfId="8524"/>
    <cellStyle name="출력 3 3" xfId="8525"/>
    <cellStyle name="출력 3 4" xfId="8526"/>
    <cellStyle name="출력 3 5" xfId="8527"/>
    <cellStyle name="출력 3 6" xfId="8528"/>
    <cellStyle name="출력 3 7" xfId="8529"/>
    <cellStyle name="출력 3 8" xfId="8530"/>
    <cellStyle name="출력 3 9" xfId="8531"/>
    <cellStyle name="출력 30" xfId="8532"/>
    <cellStyle name="출력 31" xfId="8533"/>
    <cellStyle name="출력 32" xfId="8534"/>
    <cellStyle name="출력 33" xfId="8535"/>
    <cellStyle name="출력 34" xfId="8536"/>
    <cellStyle name="출력 35" xfId="8537"/>
    <cellStyle name="출력 36" xfId="8538"/>
    <cellStyle name="출력 37" xfId="8539"/>
    <cellStyle name="출력 38" xfId="8540"/>
    <cellStyle name="출력 39" xfId="8541"/>
    <cellStyle name="출력 4" xfId="11717" hidden="1"/>
    <cellStyle name="출력 4" xfId="11763" hidden="1"/>
    <cellStyle name="출력 4" xfId="11809" hidden="1"/>
    <cellStyle name="출력 4" xfId="11855" hidden="1"/>
    <cellStyle name="출력 4" xfId="11901" hidden="1"/>
    <cellStyle name="출력 4" xfId="11947" hidden="1"/>
    <cellStyle name="출력 4" xfId="11993" hidden="1"/>
    <cellStyle name="출력 4" xfId="12039" hidden="1"/>
    <cellStyle name="출력 4" xfId="12085" hidden="1"/>
    <cellStyle name="출력 4" xfId="12131" hidden="1"/>
    <cellStyle name="출력 4" xfId="12177" hidden="1"/>
    <cellStyle name="출력 4" xfId="12223" hidden="1"/>
    <cellStyle name="출력 4" xfId="12313" hidden="1"/>
    <cellStyle name="출력 4" xfId="12353" hidden="1"/>
    <cellStyle name="출력 4" xfId="12395" hidden="1"/>
    <cellStyle name="출력 4" xfId="12437" hidden="1"/>
    <cellStyle name="출력 4" xfId="12479" hidden="1"/>
    <cellStyle name="출력 4" xfId="12521" hidden="1"/>
    <cellStyle name="출력 4" xfId="12563" hidden="1"/>
    <cellStyle name="출력 4" xfId="12605" hidden="1"/>
    <cellStyle name="출력 4" xfId="12647" hidden="1"/>
    <cellStyle name="출력 4" xfId="12689" hidden="1"/>
    <cellStyle name="출력 4" xfId="12731" hidden="1"/>
    <cellStyle name="출력 4" xfId="12773" hidden="1"/>
    <cellStyle name="출력 4" xfId="12267" hidden="1"/>
    <cellStyle name="출력 4" xfId="12956" hidden="1"/>
    <cellStyle name="출력 4" xfId="12996" hidden="1"/>
    <cellStyle name="출력 4" xfId="13036" hidden="1"/>
    <cellStyle name="출력 4" xfId="13076" hidden="1"/>
    <cellStyle name="출력 4" xfId="13116" hidden="1"/>
    <cellStyle name="출력 4" xfId="13156" hidden="1"/>
    <cellStyle name="출력 4" xfId="13196" hidden="1"/>
    <cellStyle name="출력 4" xfId="13236" hidden="1"/>
    <cellStyle name="출력 4" xfId="13276" hidden="1"/>
    <cellStyle name="출력 4" xfId="13316" hidden="1"/>
    <cellStyle name="출력 4" xfId="13356" hidden="1"/>
    <cellStyle name="출력 4" xfId="13396" hidden="1"/>
    <cellStyle name="출력 4" xfId="12878" hidden="1"/>
    <cellStyle name="출력 4" xfId="12839" hidden="1"/>
    <cellStyle name="출력 4" xfId="13437" hidden="1"/>
    <cellStyle name="출력 4" xfId="13479" hidden="1"/>
    <cellStyle name="출력 4" xfId="13521" hidden="1"/>
    <cellStyle name="출력 4" xfId="13563" hidden="1"/>
    <cellStyle name="출력 4" xfId="13605" hidden="1"/>
    <cellStyle name="출력 4" xfId="13647" hidden="1"/>
    <cellStyle name="출력 4" xfId="13689" hidden="1"/>
    <cellStyle name="출력 4" xfId="13731" hidden="1"/>
    <cellStyle name="출력 4" xfId="13773" hidden="1"/>
    <cellStyle name="출력 4" xfId="13815" hidden="1"/>
    <cellStyle name="출력 4" xfId="12933" hidden="1"/>
    <cellStyle name="출력 4" xfId="12898" hidden="1"/>
    <cellStyle name="출력 4" xfId="13884" hidden="1"/>
    <cellStyle name="출력 4" xfId="13924" hidden="1"/>
    <cellStyle name="출력 4" xfId="13964" hidden="1"/>
    <cellStyle name="출력 4" xfId="14004" hidden="1"/>
    <cellStyle name="출력 4" xfId="14044" hidden="1"/>
    <cellStyle name="출력 4" xfId="14084" hidden="1"/>
    <cellStyle name="출력 4" xfId="14124" hidden="1"/>
    <cellStyle name="출력 4" xfId="14164" hidden="1"/>
    <cellStyle name="출력 4" xfId="14204" hidden="1"/>
    <cellStyle name="출력 4" xfId="14244" hidden="1"/>
    <cellStyle name="출력 4" xfId="14284" hidden="1"/>
    <cellStyle name="출력 4" xfId="14390" hidden="1"/>
    <cellStyle name="출력 4" xfId="14430" hidden="1"/>
    <cellStyle name="출력 4" xfId="14470" hidden="1"/>
    <cellStyle name="출력 4" xfId="14510" hidden="1"/>
    <cellStyle name="출력 4" xfId="14550" hidden="1"/>
    <cellStyle name="출력 4" xfId="14590" hidden="1"/>
    <cellStyle name="출력 4" xfId="14630" hidden="1"/>
    <cellStyle name="출력 4" xfId="14670" hidden="1"/>
    <cellStyle name="출력 4" xfId="14710" hidden="1"/>
    <cellStyle name="출력 4" xfId="14750" hidden="1"/>
    <cellStyle name="출력 4" xfId="14790" hidden="1"/>
    <cellStyle name="출력 4" xfId="14830" hidden="1"/>
    <cellStyle name="출력 4" xfId="14914" hidden="1"/>
    <cellStyle name="출력 4" xfId="14954" hidden="1"/>
    <cellStyle name="출력 4" xfId="14996" hidden="1"/>
    <cellStyle name="출력 4" xfId="15038" hidden="1"/>
    <cellStyle name="출력 4" xfId="15080" hidden="1"/>
    <cellStyle name="출력 4" xfId="15122" hidden="1"/>
    <cellStyle name="출력 4" xfId="15164" hidden="1"/>
    <cellStyle name="출력 4" xfId="15206" hidden="1"/>
    <cellStyle name="출력 4" xfId="15248" hidden="1"/>
    <cellStyle name="출력 4" xfId="15290" hidden="1"/>
    <cellStyle name="출력 4" xfId="15332" hidden="1"/>
    <cellStyle name="출력 4" xfId="15374" hidden="1"/>
    <cellStyle name="출력 4" xfId="14870" hidden="1"/>
    <cellStyle name="출력 4" xfId="15554" hidden="1"/>
    <cellStyle name="출력 4" xfId="15594" hidden="1"/>
    <cellStyle name="출력 4" xfId="15634" hidden="1"/>
    <cellStyle name="출력 4" xfId="15674" hidden="1"/>
    <cellStyle name="출력 4" xfId="15714" hidden="1"/>
    <cellStyle name="출력 4" xfId="15754" hidden="1"/>
    <cellStyle name="출력 4" xfId="15794" hidden="1"/>
    <cellStyle name="출력 4" xfId="15834" hidden="1"/>
    <cellStyle name="출력 4" xfId="15874" hidden="1"/>
    <cellStyle name="출력 4" xfId="15914" hidden="1"/>
    <cellStyle name="출력 4" xfId="15954" hidden="1"/>
    <cellStyle name="출력 4" xfId="15994" hidden="1"/>
    <cellStyle name="출력 4" xfId="15478" hidden="1"/>
    <cellStyle name="출력 4" xfId="15439" hidden="1"/>
    <cellStyle name="출력 4" xfId="16035" hidden="1"/>
    <cellStyle name="출력 4" xfId="16077" hidden="1"/>
    <cellStyle name="출력 4" xfId="16119" hidden="1"/>
    <cellStyle name="출력 4" xfId="16161" hidden="1"/>
    <cellStyle name="출력 4" xfId="16203" hidden="1"/>
    <cellStyle name="출력 4" xfId="16245" hidden="1"/>
    <cellStyle name="출력 4" xfId="16287" hidden="1"/>
    <cellStyle name="출력 4" xfId="16329" hidden="1"/>
    <cellStyle name="출력 4" xfId="16371" hidden="1"/>
    <cellStyle name="출력 4" xfId="16413" hidden="1"/>
    <cellStyle name="출력 4" xfId="15532" hidden="1"/>
    <cellStyle name="출력 4" xfId="15497" hidden="1"/>
    <cellStyle name="출력 4" xfId="16482" hidden="1"/>
    <cellStyle name="출력 4" xfId="16522" hidden="1"/>
    <cellStyle name="출력 4" xfId="16562" hidden="1"/>
    <cellStyle name="출력 4" xfId="16602" hidden="1"/>
    <cellStyle name="출력 4" xfId="16642" hidden="1"/>
    <cellStyle name="출력 4" xfId="16682" hidden="1"/>
    <cellStyle name="출력 4" xfId="16722" hidden="1"/>
    <cellStyle name="출력 4" xfId="16762" hidden="1"/>
    <cellStyle name="출력 4" xfId="16802" hidden="1"/>
    <cellStyle name="출력 4" xfId="16842" hidden="1"/>
    <cellStyle name="출력 4" xfId="16882" hidden="1"/>
    <cellStyle name="출력 4" xfId="14335" hidden="1"/>
    <cellStyle name="출력 4" xfId="16933" hidden="1"/>
    <cellStyle name="출력 4" xfId="16974" hidden="1"/>
    <cellStyle name="출력 4" xfId="17014" hidden="1"/>
    <cellStyle name="출력 4" xfId="17054" hidden="1"/>
    <cellStyle name="출력 4" xfId="17094" hidden="1"/>
    <cellStyle name="출력 4" xfId="17134" hidden="1"/>
    <cellStyle name="출력 4" xfId="17174" hidden="1"/>
    <cellStyle name="출력 4" xfId="17214" hidden="1"/>
    <cellStyle name="출력 4" xfId="17254" hidden="1"/>
    <cellStyle name="출력 4" xfId="17294" hidden="1"/>
    <cellStyle name="출력 4" xfId="17334" hidden="1"/>
    <cellStyle name="출력 4" xfId="17418" hidden="1"/>
    <cellStyle name="출력 4" xfId="17458" hidden="1"/>
    <cellStyle name="출력 4" xfId="17500" hidden="1"/>
    <cellStyle name="출력 4" xfId="17542" hidden="1"/>
    <cellStyle name="출력 4" xfId="17584" hidden="1"/>
    <cellStyle name="출력 4" xfId="17626" hidden="1"/>
    <cellStyle name="출력 4" xfId="17668" hidden="1"/>
    <cellStyle name="출력 4" xfId="17710" hidden="1"/>
    <cellStyle name="출력 4" xfId="17752" hidden="1"/>
    <cellStyle name="출력 4" xfId="17794" hidden="1"/>
    <cellStyle name="출력 4" xfId="17836" hidden="1"/>
    <cellStyle name="출력 4" xfId="17878" hidden="1"/>
    <cellStyle name="출력 4" xfId="17374" hidden="1"/>
    <cellStyle name="출력 4" xfId="18058" hidden="1"/>
    <cellStyle name="출력 4" xfId="18098" hidden="1"/>
    <cellStyle name="출력 4" xfId="18138" hidden="1"/>
    <cellStyle name="출력 4" xfId="18178" hidden="1"/>
    <cellStyle name="출력 4" xfId="18218" hidden="1"/>
    <cellStyle name="출력 4" xfId="18258" hidden="1"/>
    <cellStyle name="출력 4" xfId="18298" hidden="1"/>
    <cellStyle name="출력 4" xfId="18338" hidden="1"/>
    <cellStyle name="출력 4" xfId="18378" hidden="1"/>
    <cellStyle name="출력 4" xfId="18418" hidden="1"/>
    <cellStyle name="출력 4" xfId="18458" hidden="1"/>
    <cellStyle name="출력 4" xfId="18498" hidden="1"/>
    <cellStyle name="출력 4" xfId="17982" hidden="1"/>
    <cellStyle name="출력 4" xfId="17943" hidden="1"/>
    <cellStyle name="출력 4" xfId="18539" hidden="1"/>
    <cellStyle name="출력 4" xfId="18581" hidden="1"/>
    <cellStyle name="출력 4" xfId="18623" hidden="1"/>
    <cellStyle name="출력 4" xfId="18665" hidden="1"/>
    <cellStyle name="출력 4" xfId="18707" hidden="1"/>
    <cellStyle name="출력 4" xfId="18749" hidden="1"/>
    <cellStyle name="출력 4" xfId="18791" hidden="1"/>
    <cellStyle name="출력 4" xfId="18833" hidden="1"/>
    <cellStyle name="출력 4" xfId="18875" hidden="1"/>
    <cellStyle name="출력 4" xfId="18917" hidden="1"/>
    <cellStyle name="출력 4" xfId="18036" hidden="1"/>
    <cellStyle name="출력 4" xfId="18001" hidden="1"/>
    <cellStyle name="출력 4" xfId="18986" hidden="1"/>
    <cellStyle name="출력 4" xfId="19026" hidden="1"/>
    <cellStyle name="출력 4" xfId="19066" hidden="1"/>
    <cellStyle name="출력 4" xfId="19106" hidden="1"/>
    <cellStyle name="출력 4" xfId="19146" hidden="1"/>
    <cellStyle name="출력 4" xfId="19186" hidden="1"/>
    <cellStyle name="출력 4" xfId="19226" hidden="1"/>
    <cellStyle name="출력 4" xfId="19266" hidden="1"/>
    <cellStyle name="출력 4" xfId="19306" hidden="1"/>
    <cellStyle name="출력 4" xfId="19346" hidden="1"/>
    <cellStyle name="출력 4" xfId="19386" hidden="1"/>
    <cellStyle name="출력 4" xfId="14357" hidden="1"/>
    <cellStyle name="출력 4" xfId="19436" hidden="1"/>
    <cellStyle name="출력 4" xfId="19476" hidden="1"/>
    <cellStyle name="출력 4" xfId="19516" hidden="1"/>
    <cellStyle name="출력 4" xfId="19556" hidden="1"/>
    <cellStyle name="출력 4" xfId="19596" hidden="1"/>
    <cellStyle name="출력 4" xfId="19636" hidden="1"/>
    <cellStyle name="출력 4" xfId="19676" hidden="1"/>
    <cellStyle name="출력 4" xfId="19716" hidden="1"/>
    <cellStyle name="출력 4" xfId="19756" hidden="1"/>
    <cellStyle name="출력 4" xfId="19796" hidden="1"/>
    <cellStyle name="출력 4" xfId="19836" hidden="1"/>
    <cellStyle name="출력 4" xfId="19920" hidden="1"/>
    <cellStyle name="출력 4" xfId="19960" hidden="1"/>
    <cellStyle name="출력 4" xfId="20002" hidden="1"/>
    <cellStyle name="출력 4" xfId="20044" hidden="1"/>
    <cellStyle name="출력 4" xfId="20086" hidden="1"/>
    <cellStyle name="출력 4" xfId="20128" hidden="1"/>
    <cellStyle name="출력 4" xfId="20170" hidden="1"/>
    <cellStyle name="출력 4" xfId="20212" hidden="1"/>
    <cellStyle name="출력 4" xfId="20254" hidden="1"/>
    <cellStyle name="출력 4" xfId="20296" hidden="1"/>
    <cellStyle name="출력 4" xfId="20338" hidden="1"/>
    <cellStyle name="출력 4" xfId="20380" hidden="1"/>
    <cellStyle name="출력 4" xfId="19876" hidden="1"/>
    <cellStyle name="출력 4" xfId="20560" hidden="1"/>
    <cellStyle name="출력 4" xfId="20600" hidden="1"/>
    <cellStyle name="출력 4" xfId="20640" hidden="1"/>
    <cellStyle name="출력 4" xfId="20680" hidden="1"/>
    <cellStyle name="출력 4" xfId="20720" hidden="1"/>
    <cellStyle name="출력 4" xfId="20760" hidden="1"/>
    <cellStyle name="출력 4" xfId="20800" hidden="1"/>
    <cellStyle name="출력 4" xfId="20840" hidden="1"/>
    <cellStyle name="출력 4" xfId="20880" hidden="1"/>
    <cellStyle name="출력 4" xfId="20920" hidden="1"/>
    <cellStyle name="출력 4" xfId="20960" hidden="1"/>
    <cellStyle name="출력 4" xfId="21000" hidden="1"/>
    <cellStyle name="출력 4" xfId="20484" hidden="1"/>
    <cellStyle name="출력 4" xfId="20445" hidden="1"/>
    <cellStyle name="출력 4" xfId="21041" hidden="1"/>
    <cellStyle name="출력 4" xfId="21083" hidden="1"/>
    <cellStyle name="출력 4" xfId="21125" hidden="1"/>
    <cellStyle name="출력 4" xfId="21167" hidden="1"/>
    <cellStyle name="출력 4" xfId="21209" hidden="1"/>
    <cellStyle name="출력 4" xfId="21251" hidden="1"/>
    <cellStyle name="출력 4" xfId="21293" hidden="1"/>
    <cellStyle name="출력 4" xfId="21335" hidden="1"/>
    <cellStyle name="출력 4" xfId="21377" hidden="1"/>
    <cellStyle name="출력 4" xfId="21419" hidden="1"/>
    <cellStyle name="출력 4" xfId="20538" hidden="1"/>
    <cellStyle name="출력 4" xfId="20503" hidden="1"/>
    <cellStyle name="출력 4" xfId="21488" hidden="1"/>
    <cellStyle name="출력 4" xfId="21528" hidden="1"/>
    <cellStyle name="출력 4" xfId="21568" hidden="1"/>
    <cellStyle name="출력 4" xfId="21608" hidden="1"/>
    <cellStyle name="출력 4" xfId="21648" hidden="1"/>
    <cellStyle name="출력 4" xfId="21688" hidden="1"/>
    <cellStyle name="출력 4" xfId="21728" hidden="1"/>
    <cellStyle name="출력 4" xfId="21768" hidden="1"/>
    <cellStyle name="출력 4" xfId="21808" hidden="1"/>
    <cellStyle name="출력 4" xfId="21848" hidden="1"/>
    <cellStyle name="출력 4" xfId="21888" hidden="1"/>
    <cellStyle name="출력 4" xfId="21956" hidden="1"/>
    <cellStyle name="출력 4" xfId="21996" hidden="1"/>
    <cellStyle name="출력 4" xfId="22036" hidden="1"/>
    <cellStyle name="출력 4" xfId="22076" hidden="1"/>
    <cellStyle name="출력 4" xfId="22116" hidden="1"/>
    <cellStyle name="출력 4" xfId="22156" hidden="1"/>
    <cellStyle name="출력 4" xfId="22196" hidden="1"/>
    <cellStyle name="출력 4" xfId="22236" hidden="1"/>
    <cellStyle name="출력 4" xfId="22276" hidden="1"/>
    <cellStyle name="출력 4" xfId="22316" hidden="1"/>
    <cellStyle name="출력 4" xfId="22356" hidden="1"/>
    <cellStyle name="출력 4" xfId="22396" hidden="1"/>
    <cellStyle name="출력 4" xfId="22480" hidden="1"/>
    <cellStyle name="출력 4" xfId="22520" hidden="1"/>
    <cellStyle name="출력 4" xfId="22562" hidden="1"/>
    <cellStyle name="출력 4" xfId="22604" hidden="1"/>
    <cellStyle name="출력 4" xfId="22646" hidden="1"/>
    <cellStyle name="출력 4" xfId="22688" hidden="1"/>
    <cellStyle name="출력 4" xfId="22730" hidden="1"/>
    <cellStyle name="출력 4" xfId="22772" hidden="1"/>
    <cellStyle name="출력 4" xfId="22814" hidden="1"/>
    <cellStyle name="출력 4" xfId="22856" hidden="1"/>
    <cellStyle name="출력 4" xfId="22898" hidden="1"/>
    <cellStyle name="출력 4" xfId="22940" hidden="1"/>
    <cellStyle name="출력 4" xfId="22436" hidden="1"/>
    <cellStyle name="출력 4" xfId="23120" hidden="1"/>
    <cellStyle name="출력 4" xfId="23160" hidden="1"/>
    <cellStyle name="출력 4" xfId="23200" hidden="1"/>
    <cellStyle name="출력 4" xfId="23240" hidden="1"/>
    <cellStyle name="출력 4" xfId="23280" hidden="1"/>
    <cellStyle name="출력 4" xfId="23320" hidden="1"/>
    <cellStyle name="출력 4" xfId="23360" hidden="1"/>
    <cellStyle name="출력 4" xfId="23400" hidden="1"/>
    <cellStyle name="출력 4" xfId="23440" hidden="1"/>
    <cellStyle name="출력 4" xfId="23480" hidden="1"/>
    <cellStyle name="출력 4" xfId="23520" hidden="1"/>
    <cellStyle name="출력 4" xfId="23560" hidden="1"/>
    <cellStyle name="출력 4" xfId="23044" hidden="1"/>
    <cellStyle name="출력 4" xfId="23005" hidden="1"/>
    <cellStyle name="출력 4" xfId="23601" hidden="1"/>
    <cellStyle name="출력 4" xfId="23643" hidden="1"/>
    <cellStyle name="출력 4" xfId="23685" hidden="1"/>
    <cellStyle name="출력 4" xfId="23727" hidden="1"/>
    <cellStyle name="출력 4" xfId="23769" hidden="1"/>
    <cellStyle name="출력 4" xfId="23811" hidden="1"/>
    <cellStyle name="출력 4" xfId="23853" hidden="1"/>
    <cellStyle name="출력 4" xfId="23895" hidden="1"/>
    <cellStyle name="출력 4" xfId="23937" hidden="1"/>
    <cellStyle name="출력 4" xfId="23979" hidden="1"/>
    <cellStyle name="출력 4" xfId="23098" hidden="1"/>
    <cellStyle name="출력 4" xfId="23063" hidden="1"/>
    <cellStyle name="출력 4" xfId="24048" hidden="1"/>
    <cellStyle name="출력 4" xfId="24088" hidden="1"/>
    <cellStyle name="출력 4" xfId="24128" hidden="1"/>
    <cellStyle name="출력 4" xfId="24168" hidden="1"/>
    <cellStyle name="출력 4" xfId="24208" hidden="1"/>
    <cellStyle name="출력 4" xfId="24248" hidden="1"/>
    <cellStyle name="출력 4" xfId="24288" hidden="1"/>
    <cellStyle name="출력 4" xfId="24328" hidden="1"/>
    <cellStyle name="출력 4" xfId="24368" hidden="1"/>
    <cellStyle name="출력 4" xfId="24408" hidden="1"/>
    <cellStyle name="출력 4" xfId="24448" hidden="1"/>
    <cellStyle name="출력 4" xfId="24546" hidden="1"/>
    <cellStyle name="출력 4" xfId="24586" hidden="1"/>
    <cellStyle name="출력 4" xfId="24627" hidden="1"/>
    <cellStyle name="출력 4" xfId="24669" hidden="1"/>
    <cellStyle name="출력 4" xfId="24709" hidden="1"/>
    <cellStyle name="출력 4" xfId="24749" hidden="1"/>
    <cellStyle name="출력 4" xfId="24789" hidden="1"/>
    <cellStyle name="출력 4" xfId="24829" hidden="1"/>
    <cellStyle name="출력 4" xfId="24869" hidden="1"/>
    <cellStyle name="출력 4" xfId="24909" hidden="1"/>
    <cellStyle name="출력 4" xfId="24949" hidden="1"/>
    <cellStyle name="출력 4" xfId="24989" hidden="1"/>
    <cellStyle name="출력 4" xfId="25073" hidden="1"/>
    <cellStyle name="출력 4" xfId="25113" hidden="1"/>
    <cellStyle name="출력 4" xfId="25155" hidden="1"/>
    <cellStyle name="출력 4" xfId="25197" hidden="1"/>
    <cellStyle name="출력 4" xfId="25239" hidden="1"/>
    <cellStyle name="출력 4" xfId="25281" hidden="1"/>
    <cellStyle name="출력 4" xfId="25323" hidden="1"/>
    <cellStyle name="출력 4" xfId="25365" hidden="1"/>
    <cellStyle name="출력 4" xfId="25407" hidden="1"/>
    <cellStyle name="출력 4" xfId="25449" hidden="1"/>
    <cellStyle name="출력 4" xfId="25491" hidden="1"/>
    <cellStyle name="출력 4" xfId="25533" hidden="1"/>
    <cellStyle name="출력 4" xfId="25029" hidden="1"/>
    <cellStyle name="출력 4" xfId="25713" hidden="1"/>
    <cellStyle name="출력 4" xfId="25753" hidden="1"/>
    <cellStyle name="출력 4" xfId="25793" hidden="1"/>
    <cellStyle name="출력 4" xfId="25833" hidden="1"/>
    <cellStyle name="출력 4" xfId="25873" hidden="1"/>
    <cellStyle name="출력 4" xfId="25913" hidden="1"/>
    <cellStyle name="출력 4" xfId="25953" hidden="1"/>
    <cellStyle name="출력 4" xfId="25993" hidden="1"/>
    <cellStyle name="출력 4" xfId="26033" hidden="1"/>
    <cellStyle name="출력 4" xfId="26073" hidden="1"/>
    <cellStyle name="출력 4" xfId="26113" hidden="1"/>
    <cellStyle name="출력 4" xfId="26153" hidden="1"/>
    <cellStyle name="출력 4" xfId="25637" hidden="1"/>
    <cellStyle name="출력 4" xfId="25598" hidden="1"/>
    <cellStyle name="출력 4" xfId="26194" hidden="1"/>
    <cellStyle name="출력 4" xfId="26236" hidden="1"/>
    <cellStyle name="출력 4" xfId="26278" hidden="1"/>
    <cellStyle name="출력 4" xfId="26320" hidden="1"/>
    <cellStyle name="출력 4" xfId="26362" hidden="1"/>
    <cellStyle name="출력 4" xfId="26404" hidden="1"/>
    <cellStyle name="출력 4" xfId="26446" hidden="1"/>
    <cellStyle name="출력 4" xfId="26488" hidden="1"/>
    <cellStyle name="출력 4" xfId="26530" hidden="1"/>
    <cellStyle name="출력 4" xfId="26572" hidden="1"/>
    <cellStyle name="출력 4" xfId="25691" hidden="1"/>
    <cellStyle name="출력 4" xfId="25656" hidden="1"/>
    <cellStyle name="출력 4" xfId="26641" hidden="1"/>
    <cellStyle name="출력 4" xfId="26681" hidden="1"/>
    <cellStyle name="출력 4" xfId="26721" hidden="1"/>
    <cellStyle name="출력 4" xfId="26761" hidden="1"/>
    <cellStyle name="출력 4" xfId="26801" hidden="1"/>
    <cellStyle name="출력 4" xfId="26841" hidden="1"/>
    <cellStyle name="출력 4" xfId="26881" hidden="1"/>
    <cellStyle name="출력 4" xfId="26921" hidden="1"/>
    <cellStyle name="출력 4" xfId="26961" hidden="1"/>
    <cellStyle name="출력 4" xfId="27001" hidden="1"/>
    <cellStyle name="출력 4" xfId="27041" hidden="1"/>
    <cellStyle name="출력 4" xfId="24497" hidden="1"/>
    <cellStyle name="출력 4" xfId="27092" hidden="1"/>
    <cellStyle name="출력 4" xfId="27132" hidden="1"/>
    <cellStyle name="출력 4" xfId="27172" hidden="1"/>
    <cellStyle name="출력 4" xfId="27212" hidden="1"/>
    <cellStyle name="출력 4" xfId="27252" hidden="1"/>
    <cellStyle name="출력 4" xfId="27292" hidden="1"/>
    <cellStyle name="출력 4" xfId="27332" hidden="1"/>
    <cellStyle name="출력 4" xfId="27372" hidden="1"/>
    <cellStyle name="출력 4" xfId="27412" hidden="1"/>
    <cellStyle name="출력 4" xfId="27452" hidden="1"/>
    <cellStyle name="출력 4" xfId="27492" hidden="1"/>
    <cellStyle name="출력 4" xfId="27576" hidden="1"/>
    <cellStyle name="출력 4" xfId="27616" hidden="1"/>
    <cellStyle name="출력 4" xfId="27658" hidden="1"/>
    <cellStyle name="출력 4" xfId="27700" hidden="1"/>
    <cellStyle name="출력 4" xfId="27742" hidden="1"/>
    <cellStyle name="출력 4" xfId="27784" hidden="1"/>
    <cellStyle name="출력 4" xfId="27826" hidden="1"/>
    <cellStyle name="출력 4" xfId="27868" hidden="1"/>
    <cellStyle name="출력 4" xfId="27910" hidden="1"/>
    <cellStyle name="출력 4" xfId="27952" hidden="1"/>
    <cellStyle name="출력 4" xfId="27994" hidden="1"/>
    <cellStyle name="출력 4" xfId="28036" hidden="1"/>
    <cellStyle name="출력 4" xfId="27532" hidden="1"/>
    <cellStyle name="출력 4" xfId="28216" hidden="1"/>
    <cellStyle name="출력 4" xfId="28256" hidden="1"/>
    <cellStyle name="출력 4" xfId="28296" hidden="1"/>
    <cellStyle name="출력 4" xfId="28336" hidden="1"/>
    <cellStyle name="출력 4" xfId="28376" hidden="1"/>
    <cellStyle name="출력 4" xfId="28416" hidden="1"/>
    <cellStyle name="출력 4" xfId="28456" hidden="1"/>
    <cellStyle name="출력 4" xfId="28496" hidden="1"/>
    <cellStyle name="출력 4" xfId="28536" hidden="1"/>
    <cellStyle name="출력 4" xfId="28576" hidden="1"/>
    <cellStyle name="출력 4" xfId="28616" hidden="1"/>
    <cellStyle name="출력 4" xfId="28656" hidden="1"/>
    <cellStyle name="출력 4" xfId="28140" hidden="1"/>
    <cellStyle name="출력 4" xfId="28101" hidden="1"/>
    <cellStyle name="출력 4" xfId="28697" hidden="1"/>
    <cellStyle name="출력 4" xfId="28739" hidden="1"/>
    <cellStyle name="출력 4" xfId="28781" hidden="1"/>
    <cellStyle name="출력 4" xfId="28823" hidden="1"/>
    <cellStyle name="출력 4" xfId="28865" hidden="1"/>
    <cellStyle name="출력 4" xfId="28907" hidden="1"/>
    <cellStyle name="출력 4" xfId="28949" hidden="1"/>
    <cellStyle name="출력 4" xfId="28991" hidden="1"/>
    <cellStyle name="출력 4" xfId="29033" hidden="1"/>
    <cellStyle name="출력 4" xfId="29075" hidden="1"/>
    <cellStyle name="출력 4" xfId="28194" hidden="1"/>
    <cellStyle name="출력 4" xfId="28159" hidden="1"/>
    <cellStyle name="출력 4" xfId="29144" hidden="1"/>
    <cellStyle name="출력 4" xfId="29184" hidden="1"/>
    <cellStyle name="출력 4" xfId="29224" hidden="1"/>
    <cellStyle name="출력 4" xfId="29264" hidden="1"/>
    <cellStyle name="출력 4" xfId="29304" hidden="1"/>
    <cellStyle name="출력 4" xfId="29344" hidden="1"/>
    <cellStyle name="출력 4" xfId="29384" hidden="1"/>
    <cellStyle name="출력 4" xfId="29424" hidden="1"/>
    <cellStyle name="출력 4" xfId="29464" hidden="1"/>
    <cellStyle name="출력 4" xfId="29504" hidden="1"/>
    <cellStyle name="출력 4" xfId="29544" hidden="1"/>
    <cellStyle name="출력 4" xfId="24515" hidden="1"/>
    <cellStyle name="출력 4" xfId="29594" hidden="1"/>
    <cellStyle name="출력 4" xfId="29634" hidden="1"/>
    <cellStyle name="출력 4" xfId="29674" hidden="1"/>
    <cellStyle name="출력 4" xfId="29714" hidden="1"/>
    <cellStyle name="출력 4" xfId="29754" hidden="1"/>
    <cellStyle name="출력 4" xfId="29794" hidden="1"/>
    <cellStyle name="출력 4" xfId="29834" hidden="1"/>
    <cellStyle name="출력 4" xfId="29874" hidden="1"/>
    <cellStyle name="출력 4" xfId="29914" hidden="1"/>
    <cellStyle name="출력 4" xfId="29954" hidden="1"/>
    <cellStyle name="출력 4" xfId="29994" hidden="1"/>
    <cellStyle name="출력 4" xfId="30078" hidden="1"/>
    <cellStyle name="출력 4" xfId="30118" hidden="1"/>
    <cellStyle name="출력 4" xfId="30160" hidden="1"/>
    <cellStyle name="출력 4" xfId="30202" hidden="1"/>
    <cellStyle name="출력 4" xfId="30244" hidden="1"/>
    <cellStyle name="출력 4" xfId="30286" hidden="1"/>
    <cellStyle name="출력 4" xfId="30328" hidden="1"/>
    <cellStyle name="출력 4" xfId="30370" hidden="1"/>
    <cellStyle name="출력 4" xfId="30412" hidden="1"/>
    <cellStyle name="출력 4" xfId="30454" hidden="1"/>
    <cellStyle name="출력 4" xfId="30496" hidden="1"/>
    <cellStyle name="출력 4" xfId="30538" hidden="1"/>
    <cellStyle name="출력 4" xfId="30034" hidden="1"/>
    <cellStyle name="출력 4" xfId="30718" hidden="1"/>
    <cellStyle name="출력 4" xfId="30758" hidden="1"/>
    <cellStyle name="출력 4" xfId="30798" hidden="1"/>
    <cellStyle name="출력 4" xfId="30838" hidden="1"/>
    <cellStyle name="출력 4" xfId="30878" hidden="1"/>
    <cellStyle name="출력 4" xfId="30918" hidden="1"/>
    <cellStyle name="출력 4" xfId="30958" hidden="1"/>
    <cellStyle name="출력 4" xfId="30998" hidden="1"/>
    <cellStyle name="출력 4" xfId="31038" hidden="1"/>
    <cellStyle name="출력 4" xfId="31078" hidden="1"/>
    <cellStyle name="출력 4" xfId="31118" hidden="1"/>
    <cellStyle name="출력 4" xfId="31158" hidden="1"/>
    <cellStyle name="출력 4" xfId="30642" hidden="1"/>
    <cellStyle name="출력 4" xfId="30603" hidden="1"/>
    <cellStyle name="출력 4" xfId="31199" hidden="1"/>
    <cellStyle name="출력 4" xfId="31241" hidden="1"/>
    <cellStyle name="출력 4" xfId="31283" hidden="1"/>
    <cellStyle name="출력 4" xfId="31325" hidden="1"/>
    <cellStyle name="출력 4" xfId="31367" hidden="1"/>
    <cellStyle name="출력 4" xfId="31409" hidden="1"/>
    <cellStyle name="출력 4" xfId="31451" hidden="1"/>
    <cellStyle name="출력 4" xfId="31493" hidden="1"/>
    <cellStyle name="출력 4" xfId="31535" hidden="1"/>
    <cellStyle name="출력 4" xfId="31577" hidden="1"/>
    <cellStyle name="출력 4" xfId="30696" hidden="1"/>
    <cellStyle name="출력 4" xfId="30661" hidden="1"/>
    <cellStyle name="출력 4" xfId="31646" hidden="1"/>
    <cellStyle name="출력 4" xfId="31686" hidden="1"/>
    <cellStyle name="출력 4" xfId="31726" hidden="1"/>
    <cellStyle name="출력 4" xfId="31766" hidden="1"/>
    <cellStyle name="출력 4" xfId="31806" hidden="1"/>
    <cellStyle name="출력 4" xfId="31846" hidden="1"/>
    <cellStyle name="출력 4" xfId="31886" hidden="1"/>
    <cellStyle name="출력 4" xfId="31926" hidden="1"/>
    <cellStyle name="출력 4" xfId="31966" hidden="1"/>
    <cellStyle name="출력 4" xfId="32006" hidden="1"/>
    <cellStyle name="출력 4" xfId="32046" hidden="1"/>
    <cellStyle name="출력 4" xfId="32108" hidden="1"/>
    <cellStyle name="출력 4" xfId="32148" hidden="1"/>
    <cellStyle name="출력 4" xfId="32188" hidden="1"/>
    <cellStyle name="출력 4" xfId="32228" hidden="1"/>
    <cellStyle name="출력 4" xfId="32268" hidden="1"/>
    <cellStyle name="출력 4" xfId="32308" hidden="1"/>
    <cellStyle name="출력 4" xfId="32348" hidden="1"/>
    <cellStyle name="출력 4" xfId="32388" hidden="1"/>
    <cellStyle name="출력 4" xfId="32428" hidden="1"/>
    <cellStyle name="출력 4" xfId="32468" hidden="1"/>
    <cellStyle name="출력 4" xfId="32508" hidden="1"/>
    <cellStyle name="출력 4" xfId="32548" hidden="1"/>
    <cellStyle name="출력 4" xfId="32633" hidden="1"/>
    <cellStyle name="출력 4" xfId="32673" hidden="1"/>
    <cellStyle name="출력 4" xfId="32715" hidden="1"/>
    <cellStyle name="출력 4" xfId="32757" hidden="1"/>
    <cellStyle name="출력 4" xfId="32799" hidden="1"/>
    <cellStyle name="출력 4" xfId="32841" hidden="1"/>
    <cellStyle name="출력 4" xfId="32883" hidden="1"/>
    <cellStyle name="출력 4" xfId="32925" hidden="1"/>
    <cellStyle name="출력 4" xfId="32967" hidden="1"/>
    <cellStyle name="출력 4" xfId="33009" hidden="1"/>
    <cellStyle name="출력 4" xfId="33051" hidden="1"/>
    <cellStyle name="출력 4" xfId="33093" hidden="1"/>
    <cellStyle name="출력 4" xfId="32589" hidden="1"/>
    <cellStyle name="출력 4" xfId="33273" hidden="1"/>
    <cellStyle name="출력 4" xfId="33313" hidden="1"/>
    <cellStyle name="출력 4" xfId="33353" hidden="1"/>
    <cellStyle name="출력 4" xfId="33393" hidden="1"/>
    <cellStyle name="출력 4" xfId="33433" hidden="1"/>
    <cellStyle name="출력 4" xfId="33473" hidden="1"/>
    <cellStyle name="출력 4" xfId="33513" hidden="1"/>
    <cellStyle name="출력 4" xfId="33553" hidden="1"/>
    <cellStyle name="출력 4" xfId="33593" hidden="1"/>
    <cellStyle name="출력 4" xfId="33633" hidden="1"/>
    <cellStyle name="출력 4" xfId="33673" hidden="1"/>
    <cellStyle name="출력 4" xfId="33713" hidden="1"/>
    <cellStyle name="출력 4" xfId="33197" hidden="1"/>
    <cellStyle name="출력 4" xfId="33158" hidden="1"/>
    <cellStyle name="출력 4" xfId="33754" hidden="1"/>
    <cellStyle name="출력 4" xfId="33796" hidden="1"/>
    <cellStyle name="출력 4" xfId="33838" hidden="1"/>
    <cellStyle name="출력 4" xfId="33880" hidden="1"/>
    <cellStyle name="출력 4" xfId="33922" hidden="1"/>
    <cellStyle name="출력 4" xfId="33964" hidden="1"/>
    <cellStyle name="출력 4" xfId="34006" hidden="1"/>
    <cellStyle name="출력 4" xfId="34048" hidden="1"/>
    <cellStyle name="출력 4" xfId="34090" hidden="1"/>
    <cellStyle name="출력 4" xfId="34132" hidden="1"/>
    <cellStyle name="출력 4" xfId="33251" hidden="1"/>
    <cellStyle name="출력 4" xfId="33216" hidden="1"/>
    <cellStyle name="출력 4" xfId="34201" hidden="1"/>
    <cellStyle name="출력 4" xfId="34241" hidden="1"/>
    <cellStyle name="출력 4" xfId="34281" hidden="1"/>
    <cellStyle name="출력 4" xfId="34321" hidden="1"/>
    <cellStyle name="출력 4" xfId="34361" hidden="1"/>
    <cellStyle name="출력 4" xfId="34401" hidden="1"/>
    <cellStyle name="출력 4" xfId="34441" hidden="1"/>
    <cellStyle name="출력 4" xfId="34481" hidden="1"/>
    <cellStyle name="출력 4" xfId="34521" hidden="1"/>
    <cellStyle name="출력 4" xfId="34561" hidden="1"/>
    <cellStyle name="출력 4" xfId="34601" hidden="1"/>
    <cellStyle name="출력 4" xfId="34698" hidden="1"/>
    <cellStyle name="출력 4" xfId="34738" hidden="1"/>
    <cellStyle name="출력 4" xfId="34778" hidden="1"/>
    <cellStyle name="출력 4" xfId="34818" hidden="1"/>
    <cellStyle name="출력 4" xfId="34858" hidden="1"/>
    <cellStyle name="출력 4" xfId="34898" hidden="1"/>
    <cellStyle name="출력 4" xfId="34938" hidden="1"/>
    <cellStyle name="출력 4" xfId="34978" hidden="1"/>
    <cellStyle name="출력 4" xfId="35018" hidden="1"/>
    <cellStyle name="출력 4" xfId="35058" hidden="1"/>
    <cellStyle name="출력 4" xfId="35098" hidden="1"/>
    <cellStyle name="출력 4" xfId="35138" hidden="1"/>
    <cellStyle name="출력 4" xfId="35222" hidden="1"/>
    <cellStyle name="출력 4" xfId="35262" hidden="1"/>
    <cellStyle name="출력 4" xfId="35304" hidden="1"/>
    <cellStyle name="출력 4" xfId="35346" hidden="1"/>
    <cellStyle name="출력 4" xfId="35388" hidden="1"/>
    <cellStyle name="출력 4" xfId="35430" hidden="1"/>
    <cellStyle name="출력 4" xfId="35472" hidden="1"/>
    <cellStyle name="출력 4" xfId="35514" hidden="1"/>
    <cellStyle name="출력 4" xfId="35556" hidden="1"/>
    <cellStyle name="출력 4" xfId="35598" hidden="1"/>
    <cellStyle name="출력 4" xfId="35640" hidden="1"/>
    <cellStyle name="출력 4" xfId="35682" hidden="1"/>
    <cellStyle name="출력 4" xfId="35178" hidden="1"/>
    <cellStyle name="출력 4" xfId="35862" hidden="1"/>
    <cellStyle name="출력 4" xfId="35902" hidden="1"/>
    <cellStyle name="출력 4" xfId="35942" hidden="1"/>
    <cellStyle name="출력 4" xfId="35982" hidden="1"/>
    <cellStyle name="출력 4" xfId="36022" hidden="1"/>
    <cellStyle name="출력 4" xfId="36062" hidden="1"/>
    <cellStyle name="출력 4" xfId="36102" hidden="1"/>
    <cellStyle name="출력 4" xfId="36142" hidden="1"/>
    <cellStyle name="출력 4" xfId="36182" hidden="1"/>
    <cellStyle name="출력 4" xfId="36222" hidden="1"/>
    <cellStyle name="출력 4" xfId="36262" hidden="1"/>
    <cellStyle name="출력 4" xfId="36302" hidden="1"/>
    <cellStyle name="출력 4" xfId="35786" hidden="1"/>
    <cellStyle name="출력 4" xfId="35747" hidden="1"/>
    <cellStyle name="출력 4" xfId="36343" hidden="1"/>
    <cellStyle name="출력 4" xfId="36385" hidden="1"/>
    <cellStyle name="출력 4" xfId="36427" hidden="1"/>
    <cellStyle name="출력 4" xfId="36469" hidden="1"/>
    <cellStyle name="출력 4" xfId="36511" hidden="1"/>
    <cellStyle name="출력 4" xfId="36553" hidden="1"/>
    <cellStyle name="출력 4" xfId="36595" hidden="1"/>
    <cellStyle name="출력 4" xfId="36637" hidden="1"/>
    <cellStyle name="출력 4" xfId="36679" hidden="1"/>
    <cellStyle name="출력 4" xfId="36721" hidden="1"/>
    <cellStyle name="출력 4" xfId="35840" hidden="1"/>
    <cellStyle name="출력 4" xfId="35805" hidden="1"/>
    <cellStyle name="출력 4" xfId="36790" hidden="1"/>
    <cellStyle name="출력 4" xfId="36830" hidden="1"/>
    <cellStyle name="출력 4" xfId="36870" hidden="1"/>
    <cellStyle name="출력 4" xfId="36910" hidden="1"/>
    <cellStyle name="출력 4" xfId="36950" hidden="1"/>
    <cellStyle name="출력 4" xfId="36990" hidden="1"/>
    <cellStyle name="출력 4" xfId="37030" hidden="1"/>
    <cellStyle name="출력 4" xfId="37070" hidden="1"/>
    <cellStyle name="출력 4" xfId="37110" hidden="1"/>
    <cellStyle name="출력 4" xfId="37150" hidden="1"/>
    <cellStyle name="출력 4" xfId="37190" hidden="1"/>
    <cellStyle name="출력 4" xfId="34649" hidden="1"/>
    <cellStyle name="출력 4" xfId="37241" hidden="1"/>
    <cellStyle name="출력 4" xfId="37282" hidden="1"/>
    <cellStyle name="출력 4" xfId="37322" hidden="1"/>
    <cellStyle name="출력 4" xfId="37362" hidden="1"/>
    <cellStyle name="출력 4" xfId="37402" hidden="1"/>
    <cellStyle name="출력 4" xfId="37442" hidden="1"/>
    <cellStyle name="출력 4" xfId="37482" hidden="1"/>
    <cellStyle name="출력 4" xfId="37522" hidden="1"/>
    <cellStyle name="출력 4" xfId="37562" hidden="1"/>
    <cellStyle name="출력 4" xfId="37602" hidden="1"/>
    <cellStyle name="출력 4" xfId="37642" hidden="1"/>
    <cellStyle name="출력 4" xfId="37726" hidden="1"/>
    <cellStyle name="출력 4" xfId="37766" hidden="1"/>
    <cellStyle name="출력 4" xfId="37808" hidden="1"/>
    <cellStyle name="출력 4" xfId="37850" hidden="1"/>
    <cellStyle name="출력 4" xfId="37892" hidden="1"/>
    <cellStyle name="출력 4" xfId="37934" hidden="1"/>
    <cellStyle name="출력 4" xfId="37976" hidden="1"/>
    <cellStyle name="출력 4" xfId="38018" hidden="1"/>
    <cellStyle name="출력 4" xfId="38060" hidden="1"/>
    <cellStyle name="출력 4" xfId="38102" hidden="1"/>
    <cellStyle name="출력 4" xfId="38144" hidden="1"/>
    <cellStyle name="출력 4" xfId="38186" hidden="1"/>
    <cellStyle name="출력 4" xfId="37682" hidden="1"/>
    <cellStyle name="출력 4" xfId="38366" hidden="1"/>
    <cellStyle name="출력 4" xfId="38406" hidden="1"/>
    <cellStyle name="출력 4" xfId="38446" hidden="1"/>
    <cellStyle name="출력 4" xfId="38486" hidden="1"/>
    <cellStyle name="출력 4" xfId="38526" hidden="1"/>
    <cellStyle name="출력 4" xfId="38566" hidden="1"/>
    <cellStyle name="출력 4" xfId="38606" hidden="1"/>
    <cellStyle name="출력 4" xfId="38646" hidden="1"/>
    <cellStyle name="출력 4" xfId="38686" hidden="1"/>
    <cellStyle name="출력 4" xfId="38726" hidden="1"/>
    <cellStyle name="출력 4" xfId="38766" hidden="1"/>
    <cellStyle name="출력 4" xfId="38806" hidden="1"/>
    <cellStyle name="출력 4" xfId="38290" hidden="1"/>
    <cellStyle name="출력 4" xfId="38251" hidden="1"/>
    <cellStyle name="출력 4" xfId="38847" hidden="1"/>
    <cellStyle name="출력 4" xfId="38889" hidden="1"/>
    <cellStyle name="출력 4" xfId="38931" hidden="1"/>
    <cellStyle name="출력 4" xfId="38973" hidden="1"/>
    <cellStyle name="출력 4" xfId="39015" hidden="1"/>
    <cellStyle name="출력 4" xfId="39057" hidden="1"/>
    <cellStyle name="출력 4" xfId="39099" hidden="1"/>
    <cellStyle name="출력 4" xfId="39141" hidden="1"/>
    <cellStyle name="출력 4" xfId="39183" hidden="1"/>
    <cellStyle name="출력 4" xfId="39225" hidden="1"/>
    <cellStyle name="출력 4" xfId="38344" hidden="1"/>
    <cellStyle name="출력 4" xfId="38309" hidden="1"/>
    <cellStyle name="출력 4" xfId="39294" hidden="1"/>
    <cellStyle name="출력 4" xfId="39334" hidden="1"/>
    <cellStyle name="출력 4" xfId="39374" hidden="1"/>
    <cellStyle name="출력 4" xfId="39414" hidden="1"/>
    <cellStyle name="출력 4" xfId="39454" hidden="1"/>
    <cellStyle name="출력 4" xfId="39494" hidden="1"/>
    <cellStyle name="출력 4" xfId="39534" hidden="1"/>
    <cellStyle name="출력 4" xfId="39574" hidden="1"/>
    <cellStyle name="출력 4" xfId="39614" hidden="1"/>
    <cellStyle name="출력 4" xfId="39654" hidden="1"/>
    <cellStyle name="출력 4" xfId="39694" hidden="1"/>
    <cellStyle name="출력 4" xfId="34667" hidden="1"/>
    <cellStyle name="출력 4" xfId="39744" hidden="1"/>
    <cellStyle name="출력 4" xfId="39784" hidden="1"/>
    <cellStyle name="출력 4" xfId="39824" hidden="1"/>
    <cellStyle name="출력 4" xfId="39864" hidden="1"/>
    <cellStyle name="출력 4" xfId="39904" hidden="1"/>
    <cellStyle name="출력 4" xfId="39944" hidden="1"/>
    <cellStyle name="출력 4" xfId="39984" hidden="1"/>
    <cellStyle name="출력 4" xfId="40024" hidden="1"/>
    <cellStyle name="출력 4" xfId="40064" hidden="1"/>
    <cellStyle name="출력 4" xfId="40104" hidden="1"/>
    <cellStyle name="출력 4" xfId="40144" hidden="1"/>
    <cellStyle name="출력 4" xfId="40228" hidden="1"/>
    <cellStyle name="출력 4" xfId="40268" hidden="1"/>
    <cellStyle name="출력 4" xfId="40310" hidden="1"/>
    <cellStyle name="출력 4" xfId="40352" hidden="1"/>
    <cellStyle name="출력 4" xfId="40394" hidden="1"/>
    <cellStyle name="출력 4" xfId="40436" hidden="1"/>
    <cellStyle name="출력 4" xfId="40478" hidden="1"/>
    <cellStyle name="출력 4" xfId="40520" hidden="1"/>
    <cellStyle name="출력 4" xfId="40562" hidden="1"/>
    <cellStyle name="출력 4" xfId="40604" hidden="1"/>
    <cellStyle name="출력 4" xfId="40646" hidden="1"/>
    <cellStyle name="출력 4" xfId="40688" hidden="1"/>
    <cellStyle name="출력 4" xfId="40184" hidden="1"/>
    <cellStyle name="출력 4" xfId="40868" hidden="1"/>
    <cellStyle name="출력 4" xfId="40908" hidden="1"/>
    <cellStyle name="출력 4" xfId="40948" hidden="1"/>
    <cellStyle name="출력 4" xfId="40988" hidden="1"/>
    <cellStyle name="출력 4" xfId="41028" hidden="1"/>
    <cellStyle name="출력 4" xfId="41068" hidden="1"/>
    <cellStyle name="출력 4" xfId="41108" hidden="1"/>
    <cellStyle name="출력 4" xfId="41148" hidden="1"/>
    <cellStyle name="출력 4" xfId="41188" hidden="1"/>
    <cellStyle name="출력 4" xfId="41228" hidden="1"/>
    <cellStyle name="출력 4" xfId="41268" hidden="1"/>
    <cellStyle name="출력 4" xfId="41308" hidden="1"/>
    <cellStyle name="출력 4" xfId="40792" hidden="1"/>
    <cellStyle name="출력 4" xfId="40753" hidden="1"/>
    <cellStyle name="출력 4" xfId="41349" hidden="1"/>
    <cellStyle name="출력 4" xfId="41391" hidden="1"/>
    <cellStyle name="출력 4" xfId="41433" hidden="1"/>
    <cellStyle name="출력 4" xfId="41475" hidden="1"/>
    <cellStyle name="출력 4" xfId="41517" hidden="1"/>
    <cellStyle name="출력 4" xfId="41559" hidden="1"/>
    <cellStyle name="출력 4" xfId="41601" hidden="1"/>
    <cellStyle name="출력 4" xfId="41643" hidden="1"/>
    <cellStyle name="출력 4" xfId="41685" hidden="1"/>
    <cellStyle name="출력 4" xfId="41727" hidden="1"/>
    <cellStyle name="출력 4" xfId="40846" hidden="1"/>
    <cellStyle name="출력 4" xfId="40811" hidden="1"/>
    <cellStyle name="출력 4" xfId="41796" hidden="1"/>
    <cellStyle name="출력 4" xfId="41836" hidden="1"/>
    <cellStyle name="출력 4" xfId="41876" hidden="1"/>
    <cellStyle name="출력 4" xfId="41916" hidden="1"/>
    <cellStyle name="출력 4" xfId="41956" hidden="1"/>
    <cellStyle name="출력 4" xfId="41996" hidden="1"/>
    <cellStyle name="출력 4" xfId="42036" hidden="1"/>
    <cellStyle name="출력 4" xfId="42076" hidden="1"/>
    <cellStyle name="출력 4" xfId="42116" hidden="1"/>
    <cellStyle name="출력 4" xfId="42156" hidden="1"/>
    <cellStyle name="출력 4" xfId="42196" hidden="1"/>
    <cellStyle name="출력 4" xfId="42239" hidden="1"/>
    <cellStyle name="출력 4" xfId="42279" hidden="1"/>
    <cellStyle name="출력 4" xfId="42319" hidden="1"/>
    <cellStyle name="출력 4" xfId="42359" hidden="1"/>
    <cellStyle name="출력 4" xfId="42399" hidden="1"/>
    <cellStyle name="출력 4" xfId="42439" hidden="1"/>
    <cellStyle name="출력 4" xfId="42479" hidden="1"/>
    <cellStyle name="출력 4" xfId="42519" hidden="1"/>
    <cellStyle name="출력 4" xfId="42559" hidden="1"/>
    <cellStyle name="출력 4" xfId="42599" hidden="1"/>
    <cellStyle name="출력 4" xfId="42639" hidden="1"/>
    <cellStyle name="출력 4" xfId="42679" hidden="1"/>
    <cellStyle name="출력 4" xfId="42763" hidden="1"/>
    <cellStyle name="출력 4" xfId="42803" hidden="1"/>
    <cellStyle name="출력 4" xfId="42845" hidden="1"/>
    <cellStyle name="출력 4" xfId="42887" hidden="1"/>
    <cellStyle name="출력 4" xfId="42929" hidden="1"/>
    <cellStyle name="출력 4" xfId="42971" hidden="1"/>
    <cellStyle name="출력 4" xfId="43013" hidden="1"/>
    <cellStyle name="출력 4" xfId="43055" hidden="1"/>
    <cellStyle name="출력 4" xfId="43097" hidden="1"/>
    <cellStyle name="출력 4" xfId="43139" hidden="1"/>
    <cellStyle name="출력 4" xfId="43181" hidden="1"/>
    <cellStyle name="출력 4" xfId="43223" hidden="1"/>
    <cellStyle name="출력 4" xfId="42719" hidden="1"/>
    <cellStyle name="출력 4" xfId="43403" hidden="1"/>
    <cellStyle name="출력 4" xfId="43443" hidden="1"/>
    <cellStyle name="출력 4" xfId="43483" hidden="1"/>
    <cellStyle name="출력 4" xfId="43523" hidden="1"/>
    <cellStyle name="출력 4" xfId="43563" hidden="1"/>
    <cellStyle name="출력 4" xfId="43603" hidden="1"/>
    <cellStyle name="출력 4" xfId="43643" hidden="1"/>
    <cellStyle name="출력 4" xfId="43683" hidden="1"/>
    <cellStyle name="출력 4" xfId="43723" hidden="1"/>
    <cellStyle name="출력 4" xfId="43763" hidden="1"/>
    <cellStyle name="출력 4" xfId="43803" hidden="1"/>
    <cellStyle name="출력 4" xfId="43843" hidden="1"/>
    <cellStyle name="출력 4" xfId="43327" hidden="1"/>
    <cellStyle name="출력 4" xfId="43288" hidden="1"/>
    <cellStyle name="출력 4" xfId="43884" hidden="1"/>
    <cellStyle name="출력 4" xfId="43926" hidden="1"/>
    <cellStyle name="출력 4" xfId="43968" hidden="1"/>
    <cellStyle name="출력 4" xfId="44010" hidden="1"/>
    <cellStyle name="출력 4" xfId="44052" hidden="1"/>
    <cellStyle name="출력 4" xfId="44094" hidden="1"/>
    <cellStyle name="출력 4" xfId="44136" hidden="1"/>
    <cellStyle name="출력 4" xfId="44178" hidden="1"/>
    <cellStyle name="출력 4" xfId="44220" hidden="1"/>
    <cellStyle name="출력 4" xfId="44262" hidden="1"/>
    <cellStyle name="출력 4" xfId="43381" hidden="1"/>
    <cellStyle name="출력 4" xfId="43346" hidden="1"/>
    <cellStyle name="출력 4" xfId="44331" hidden="1"/>
    <cellStyle name="출력 4" xfId="44371" hidden="1"/>
    <cellStyle name="출력 4" xfId="44411" hidden="1"/>
    <cellStyle name="출력 4" xfId="44451" hidden="1"/>
    <cellStyle name="출력 4" xfId="44491" hidden="1"/>
    <cellStyle name="출력 4" xfId="44531" hidden="1"/>
    <cellStyle name="출력 4" xfId="44571" hidden="1"/>
    <cellStyle name="출력 4" xfId="44611" hidden="1"/>
    <cellStyle name="출력 4" xfId="44651" hidden="1"/>
    <cellStyle name="출력 4" xfId="44691" hidden="1"/>
    <cellStyle name="출력 4" xfId="44731" hidden="1"/>
    <cellStyle name="출력 4" xfId="44827" hidden="1"/>
    <cellStyle name="출력 4" xfId="44867" hidden="1"/>
    <cellStyle name="출력 4" xfId="44908" hidden="1"/>
    <cellStyle name="출력 4" xfId="44950" hidden="1"/>
    <cellStyle name="출력 4" xfId="44990" hidden="1"/>
    <cellStyle name="출력 4" xfId="45030" hidden="1"/>
    <cellStyle name="출력 4" xfId="45070" hidden="1"/>
    <cellStyle name="출력 4" xfId="45110" hidden="1"/>
    <cellStyle name="출력 4" xfId="45150" hidden="1"/>
    <cellStyle name="출력 4" xfId="45190" hidden="1"/>
    <cellStyle name="출력 4" xfId="45230" hidden="1"/>
    <cellStyle name="출력 4" xfId="45270" hidden="1"/>
    <cellStyle name="출력 4" xfId="45354" hidden="1"/>
    <cellStyle name="출력 4" xfId="45394" hidden="1"/>
    <cellStyle name="출력 4" xfId="45436" hidden="1"/>
    <cellStyle name="출력 4" xfId="45478" hidden="1"/>
    <cellStyle name="출력 4" xfId="45520" hidden="1"/>
    <cellStyle name="출력 4" xfId="45562" hidden="1"/>
    <cellStyle name="출력 4" xfId="45604" hidden="1"/>
    <cellStyle name="출력 4" xfId="45646" hidden="1"/>
    <cellStyle name="출력 4" xfId="45688" hidden="1"/>
    <cellStyle name="출력 4" xfId="45730" hidden="1"/>
    <cellStyle name="출력 4" xfId="45772" hidden="1"/>
    <cellStyle name="출력 4" xfId="45814" hidden="1"/>
    <cellStyle name="출력 4" xfId="45310" hidden="1"/>
    <cellStyle name="출력 4" xfId="45994" hidden="1"/>
    <cellStyle name="출력 4" xfId="46034" hidden="1"/>
    <cellStyle name="출력 4" xfId="46074" hidden="1"/>
    <cellStyle name="출력 4" xfId="46114" hidden="1"/>
    <cellStyle name="출력 4" xfId="46154" hidden="1"/>
    <cellStyle name="출력 4" xfId="46194" hidden="1"/>
    <cellStyle name="출력 4" xfId="46234" hidden="1"/>
    <cellStyle name="출력 4" xfId="46274" hidden="1"/>
    <cellStyle name="출력 4" xfId="46314" hidden="1"/>
    <cellStyle name="출력 4" xfId="46354" hidden="1"/>
    <cellStyle name="출력 4" xfId="46394" hidden="1"/>
    <cellStyle name="출력 4" xfId="46434" hidden="1"/>
    <cellStyle name="출력 4" xfId="45918" hidden="1"/>
    <cellStyle name="출력 4" xfId="45879" hidden="1"/>
    <cellStyle name="출력 4" xfId="46475" hidden="1"/>
    <cellStyle name="출력 4" xfId="46517" hidden="1"/>
    <cellStyle name="출력 4" xfId="46559" hidden="1"/>
    <cellStyle name="출력 4" xfId="46601" hidden="1"/>
    <cellStyle name="출력 4" xfId="46643" hidden="1"/>
    <cellStyle name="출력 4" xfId="46685" hidden="1"/>
    <cellStyle name="출력 4" xfId="46727" hidden="1"/>
    <cellStyle name="출력 4" xfId="46769" hidden="1"/>
    <cellStyle name="출력 4" xfId="46811" hidden="1"/>
    <cellStyle name="출력 4" xfId="46853" hidden="1"/>
    <cellStyle name="출력 4" xfId="45972" hidden="1"/>
    <cellStyle name="출력 4" xfId="45937" hidden="1"/>
    <cellStyle name="출력 4" xfId="46922" hidden="1"/>
    <cellStyle name="출력 4" xfId="46962" hidden="1"/>
    <cellStyle name="출력 4" xfId="47002" hidden="1"/>
    <cellStyle name="출력 4" xfId="47042" hidden="1"/>
    <cellStyle name="출력 4" xfId="47082" hidden="1"/>
    <cellStyle name="출력 4" xfId="47122" hidden="1"/>
    <cellStyle name="출력 4" xfId="47162" hidden="1"/>
    <cellStyle name="출력 4" xfId="47202" hidden="1"/>
    <cellStyle name="출력 4" xfId="47242" hidden="1"/>
    <cellStyle name="출력 4" xfId="47282" hidden="1"/>
    <cellStyle name="출력 4" xfId="47322" hidden="1"/>
    <cellStyle name="출력 4" xfId="44779" hidden="1"/>
    <cellStyle name="출력 4" xfId="47373" hidden="1"/>
    <cellStyle name="출력 4" xfId="47413" hidden="1"/>
    <cellStyle name="출력 4" xfId="47453" hidden="1"/>
    <cellStyle name="출력 4" xfId="47493" hidden="1"/>
    <cellStyle name="출력 4" xfId="47533" hidden="1"/>
    <cellStyle name="출력 4" xfId="47573" hidden="1"/>
    <cellStyle name="출력 4" xfId="47613" hidden="1"/>
    <cellStyle name="출력 4" xfId="47653" hidden="1"/>
    <cellStyle name="출력 4" xfId="47693" hidden="1"/>
    <cellStyle name="출력 4" xfId="47733" hidden="1"/>
    <cellStyle name="출력 4" xfId="47773" hidden="1"/>
    <cellStyle name="출력 4" xfId="47857" hidden="1"/>
    <cellStyle name="출력 4" xfId="47897" hidden="1"/>
    <cellStyle name="출력 4" xfId="47939" hidden="1"/>
    <cellStyle name="출력 4" xfId="47981" hidden="1"/>
    <cellStyle name="출력 4" xfId="48023" hidden="1"/>
    <cellStyle name="출력 4" xfId="48065" hidden="1"/>
    <cellStyle name="출력 4" xfId="48107" hidden="1"/>
    <cellStyle name="출력 4" xfId="48149" hidden="1"/>
    <cellStyle name="출력 4" xfId="48191" hidden="1"/>
    <cellStyle name="출력 4" xfId="48233" hidden="1"/>
    <cellStyle name="출력 4" xfId="48275" hidden="1"/>
    <cellStyle name="출력 4" xfId="48317" hidden="1"/>
    <cellStyle name="출력 4" xfId="47813" hidden="1"/>
    <cellStyle name="출력 4" xfId="48497" hidden="1"/>
    <cellStyle name="출력 4" xfId="48537" hidden="1"/>
    <cellStyle name="출력 4" xfId="48577" hidden="1"/>
    <cellStyle name="출력 4" xfId="48617" hidden="1"/>
    <cellStyle name="출력 4" xfId="48657" hidden="1"/>
    <cellStyle name="출력 4" xfId="48697" hidden="1"/>
    <cellStyle name="출력 4" xfId="48737" hidden="1"/>
    <cellStyle name="출력 4" xfId="48777" hidden="1"/>
    <cellStyle name="출력 4" xfId="48817" hidden="1"/>
    <cellStyle name="출력 4" xfId="48857" hidden="1"/>
    <cellStyle name="출력 4" xfId="48897" hidden="1"/>
    <cellStyle name="출력 4" xfId="48937" hidden="1"/>
    <cellStyle name="출력 4" xfId="48421" hidden="1"/>
    <cellStyle name="출력 4" xfId="48382" hidden="1"/>
    <cellStyle name="출력 4" xfId="48978" hidden="1"/>
    <cellStyle name="출력 4" xfId="49020" hidden="1"/>
    <cellStyle name="출력 4" xfId="49062" hidden="1"/>
    <cellStyle name="출력 4" xfId="49104" hidden="1"/>
    <cellStyle name="출력 4" xfId="49146" hidden="1"/>
    <cellStyle name="출력 4" xfId="49188" hidden="1"/>
    <cellStyle name="출력 4" xfId="49230" hidden="1"/>
    <cellStyle name="출력 4" xfId="49272" hidden="1"/>
    <cellStyle name="출력 4" xfId="49314" hidden="1"/>
    <cellStyle name="출력 4" xfId="49356" hidden="1"/>
    <cellStyle name="출력 4" xfId="48475" hidden="1"/>
    <cellStyle name="출력 4" xfId="48440" hidden="1"/>
    <cellStyle name="출력 4" xfId="49425" hidden="1"/>
    <cellStyle name="출력 4" xfId="49465" hidden="1"/>
    <cellStyle name="출력 4" xfId="49505" hidden="1"/>
    <cellStyle name="출력 4" xfId="49545" hidden="1"/>
    <cellStyle name="출력 4" xfId="49585" hidden="1"/>
    <cellStyle name="출력 4" xfId="49625" hidden="1"/>
    <cellStyle name="출력 4" xfId="49665" hidden="1"/>
    <cellStyle name="출력 4" xfId="49705" hidden="1"/>
    <cellStyle name="출력 4" xfId="49745" hidden="1"/>
    <cellStyle name="출력 4" xfId="49785" hidden="1"/>
    <cellStyle name="출력 4" xfId="49825" hidden="1"/>
    <cellStyle name="출력 4" xfId="44796" hidden="1"/>
    <cellStyle name="출력 4" xfId="49875" hidden="1"/>
    <cellStyle name="출력 4" xfId="49915" hidden="1"/>
    <cellStyle name="출력 4" xfId="49955" hidden="1"/>
    <cellStyle name="출력 4" xfId="49995" hidden="1"/>
    <cellStyle name="출력 4" xfId="50035" hidden="1"/>
    <cellStyle name="출력 4" xfId="50075" hidden="1"/>
    <cellStyle name="출력 4" xfId="50115" hidden="1"/>
    <cellStyle name="출력 4" xfId="50155" hidden="1"/>
    <cellStyle name="출력 4" xfId="50195" hidden="1"/>
    <cellStyle name="출력 4" xfId="50235" hidden="1"/>
    <cellStyle name="출력 4" xfId="50275" hidden="1"/>
    <cellStyle name="출력 4" xfId="50359" hidden="1"/>
    <cellStyle name="출력 4" xfId="50399" hidden="1"/>
    <cellStyle name="출력 4" xfId="50441" hidden="1"/>
    <cellStyle name="출력 4" xfId="50483" hidden="1"/>
    <cellStyle name="출력 4" xfId="50525" hidden="1"/>
    <cellStyle name="출력 4" xfId="50567" hidden="1"/>
    <cellStyle name="출력 4" xfId="50609" hidden="1"/>
    <cellStyle name="출력 4" xfId="50651" hidden="1"/>
    <cellStyle name="출력 4" xfId="50693" hidden="1"/>
    <cellStyle name="출력 4" xfId="50735" hidden="1"/>
    <cellStyle name="출력 4" xfId="50777" hidden="1"/>
    <cellStyle name="출력 4" xfId="50819" hidden="1"/>
    <cellStyle name="출력 4" xfId="50315" hidden="1"/>
    <cellStyle name="출력 4" xfId="50999" hidden="1"/>
    <cellStyle name="출력 4" xfId="51039" hidden="1"/>
    <cellStyle name="출력 4" xfId="51079" hidden="1"/>
    <cellStyle name="출력 4" xfId="51119" hidden="1"/>
    <cellStyle name="출력 4" xfId="51159" hidden="1"/>
    <cellStyle name="출력 4" xfId="51199" hidden="1"/>
    <cellStyle name="출력 4" xfId="51239" hidden="1"/>
    <cellStyle name="출력 4" xfId="51279" hidden="1"/>
    <cellStyle name="출력 4" xfId="51319" hidden="1"/>
    <cellStyle name="출력 4" xfId="51359" hidden="1"/>
    <cellStyle name="출력 4" xfId="51399" hidden="1"/>
    <cellStyle name="출력 4" xfId="51439" hidden="1"/>
    <cellStyle name="출력 4" xfId="50923" hidden="1"/>
    <cellStyle name="출력 4" xfId="50884" hidden="1"/>
    <cellStyle name="출력 4" xfId="51480" hidden="1"/>
    <cellStyle name="출력 4" xfId="51522" hidden="1"/>
    <cellStyle name="출력 4" xfId="51564" hidden="1"/>
    <cellStyle name="출력 4" xfId="51606" hidden="1"/>
    <cellStyle name="출력 4" xfId="51648" hidden="1"/>
    <cellStyle name="출력 4" xfId="51690" hidden="1"/>
    <cellStyle name="출력 4" xfId="51732" hidden="1"/>
    <cellStyle name="출력 4" xfId="51774" hidden="1"/>
    <cellStyle name="출력 4" xfId="51816" hidden="1"/>
    <cellStyle name="출력 4" xfId="51858" hidden="1"/>
    <cellStyle name="출력 4" xfId="50977" hidden="1"/>
    <cellStyle name="출력 4" xfId="50942" hidden="1"/>
    <cellStyle name="출력 4" xfId="51927" hidden="1"/>
    <cellStyle name="출력 4" xfId="51967" hidden="1"/>
    <cellStyle name="출력 4" xfId="52007" hidden="1"/>
    <cellStyle name="출력 4" xfId="52047" hidden="1"/>
    <cellStyle name="출력 4" xfId="52087" hidden="1"/>
    <cellStyle name="출력 4" xfId="52127" hidden="1"/>
    <cellStyle name="출력 4" xfId="52167" hidden="1"/>
    <cellStyle name="출력 4" xfId="52207" hidden="1"/>
    <cellStyle name="출력 4" xfId="52247" hidden="1"/>
    <cellStyle name="출력 4" xfId="52287" hidden="1"/>
    <cellStyle name="출력 4" xfId="52327" hidden="1"/>
    <cellStyle name="출력 4 2" xfId="8542"/>
    <cellStyle name="출력 4 3" xfId="8543"/>
    <cellStyle name="출력 4 4" xfId="8544"/>
    <cellStyle name="출력 4 5" xfId="8545"/>
    <cellStyle name="출력 40" xfId="8546"/>
    <cellStyle name="출력 41" xfId="8547"/>
    <cellStyle name="출력 42" xfId="8548"/>
    <cellStyle name="출력 43" xfId="8549"/>
    <cellStyle name="출력 44" xfId="8550"/>
    <cellStyle name="출력 45" xfId="8551"/>
    <cellStyle name="출력 46" xfId="8552"/>
    <cellStyle name="출력 47" xfId="8553"/>
    <cellStyle name="출력 48" xfId="8554"/>
    <cellStyle name="출력 49" xfId="8555"/>
    <cellStyle name="출력 5" xfId="8556"/>
    <cellStyle name="출력 50" xfId="8557"/>
    <cellStyle name="출력 51" xfId="8558"/>
    <cellStyle name="출력 52" xfId="8559"/>
    <cellStyle name="출력 6" xfId="8560"/>
    <cellStyle name="출력 7" xfId="8561"/>
    <cellStyle name="출력 8" xfId="8562"/>
    <cellStyle name="출력 9" xfId="8563"/>
    <cellStyle name="콤마 [0]_  종  합  " xfId="41"/>
    <cellStyle name="콤마_  종  합  " xfId="42"/>
    <cellStyle name="표준 10" xfId="67"/>
    <cellStyle name="표준 10 10" xfId="68"/>
    <cellStyle name="표준 10 10 2" xfId="71"/>
    <cellStyle name="표준 10 10 3" xfId="8564"/>
    <cellStyle name="표준 10 11" xfId="8565"/>
    <cellStyle name="표준 10 12" xfId="8566"/>
    <cellStyle name="표준 10 13" xfId="8567"/>
    <cellStyle name="표준 10 14" xfId="8568"/>
    <cellStyle name="표준 10 15" xfId="8569"/>
    <cellStyle name="표준 10 16" xfId="8570"/>
    <cellStyle name="표준 10 17" xfId="8571"/>
    <cellStyle name="표준 10 18" xfId="8572"/>
    <cellStyle name="표준 10 19" xfId="8573"/>
    <cellStyle name="표준 10 2" xfId="8574"/>
    <cellStyle name="표준 10 2 10" xfId="8575"/>
    <cellStyle name="표준 10 2 11" xfId="8576"/>
    <cellStyle name="표준 10 2 12" xfId="8577"/>
    <cellStyle name="표준 10 2 13" xfId="8578"/>
    <cellStyle name="표준 10 2 14" xfId="8579"/>
    <cellStyle name="표준 10 2 15" xfId="8580"/>
    <cellStyle name="표준 10 2 2" xfId="8581"/>
    <cellStyle name="표준 10 2 2 10" xfId="8582"/>
    <cellStyle name="표준 10 2 2 11" xfId="8583"/>
    <cellStyle name="표준 10 2 2 12" xfId="8584"/>
    <cellStyle name="표준 10 2 2 13" xfId="8585"/>
    <cellStyle name="표준 10 2 2 14" xfId="8586"/>
    <cellStyle name="표준 10 2 2 2" xfId="8587"/>
    <cellStyle name="표준 10 2 2 2 2" xfId="8588"/>
    <cellStyle name="표준 10 2 2 3" xfId="8589"/>
    <cellStyle name="표준 10 2 2 4" xfId="8590"/>
    <cellStyle name="표준 10 2 2 5" xfId="8591"/>
    <cellStyle name="표준 10 2 2 6" xfId="8592"/>
    <cellStyle name="표준 10 2 2 7" xfId="8593"/>
    <cellStyle name="표준 10 2 2 8" xfId="8594"/>
    <cellStyle name="표준 10 2 2 9" xfId="8595"/>
    <cellStyle name="표준 10 2 3" xfId="8596"/>
    <cellStyle name="표준 10 2 3 2" xfId="8597"/>
    <cellStyle name="표준 10 2 4" xfId="8598"/>
    <cellStyle name="표준 10 2 5" xfId="8599"/>
    <cellStyle name="표준 10 2 6" xfId="8600"/>
    <cellStyle name="표준 10 2 7" xfId="8601"/>
    <cellStyle name="표준 10 2 8" xfId="8602"/>
    <cellStyle name="표준 10 2 9" xfId="8603"/>
    <cellStyle name="표준 10 20" xfId="8604"/>
    <cellStyle name="표준 10 21" xfId="8605"/>
    <cellStyle name="표준 10 22" xfId="8606"/>
    <cellStyle name="표준 10 23" xfId="8607"/>
    <cellStyle name="표준 10 24" xfId="8608"/>
    <cellStyle name="표준 10 25" xfId="8609"/>
    <cellStyle name="표준 10 26" xfId="8610"/>
    <cellStyle name="표준 10 3" xfId="8611"/>
    <cellStyle name="표준 10 3 10" xfId="8612"/>
    <cellStyle name="표준 10 3 11" xfId="8613"/>
    <cellStyle name="표준 10 3 12" xfId="8614"/>
    <cellStyle name="표준 10 3 13" xfId="8615"/>
    <cellStyle name="표준 10 3 14" xfId="8616"/>
    <cellStyle name="표준 10 3 2" xfId="8617"/>
    <cellStyle name="표준 10 3 2 2" xfId="8618"/>
    <cellStyle name="표준 10 3 3" xfId="8619"/>
    <cellStyle name="표준 10 3 4" xfId="8620"/>
    <cellStyle name="표준 10 3 5" xfId="8621"/>
    <cellStyle name="표준 10 3 6" xfId="8622"/>
    <cellStyle name="표준 10 3 7" xfId="8623"/>
    <cellStyle name="표준 10 3 8" xfId="8624"/>
    <cellStyle name="표준 10 3 9" xfId="8625"/>
    <cellStyle name="표준 10 4" xfId="8626"/>
    <cellStyle name="표준 10 4 2" xfId="8627"/>
    <cellStyle name="표준 10 5" xfId="8628"/>
    <cellStyle name="표준 10 6" xfId="8629"/>
    <cellStyle name="표준 10 61" xfId="70"/>
    <cellStyle name="표준 10 61 2" xfId="72"/>
    <cellStyle name="표준 10 62" xfId="53"/>
    <cellStyle name="표준 10 7" xfId="8630"/>
    <cellStyle name="표준 10 8" xfId="8631"/>
    <cellStyle name="표준 10 9" xfId="8632"/>
    <cellStyle name="표준 10_개정이력" xfId="8633"/>
    <cellStyle name="표준 100" xfId="21919"/>
    <cellStyle name="표준 100 2" xfId="63"/>
    <cellStyle name="표준 101" xfId="21920"/>
    <cellStyle name="표준 101 2" xfId="32090"/>
    <cellStyle name="표준 102" xfId="21921"/>
    <cellStyle name="표준 103" xfId="21922"/>
    <cellStyle name="표준 104" xfId="21923"/>
    <cellStyle name="표준 105" xfId="74"/>
    <cellStyle name="표준 106" xfId="75"/>
    <cellStyle name="표준 106 2" xfId="11690"/>
    <cellStyle name="표준 107" xfId="76"/>
    <cellStyle name="표준 107 2" xfId="11688"/>
    <cellStyle name="표준 108" xfId="77"/>
    <cellStyle name="표준 108 2" xfId="11692"/>
    <cellStyle name="표준 109" xfId="78"/>
    <cellStyle name="표준 11" xfId="62"/>
    <cellStyle name="표준 11 10" xfId="8634"/>
    <cellStyle name="표준 11 11" xfId="8635"/>
    <cellStyle name="표준 11 12" xfId="8636"/>
    <cellStyle name="표준 11 13" xfId="8637"/>
    <cellStyle name="표준 11 14" xfId="8638"/>
    <cellStyle name="표준 11 15" xfId="8639"/>
    <cellStyle name="표준 11 16" xfId="8640"/>
    <cellStyle name="표준 11 17" xfId="8641"/>
    <cellStyle name="표준 11 18" xfId="8642"/>
    <cellStyle name="표준 11 19" xfId="8643"/>
    <cellStyle name="표준 11 2" xfId="403"/>
    <cellStyle name="표준 11 2 10" xfId="8644"/>
    <cellStyle name="표준 11 2 100" xfId="8645"/>
    <cellStyle name="표준 11 2 101" xfId="8646"/>
    <cellStyle name="표준 11 2 102" xfId="8647"/>
    <cellStyle name="표준 11 2 103" xfId="8648"/>
    <cellStyle name="표준 11 2 104" xfId="8649"/>
    <cellStyle name="표준 11 2 105" xfId="8650"/>
    <cellStyle name="표준 11 2 106" xfId="8651"/>
    <cellStyle name="표준 11 2 107" xfId="8652"/>
    <cellStyle name="표준 11 2 108" xfId="8653"/>
    <cellStyle name="표준 11 2 109" xfId="8654"/>
    <cellStyle name="표준 11 2 11" xfId="8655"/>
    <cellStyle name="표준 11 2 110" xfId="8656"/>
    <cellStyle name="표준 11 2 111" xfId="8657"/>
    <cellStyle name="표준 11 2 112" xfId="8658"/>
    <cellStyle name="표준 11 2 113" xfId="8659"/>
    <cellStyle name="표준 11 2 114" xfId="8660"/>
    <cellStyle name="표준 11 2 115" xfId="8661"/>
    <cellStyle name="표준 11 2 116" xfId="8662"/>
    <cellStyle name="표준 11 2 117" xfId="8663"/>
    <cellStyle name="표준 11 2 118" xfId="8664"/>
    <cellStyle name="표준 11 2 119" xfId="8665"/>
    <cellStyle name="표준 11 2 12" xfId="8666"/>
    <cellStyle name="표준 11 2 120" xfId="8667"/>
    <cellStyle name="표준 11 2 121" xfId="8668"/>
    <cellStyle name="표준 11 2 122" xfId="8669"/>
    <cellStyle name="표준 11 2 123" xfId="8670"/>
    <cellStyle name="표준 11 2 123 2" xfId="8671"/>
    <cellStyle name="표준 11 2 124" xfId="8672"/>
    <cellStyle name="표준 11 2 125" xfId="8673"/>
    <cellStyle name="표준 11 2 126" xfId="8674"/>
    <cellStyle name="표준 11 2 127" xfId="8675"/>
    <cellStyle name="표준 11 2 128" xfId="8676"/>
    <cellStyle name="표준 11 2 129" xfId="8677"/>
    <cellStyle name="표준 11 2 13" xfId="8678"/>
    <cellStyle name="표준 11 2 130" xfId="8679"/>
    <cellStyle name="표준 11 2 131" xfId="8680"/>
    <cellStyle name="표준 11 2 132" xfId="8681"/>
    <cellStyle name="표준 11 2 133" xfId="8682"/>
    <cellStyle name="표준 11 2 134" xfId="8683"/>
    <cellStyle name="표준 11 2 135" xfId="8684"/>
    <cellStyle name="표준 11 2 136" xfId="8685"/>
    <cellStyle name="표준 11 2 137" xfId="8686"/>
    <cellStyle name="표준 11 2 138" xfId="8687"/>
    <cellStyle name="표준 11 2 139" xfId="8688"/>
    <cellStyle name="표준 11 2 14" xfId="8689"/>
    <cellStyle name="표준 11 2 140" xfId="8690"/>
    <cellStyle name="표준 11 2 141" xfId="8691"/>
    <cellStyle name="표준 11 2 142" xfId="8692"/>
    <cellStyle name="표준 11 2 143" xfId="8693"/>
    <cellStyle name="표준 11 2 144" xfId="8694"/>
    <cellStyle name="표준 11 2 145" xfId="8695"/>
    <cellStyle name="표준 11 2 146" xfId="8696"/>
    <cellStyle name="표준 11 2 15" xfId="8697"/>
    <cellStyle name="표준 11 2 16" xfId="8698"/>
    <cellStyle name="표준 11 2 17" xfId="8699"/>
    <cellStyle name="표준 11 2 18" xfId="8700"/>
    <cellStyle name="표준 11 2 19" xfId="8701"/>
    <cellStyle name="표준 11 2 2" xfId="404"/>
    <cellStyle name="표준 11 2 2 10" xfId="8702"/>
    <cellStyle name="표준 11 2 2 11" xfId="8703"/>
    <cellStyle name="표준 11 2 2 2" xfId="8704"/>
    <cellStyle name="표준 11 2 2 2 2" xfId="8705"/>
    <cellStyle name="표준 11 2 2 2 3" xfId="8706"/>
    <cellStyle name="표준 11 2 2 2 4" xfId="8707"/>
    <cellStyle name="표준 11 2 2 2 5" xfId="8708"/>
    <cellStyle name="표준 11 2 2 3" xfId="8709"/>
    <cellStyle name="표준 11 2 2 4" xfId="8710"/>
    <cellStyle name="표준 11 2 2 5" xfId="8711"/>
    <cellStyle name="표준 11 2 2 6" xfId="8712"/>
    <cellStyle name="표준 11 2 2 7" xfId="8713"/>
    <cellStyle name="표준 11 2 2 8" xfId="8714"/>
    <cellStyle name="표준 11 2 2 9" xfId="8715"/>
    <cellStyle name="표준 11 2 20" xfId="8716"/>
    <cellStyle name="표준 11 2 21" xfId="8717"/>
    <cellStyle name="표준 11 2 22" xfId="8718"/>
    <cellStyle name="표준 11 2 23" xfId="8719"/>
    <cellStyle name="표준 11 2 24" xfId="8720"/>
    <cellStyle name="표준 11 2 25" xfId="8721"/>
    <cellStyle name="표준 11 2 26" xfId="8722"/>
    <cellStyle name="표준 11 2 27" xfId="8723"/>
    <cellStyle name="표준 11 2 28" xfId="8724"/>
    <cellStyle name="표준 11 2 29" xfId="8725"/>
    <cellStyle name="표준 11 2 3" xfId="8726"/>
    <cellStyle name="표준 11 2 30" xfId="8727"/>
    <cellStyle name="표준 11 2 31" xfId="8728"/>
    <cellStyle name="표준 11 2 32" xfId="8729"/>
    <cellStyle name="표준 11 2 33" xfId="8730"/>
    <cellStyle name="표준 11 2 34" xfId="8731"/>
    <cellStyle name="표준 11 2 35" xfId="8732"/>
    <cellStyle name="표준 11 2 36" xfId="8733"/>
    <cellStyle name="표준 11 2 37" xfId="8734"/>
    <cellStyle name="표준 11 2 38" xfId="8735"/>
    <cellStyle name="표준 11 2 39" xfId="8736"/>
    <cellStyle name="표준 11 2 4" xfId="8737"/>
    <cellStyle name="표준 11 2 40" xfId="8738"/>
    <cellStyle name="표준 11 2 41" xfId="8739"/>
    <cellStyle name="표준 11 2 42" xfId="8740"/>
    <cellStyle name="표준 11 2 43" xfId="8741"/>
    <cellStyle name="표준 11 2 44" xfId="8742"/>
    <cellStyle name="표준 11 2 45" xfId="8743"/>
    <cellStyle name="표준 11 2 46" xfId="8744"/>
    <cellStyle name="표준 11 2 47" xfId="8745"/>
    <cellStyle name="표준 11 2 48" xfId="8746"/>
    <cellStyle name="표준 11 2 49" xfId="8747"/>
    <cellStyle name="표준 11 2 5" xfId="8748"/>
    <cellStyle name="표준 11 2 50" xfId="8749"/>
    <cellStyle name="표준 11 2 51" xfId="8750"/>
    <cellStyle name="표준 11 2 52" xfId="8751"/>
    <cellStyle name="표준 11 2 53" xfId="8752"/>
    <cellStyle name="표준 11 2 54" xfId="8753"/>
    <cellStyle name="표준 11 2 55" xfId="8754"/>
    <cellStyle name="표준 11 2 56" xfId="8755"/>
    <cellStyle name="표준 11 2 57" xfId="8756"/>
    <cellStyle name="표준 11 2 58" xfId="8757"/>
    <cellStyle name="표준 11 2 59" xfId="8758"/>
    <cellStyle name="표준 11 2 6" xfId="8759"/>
    <cellStyle name="표준 11 2 60" xfId="8760"/>
    <cellStyle name="표준 11 2 61" xfId="8761"/>
    <cellStyle name="표준 11 2 62" xfId="8762"/>
    <cellStyle name="표준 11 2 63" xfId="8763"/>
    <cellStyle name="표준 11 2 64" xfId="8764"/>
    <cellStyle name="표준 11 2 65" xfId="8765"/>
    <cellStyle name="표준 11 2 66" xfId="8766"/>
    <cellStyle name="표준 11 2 67" xfId="8767"/>
    <cellStyle name="표준 11 2 68" xfId="8768"/>
    <cellStyle name="표준 11 2 69" xfId="8769"/>
    <cellStyle name="표준 11 2 7" xfId="8770"/>
    <cellStyle name="표준 11 2 70" xfId="8771"/>
    <cellStyle name="표준 11 2 71" xfId="8772"/>
    <cellStyle name="표준 11 2 72" xfId="8773"/>
    <cellStyle name="표준 11 2 73" xfId="8774"/>
    <cellStyle name="표준 11 2 74" xfId="8775"/>
    <cellStyle name="표준 11 2 75" xfId="8776"/>
    <cellStyle name="표준 11 2 76" xfId="8777"/>
    <cellStyle name="표준 11 2 77" xfId="8778"/>
    <cellStyle name="표준 11 2 78" xfId="8779"/>
    <cellStyle name="표준 11 2 79" xfId="8780"/>
    <cellStyle name="표준 11 2 8" xfId="8781"/>
    <cellStyle name="표준 11 2 80" xfId="8782"/>
    <cellStyle name="표준 11 2 81" xfId="8783"/>
    <cellStyle name="표준 11 2 82" xfId="8784"/>
    <cellStyle name="표준 11 2 83" xfId="8785"/>
    <cellStyle name="표준 11 2 84" xfId="8786"/>
    <cellStyle name="표준 11 2 85" xfId="8787"/>
    <cellStyle name="표준 11 2 86" xfId="8788"/>
    <cellStyle name="표준 11 2 87" xfId="8789"/>
    <cellStyle name="표준 11 2 88" xfId="8790"/>
    <cellStyle name="표준 11 2 89" xfId="8791"/>
    <cellStyle name="표준 11 2 9" xfId="8792"/>
    <cellStyle name="표준 11 2 90" xfId="8793"/>
    <cellStyle name="표준 11 2 91" xfId="8794"/>
    <cellStyle name="표준 11 2 92" xfId="8795"/>
    <cellStyle name="표준 11 2 93" xfId="8796"/>
    <cellStyle name="표준 11 2 94" xfId="8797"/>
    <cellStyle name="표준 11 2 95" xfId="8798"/>
    <cellStyle name="표준 11 2 96" xfId="8799"/>
    <cellStyle name="표준 11 2 97" xfId="8800"/>
    <cellStyle name="표준 11 2 98" xfId="8801"/>
    <cellStyle name="표준 11 2 99" xfId="8802"/>
    <cellStyle name="표준 11 20" xfId="8803"/>
    <cellStyle name="표준 11 21" xfId="8804"/>
    <cellStyle name="표준 11 22" xfId="8805"/>
    <cellStyle name="표준 11 23" xfId="8806"/>
    <cellStyle name="표준 11 24" xfId="8807"/>
    <cellStyle name="표준 11 25" xfId="8808"/>
    <cellStyle name="표준 11 26" xfId="8809"/>
    <cellStyle name="표준 11 3" xfId="405"/>
    <cellStyle name="표준 11 3 10" xfId="8810"/>
    <cellStyle name="표준 11 3 11" xfId="8811"/>
    <cellStyle name="표준 11 3 12" xfId="8812"/>
    <cellStyle name="표준 11 3 13" xfId="8813"/>
    <cellStyle name="표준 11 3 14" xfId="8814"/>
    <cellStyle name="표준 11 3 15" xfId="8815"/>
    <cellStyle name="표준 11 3 16" xfId="8816"/>
    <cellStyle name="표준 11 3 17" xfId="8817"/>
    <cellStyle name="표준 11 3 18" xfId="8818"/>
    <cellStyle name="표준 11 3 19" xfId="8819"/>
    <cellStyle name="표준 11 3 2" xfId="8820"/>
    <cellStyle name="표준 11 3 2 2" xfId="8821"/>
    <cellStyle name="표준 11 3 2 2 2" xfId="8822"/>
    <cellStyle name="표준 11 3 2 2 3" xfId="8823"/>
    <cellStyle name="표준 11 3 2 2 4" xfId="8824"/>
    <cellStyle name="표준 11 3 2 2 5" xfId="8825"/>
    <cellStyle name="표준 11 3 2 3" xfId="8826"/>
    <cellStyle name="표준 11 3 2 4" xfId="8827"/>
    <cellStyle name="표준 11 3 2 5" xfId="8828"/>
    <cellStyle name="표준 11 3 20" xfId="8829"/>
    <cellStyle name="표준 11 3 21" xfId="8830"/>
    <cellStyle name="표준 11 3 22" xfId="8831"/>
    <cellStyle name="표준 11 3 23" xfId="8832"/>
    <cellStyle name="표준 11 3 24" xfId="8833"/>
    <cellStyle name="표준 11 3 3" xfId="8834"/>
    <cellStyle name="표준 11 3 4" xfId="8835"/>
    <cellStyle name="표준 11 3 5" xfId="8836"/>
    <cellStyle name="표준 11 3 6" xfId="8837"/>
    <cellStyle name="표준 11 3 7" xfId="8838"/>
    <cellStyle name="표준 11 3 8" xfId="8839"/>
    <cellStyle name="표준 11 3 9" xfId="8840"/>
    <cellStyle name="표준 11 4" xfId="73"/>
    <cellStyle name="표준 11 4 10" xfId="8841"/>
    <cellStyle name="표준 11 4 11" xfId="8842"/>
    <cellStyle name="표준 11 4 12" xfId="8843"/>
    <cellStyle name="표준 11 4 2" xfId="8844"/>
    <cellStyle name="표준 11 4 2 2" xfId="8845"/>
    <cellStyle name="표준 11 4 2 3" xfId="8846"/>
    <cellStyle name="표준 11 4 2 4" xfId="8847"/>
    <cellStyle name="표준 11 4 2 5" xfId="8848"/>
    <cellStyle name="표준 11 4 3" xfId="8849"/>
    <cellStyle name="표준 11 4 4" xfId="8850"/>
    <cellStyle name="표준 11 4 5" xfId="8851"/>
    <cellStyle name="표준 11 4 6" xfId="8852"/>
    <cellStyle name="표준 11 4 7" xfId="8853"/>
    <cellStyle name="표준 11 4 8" xfId="8854"/>
    <cellStyle name="표준 11 4 9" xfId="8855"/>
    <cellStyle name="표준 11 5" xfId="8856"/>
    <cellStyle name="표준 11 6" xfId="8857"/>
    <cellStyle name="표준 11 7" xfId="8858"/>
    <cellStyle name="표준 11 8" xfId="8859"/>
    <cellStyle name="표준 11 9" xfId="8860"/>
    <cellStyle name="표준 11_개정이력" xfId="8861"/>
    <cellStyle name="표준 110" xfId="79"/>
    <cellStyle name="표준 111" xfId="80"/>
    <cellStyle name="표준 112" xfId="11694"/>
    <cellStyle name="표준 113" xfId="11696"/>
    <cellStyle name="표준 114" xfId="21924"/>
    <cellStyle name="표준 115" xfId="21925"/>
    <cellStyle name="표준 116" xfId="11700"/>
    <cellStyle name="표준 117" xfId="11698"/>
    <cellStyle name="표준 118" xfId="21926"/>
    <cellStyle name="표준 119" xfId="21927"/>
    <cellStyle name="표준 12" xfId="2"/>
    <cellStyle name="표준 12 10" xfId="8862"/>
    <cellStyle name="표준 12 11" xfId="8863"/>
    <cellStyle name="표준 12 12" xfId="8864"/>
    <cellStyle name="표준 12 13" xfId="8865"/>
    <cellStyle name="표준 12 14" xfId="8866"/>
    <cellStyle name="표준 12 15" xfId="8867"/>
    <cellStyle name="표준 12 16" xfId="8868"/>
    <cellStyle name="표준 12 17" xfId="8869"/>
    <cellStyle name="표준 12 18" xfId="8870"/>
    <cellStyle name="표준 12 19" xfId="12302"/>
    <cellStyle name="표준 12 2" xfId="8871"/>
    <cellStyle name="표준 12 2 10" xfId="8872"/>
    <cellStyle name="표준 12 2 11" xfId="8873"/>
    <cellStyle name="표준 12 2 12" xfId="8874"/>
    <cellStyle name="표준 12 2 13" xfId="8875"/>
    <cellStyle name="표준 12 2 14" xfId="8876"/>
    <cellStyle name="표준 12 2 15" xfId="8877"/>
    <cellStyle name="표준 12 2 2" xfId="8878"/>
    <cellStyle name="표준 12 2 2 2" xfId="8879"/>
    <cellStyle name="표준 12 2 3" xfId="8880"/>
    <cellStyle name="표준 12 2 4" xfId="8881"/>
    <cellStyle name="표준 12 2 5" xfId="8882"/>
    <cellStyle name="표준 12 2 6" xfId="8883"/>
    <cellStyle name="표준 12 2 7" xfId="8884"/>
    <cellStyle name="표준 12 2 8" xfId="8885"/>
    <cellStyle name="표준 12 2 9" xfId="8886"/>
    <cellStyle name="표준 12 20" xfId="11687"/>
    <cellStyle name="표준 12 3" xfId="8887"/>
    <cellStyle name="표준 12 3 10" xfId="8888"/>
    <cellStyle name="표준 12 3 11" xfId="8889"/>
    <cellStyle name="표준 12 3 12" xfId="8890"/>
    <cellStyle name="표준 12 3 13" xfId="8891"/>
    <cellStyle name="표준 12 3 14" xfId="8892"/>
    <cellStyle name="표준 12 3 2" xfId="8893"/>
    <cellStyle name="표준 12 3 2 2" xfId="8894"/>
    <cellStyle name="표준 12 3 3" xfId="8895"/>
    <cellStyle name="표준 12 3 4" xfId="8896"/>
    <cellStyle name="표준 12 3 5" xfId="8897"/>
    <cellStyle name="표준 12 3 6" xfId="8898"/>
    <cellStyle name="표준 12 3 7" xfId="8899"/>
    <cellStyle name="표준 12 3 8" xfId="8900"/>
    <cellStyle name="표준 12 3 9" xfId="8901"/>
    <cellStyle name="표준 12 4" xfId="8902"/>
    <cellStyle name="표준 12 4 2" xfId="8903"/>
    <cellStyle name="표준 12 5" xfId="8904"/>
    <cellStyle name="표준 12 6" xfId="8905"/>
    <cellStyle name="표준 12 7" xfId="8906"/>
    <cellStyle name="표준 12 8" xfId="8907"/>
    <cellStyle name="표준 12 9" xfId="8908"/>
    <cellStyle name="표준 120" xfId="21928"/>
    <cellStyle name="표준 121" xfId="21929"/>
    <cellStyle name="표준 122" xfId="21930"/>
    <cellStyle name="표준 123" xfId="21931"/>
    <cellStyle name="표준 124" xfId="21932"/>
    <cellStyle name="표준 125" xfId="21933"/>
    <cellStyle name="표준 126" xfId="21934"/>
    <cellStyle name="표준 127" xfId="21935"/>
    <cellStyle name="표준 128" xfId="21936"/>
    <cellStyle name="표준 129" xfId="21937"/>
    <cellStyle name="표준 13" xfId="54"/>
    <cellStyle name="표준 13 10" xfId="8910"/>
    <cellStyle name="표준 13 11" xfId="8911"/>
    <cellStyle name="표준 13 12" xfId="8912"/>
    <cellStyle name="표준 13 13" xfId="8913"/>
    <cellStyle name="표준 13 14" xfId="8914"/>
    <cellStyle name="표준 13 15" xfId="8915"/>
    <cellStyle name="표준 13 16" xfId="8909"/>
    <cellStyle name="표준 13 17" xfId="14348"/>
    <cellStyle name="표준 13 17 2" xfId="34658"/>
    <cellStyle name="표준 13 2" xfId="8916"/>
    <cellStyle name="표준 13 2 10" xfId="8917"/>
    <cellStyle name="표준 13 2 11" xfId="8918"/>
    <cellStyle name="표준 13 2 12" xfId="8919"/>
    <cellStyle name="표준 13 2 13" xfId="8920"/>
    <cellStyle name="표준 13 2 14" xfId="8921"/>
    <cellStyle name="표준 13 2 15" xfId="8922"/>
    <cellStyle name="표준 13 2 2" xfId="8923"/>
    <cellStyle name="표준 13 2 2 2" xfId="8924"/>
    <cellStyle name="표준 13 2 3" xfId="8925"/>
    <cellStyle name="표준 13 2 4" xfId="8926"/>
    <cellStyle name="표준 13 2 5" xfId="8927"/>
    <cellStyle name="표준 13 2 6" xfId="8928"/>
    <cellStyle name="표준 13 2 7" xfId="8929"/>
    <cellStyle name="표준 13 2 8" xfId="8930"/>
    <cellStyle name="표준 13 2 9" xfId="8931"/>
    <cellStyle name="표준 13 3" xfId="8932"/>
    <cellStyle name="표준 13 3 10" xfId="8933"/>
    <cellStyle name="표준 13 3 11" xfId="8934"/>
    <cellStyle name="표준 13 3 12" xfId="8935"/>
    <cellStyle name="표준 13 3 13" xfId="8936"/>
    <cellStyle name="표준 13 3 14" xfId="8937"/>
    <cellStyle name="표준 13 3 2" xfId="8938"/>
    <cellStyle name="표준 13 3 2 2" xfId="8939"/>
    <cellStyle name="표준 13 3 3" xfId="8940"/>
    <cellStyle name="표준 13 3 4" xfId="8941"/>
    <cellStyle name="표준 13 3 5" xfId="8942"/>
    <cellStyle name="표준 13 3 6" xfId="8943"/>
    <cellStyle name="표준 13 3 7" xfId="8944"/>
    <cellStyle name="표준 13 3 8" xfId="8945"/>
    <cellStyle name="표준 13 3 9" xfId="8946"/>
    <cellStyle name="표준 13 4" xfId="8947"/>
    <cellStyle name="표준 13 4 2" xfId="8948"/>
    <cellStyle name="표준 13 5" xfId="8949"/>
    <cellStyle name="표준 13 6" xfId="8950"/>
    <cellStyle name="표준 13 7" xfId="8951"/>
    <cellStyle name="표준 13 8" xfId="8952"/>
    <cellStyle name="표준 13 9" xfId="8953"/>
    <cellStyle name="표준 130" xfId="21938"/>
    <cellStyle name="표준 131" xfId="21939"/>
    <cellStyle name="표준 132" xfId="21940"/>
    <cellStyle name="표준 133" xfId="21941"/>
    <cellStyle name="표준 134" xfId="21946"/>
    <cellStyle name="표준 135" xfId="32077"/>
    <cellStyle name="표준 136" xfId="1"/>
    <cellStyle name="표준 136 2" xfId="32093"/>
    <cellStyle name="표준 137" xfId="32078"/>
    <cellStyle name="표준 138" xfId="32089"/>
    <cellStyle name="표준 139" xfId="32088"/>
    <cellStyle name="표준 14" xfId="8954"/>
    <cellStyle name="표준 14 10" xfId="8955"/>
    <cellStyle name="표준 14 11" xfId="8956"/>
    <cellStyle name="표준 14 12" xfId="8957"/>
    <cellStyle name="표준 14 13" xfId="8958"/>
    <cellStyle name="표준 14 14" xfId="8959"/>
    <cellStyle name="표준 14 15" xfId="8960"/>
    <cellStyle name="표준 14 16" xfId="14347"/>
    <cellStyle name="표준 14 2" xfId="8961"/>
    <cellStyle name="표준 14 2 10" xfId="8962"/>
    <cellStyle name="표준 14 2 11" xfId="8963"/>
    <cellStyle name="표준 14 2 12" xfId="8964"/>
    <cellStyle name="표준 14 2 13" xfId="8965"/>
    <cellStyle name="표준 14 2 14" xfId="8966"/>
    <cellStyle name="표준 14 2 15" xfId="8967"/>
    <cellStyle name="표준 14 2 2" xfId="8968"/>
    <cellStyle name="표준 14 2 2 2" xfId="8969"/>
    <cellStyle name="표준 14 2 3" xfId="8970"/>
    <cellStyle name="표준 14 2 4" xfId="8971"/>
    <cellStyle name="표준 14 2 5" xfId="8972"/>
    <cellStyle name="표준 14 2 6" xfId="8973"/>
    <cellStyle name="표준 14 2 7" xfId="8974"/>
    <cellStyle name="표준 14 2 8" xfId="8975"/>
    <cellStyle name="표준 14 2 9" xfId="8976"/>
    <cellStyle name="표준 14 3" xfId="8977"/>
    <cellStyle name="표준 14 3 10" xfId="8978"/>
    <cellStyle name="표준 14 3 11" xfId="8979"/>
    <cellStyle name="표준 14 3 12" xfId="8980"/>
    <cellStyle name="표준 14 3 13" xfId="8981"/>
    <cellStyle name="표준 14 3 14" xfId="8982"/>
    <cellStyle name="표준 14 3 2" xfId="8983"/>
    <cellStyle name="표준 14 3 2 2" xfId="8984"/>
    <cellStyle name="표준 14 3 3" xfId="8985"/>
    <cellStyle name="표준 14 3 4" xfId="8986"/>
    <cellStyle name="표준 14 3 5" xfId="8987"/>
    <cellStyle name="표준 14 3 6" xfId="8988"/>
    <cellStyle name="표준 14 3 7" xfId="8989"/>
    <cellStyle name="표준 14 3 8" xfId="8990"/>
    <cellStyle name="표준 14 3 9" xfId="8991"/>
    <cellStyle name="표준 14 4" xfId="8992"/>
    <cellStyle name="표준 14 4 2" xfId="8993"/>
    <cellStyle name="표준 14 5" xfId="8994"/>
    <cellStyle name="표준 14 6" xfId="8995"/>
    <cellStyle name="표준 14 7" xfId="8996"/>
    <cellStyle name="표준 14 8" xfId="8997"/>
    <cellStyle name="표준 14 9" xfId="8998"/>
    <cellStyle name="표준 15" xfId="8999"/>
    <cellStyle name="표준 15 10" xfId="9000"/>
    <cellStyle name="표준 15 11" xfId="9001"/>
    <cellStyle name="표준 15 12" xfId="9002"/>
    <cellStyle name="표준 15 13" xfId="9003"/>
    <cellStyle name="표준 15 14" xfId="9004"/>
    <cellStyle name="표준 15 15" xfId="9005"/>
    <cellStyle name="표준 15 2" xfId="9006"/>
    <cellStyle name="표준 15 2 10" xfId="9007"/>
    <cellStyle name="표준 15 2 11" xfId="9008"/>
    <cellStyle name="표준 15 2 12" xfId="9009"/>
    <cellStyle name="표준 15 2 13" xfId="9010"/>
    <cellStyle name="표준 15 2 14" xfId="9011"/>
    <cellStyle name="표준 15 2 15" xfId="9012"/>
    <cellStyle name="표준 15 2 2" xfId="9013"/>
    <cellStyle name="표준 15 2 2 2" xfId="9014"/>
    <cellStyle name="표준 15 2 3" xfId="9015"/>
    <cellStyle name="표준 15 2 4" xfId="9016"/>
    <cellStyle name="표준 15 2 5" xfId="9017"/>
    <cellStyle name="표준 15 2 6" xfId="9018"/>
    <cellStyle name="표준 15 2 7" xfId="9019"/>
    <cellStyle name="표준 15 2 8" xfId="9020"/>
    <cellStyle name="표준 15 2 9" xfId="9021"/>
    <cellStyle name="표준 15 3" xfId="9022"/>
    <cellStyle name="표준 15 3 10" xfId="9023"/>
    <cellStyle name="표준 15 3 11" xfId="9024"/>
    <cellStyle name="표준 15 3 12" xfId="9025"/>
    <cellStyle name="표준 15 3 13" xfId="9026"/>
    <cellStyle name="표준 15 3 14" xfId="9027"/>
    <cellStyle name="표준 15 3 2" xfId="9028"/>
    <cellStyle name="표준 15 3 2 2" xfId="9029"/>
    <cellStyle name="표준 15 3 3" xfId="9030"/>
    <cellStyle name="표준 15 3 4" xfId="9031"/>
    <cellStyle name="표준 15 3 5" xfId="9032"/>
    <cellStyle name="표준 15 3 6" xfId="9033"/>
    <cellStyle name="표준 15 3 7" xfId="9034"/>
    <cellStyle name="표준 15 3 8" xfId="9035"/>
    <cellStyle name="표준 15 3 9" xfId="9036"/>
    <cellStyle name="표준 15 4" xfId="9037"/>
    <cellStyle name="표준 15 4 2" xfId="9038"/>
    <cellStyle name="표준 15 5" xfId="9039"/>
    <cellStyle name="표준 15 6" xfId="9040"/>
    <cellStyle name="표준 15 7" xfId="9041"/>
    <cellStyle name="표준 15 8" xfId="9042"/>
    <cellStyle name="표준 15 9" xfId="9043"/>
    <cellStyle name="표준 16" xfId="9044"/>
    <cellStyle name="표준 16 10" xfId="9045"/>
    <cellStyle name="표준 16 11" xfId="9046"/>
    <cellStyle name="표준 16 12" xfId="9047"/>
    <cellStyle name="표준 16 13" xfId="9048"/>
    <cellStyle name="표준 16 14" xfId="9049"/>
    <cellStyle name="표준 16 15" xfId="9050"/>
    <cellStyle name="표준 16 2" xfId="9051"/>
    <cellStyle name="표준 16 2 10" xfId="9052"/>
    <cellStyle name="표준 16 2 11" xfId="9053"/>
    <cellStyle name="표준 16 2 12" xfId="9054"/>
    <cellStyle name="표준 16 2 13" xfId="9055"/>
    <cellStyle name="표준 16 2 14" xfId="9056"/>
    <cellStyle name="표준 16 2 15" xfId="9057"/>
    <cellStyle name="표준 16 2 2" xfId="9058"/>
    <cellStyle name="표준 16 2 2 2" xfId="9059"/>
    <cellStyle name="표준 16 2 3" xfId="9060"/>
    <cellStyle name="표준 16 2 4" xfId="9061"/>
    <cellStyle name="표준 16 2 5" xfId="9062"/>
    <cellStyle name="표준 16 2 6" xfId="9063"/>
    <cellStyle name="표준 16 2 7" xfId="9064"/>
    <cellStyle name="표준 16 2 8" xfId="9065"/>
    <cellStyle name="표준 16 2 9" xfId="9066"/>
    <cellStyle name="표준 16 3" xfId="9067"/>
    <cellStyle name="표준 16 3 10" xfId="9068"/>
    <cellStyle name="표준 16 3 11" xfId="9069"/>
    <cellStyle name="표준 16 3 12" xfId="9070"/>
    <cellStyle name="표준 16 3 13" xfId="9071"/>
    <cellStyle name="표준 16 3 14" xfId="9072"/>
    <cellStyle name="표준 16 3 2" xfId="9073"/>
    <cellStyle name="표준 16 3 2 2" xfId="9074"/>
    <cellStyle name="표준 16 3 3" xfId="9075"/>
    <cellStyle name="표준 16 3 4" xfId="9076"/>
    <cellStyle name="표준 16 3 5" xfId="9077"/>
    <cellStyle name="표준 16 3 6" xfId="9078"/>
    <cellStyle name="표준 16 3 7" xfId="9079"/>
    <cellStyle name="표준 16 3 8" xfId="9080"/>
    <cellStyle name="표준 16 3 9" xfId="9081"/>
    <cellStyle name="표준 16 4" xfId="9082"/>
    <cellStyle name="표준 16 4 2" xfId="9083"/>
    <cellStyle name="표준 16 5" xfId="9084"/>
    <cellStyle name="표준 16 6" xfId="9085"/>
    <cellStyle name="표준 16 7" xfId="9086"/>
    <cellStyle name="표준 16 8" xfId="9087"/>
    <cellStyle name="표준 16 9" xfId="9088"/>
    <cellStyle name="표준 17" xfId="9089"/>
    <cellStyle name="표준 17 10" xfId="9090"/>
    <cellStyle name="표준 17 11" xfId="9091"/>
    <cellStyle name="표준 17 12" xfId="9092"/>
    <cellStyle name="표준 17 13" xfId="9093"/>
    <cellStyle name="표준 17 14" xfId="9094"/>
    <cellStyle name="표준 17 15" xfId="9095"/>
    <cellStyle name="표준 17 2" xfId="9096"/>
    <cellStyle name="표준 17 2 10" xfId="9097"/>
    <cellStyle name="표준 17 2 11" xfId="9098"/>
    <cellStyle name="표준 17 2 12" xfId="9099"/>
    <cellStyle name="표준 17 2 13" xfId="9100"/>
    <cellStyle name="표준 17 2 14" xfId="9101"/>
    <cellStyle name="표준 17 2 15" xfId="9102"/>
    <cellStyle name="표준 17 2 2" xfId="9103"/>
    <cellStyle name="표준 17 2 2 2" xfId="9104"/>
    <cellStyle name="표준 17 2 3" xfId="9105"/>
    <cellStyle name="표준 17 2 4" xfId="9106"/>
    <cellStyle name="표준 17 2 5" xfId="9107"/>
    <cellStyle name="표준 17 2 6" xfId="9108"/>
    <cellStyle name="표준 17 2 7" xfId="9109"/>
    <cellStyle name="표준 17 2 8" xfId="9110"/>
    <cellStyle name="표준 17 2 9" xfId="9111"/>
    <cellStyle name="표준 17 3" xfId="9112"/>
    <cellStyle name="표준 17 3 10" xfId="9113"/>
    <cellStyle name="표준 17 3 11" xfId="9114"/>
    <cellStyle name="표준 17 3 12" xfId="9115"/>
    <cellStyle name="표준 17 3 13" xfId="9116"/>
    <cellStyle name="표준 17 3 14" xfId="9117"/>
    <cellStyle name="표준 17 3 2" xfId="9118"/>
    <cellStyle name="표준 17 3 2 2" xfId="9119"/>
    <cellStyle name="표준 17 3 3" xfId="9120"/>
    <cellStyle name="표준 17 3 4" xfId="9121"/>
    <cellStyle name="표준 17 3 5" xfId="9122"/>
    <cellStyle name="표준 17 3 6" xfId="9123"/>
    <cellStyle name="표준 17 3 7" xfId="9124"/>
    <cellStyle name="표준 17 3 8" xfId="9125"/>
    <cellStyle name="표준 17 3 9" xfId="9126"/>
    <cellStyle name="표준 17 4" xfId="9127"/>
    <cellStyle name="표준 17 4 2" xfId="9128"/>
    <cellStyle name="표준 17 5" xfId="9129"/>
    <cellStyle name="표준 17 6" xfId="9130"/>
    <cellStyle name="표준 17 7" xfId="9131"/>
    <cellStyle name="표준 17 8" xfId="9132"/>
    <cellStyle name="표준 17 9" xfId="9133"/>
    <cellStyle name="표준 18" xfId="9134"/>
    <cellStyle name="표준 18 10" xfId="9135"/>
    <cellStyle name="표준 18 11" xfId="9136"/>
    <cellStyle name="표준 18 12" xfId="9137"/>
    <cellStyle name="표준 18 13" xfId="9138"/>
    <cellStyle name="표준 18 14" xfId="9139"/>
    <cellStyle name="표준 18 15" xfId="9140"/>
    <cellStyle name="표준 18 2" xfId="9141"/>
    <cellStyle name="표준 18 2 10" xfId="9142"/>
    <cellStyle name="표준 18 2 11" xfId="9143"/>
    <cellStyle name="표준 18 2 12" xfId="9144"/>
    <cellStyle name="표준 18 2 13" xfId="9145"/>
    <cellStyle name="표준 18 2 14" xfId="9146"/>
    <cellStyle name="표준 18 2 15" xfId="9147"/>
    <cellStyle name="표준 18 2 2" xfId="9148"/>
    <cellStyle name="표준 18 2 2 2" xfId="9149"/>
    <cellStyle name="표준 18 2 3" xfId="9150"/>
    <cellStyle name="표준 18 2 4" xfId="9151"/>
    <cellStyle name="표준 18 2 5" xfId="9152"/>
    <cellStyle name="표준 18 2 6" xfId="9153"/>
    <cellStyle name="표준 18 2 7" xfId="9154"/>
    <cellStyle name="표준 18 2 8" xfId="9155"/>
    <cellStyle name="표준 18 2 9" xfId="9156"/>
    <cellStyle name="표준 18 3" xfId="9157"/>
    <cellStyle name="표준 18 3 10" xfId="9158"/>
    <cellStyle name="표준 18 3 11" xfId="9159"/>
    <cellStyle name="표준 18 3 12" xfId="9160"/>
    <cellStyle name="표준 18 3 13" xfId="9161"/>
    <cellStyle name="표준 18 3 14" xfId="9162"/>
    <cellStyle name="표준 18 3 2" xfId="9163"/>
    <cellStyle name="표준 18 3 2 2" xfId="9164"/>
    <cellStyle name="표준 18 3 3" xfId="9165"/>
    <cellStyle name="표준 18 3 4" xfId="9166"/>
    <cellStyle name="표준 18 3 5" xfId="9167"/>
    <cellStyle name="표준 18 3 6" xfId="9168"/>
    <cellStyle name="표준 18 3 7" xfId="9169"/>
    <cellStyle name="표준 18 3 8" xfId="9170"/>
    <cellStyle name="표준 18 3 9" xfId="9171"/>
    <cellStyle name="표준 18 4" xfId="9172"/>
    <cellStyle name="표준 18 4 2" xfId="9173"/>
    <cellStyle name="표준 18 5" xfId="9174"/>
    <cellStyle name="표준 18 6" xfId="9175"/>
    <cellStyle name="표준 18 7" xfId="9176"/>
    <cellStyle name="표준 18 8" xfId="9177"/>
    <cellStyle name="표준 18 9" xfId="9178"/>
    <cellStyle name="표준 19" xfId="9179"/>
    <cellStyle name="표준 19 10" xfId="9180"/>
    <cellStyle name="표준 19 11" xfId="9181"/>
    <cellStyle name="표준 19 12" xfId="9182"/>
    <cellStyle name="표준 19 13" xfId="9183"/>
    <cellStyle name="표준 19 14" xfId="9184"/>
    <cellStyle name="표준 19 15" xfId="9185"/>
    <cellStyle name="표준 19 2" xfId="9186"/>
    <cellStyle name="표준 19 2 10" xfId="9187"/>
    <cellStyle name="표준 19 2 11" xfId="9188"/>
    <cellStyle name="표준 19 2 12" xfId="9189"/>
    <cellStyle name="표준 19 2 13" xfId="9190"/>
    <cellStyle name="표준 19 2 14" xfId="9191"/>
    <cellStyle name="표준 19 2 15" xfId="9192"/>
    <cellStyle name="표준 19 2 2" xfId="9193"/>
    <cellStyle name="표준 19 2 2 2" xfId="9194"/>
    <cellStyle name="표준 19 2 3" xfId="9195"/>
    <cellStyle name="표준 19 2 4" xfId="9196"/>
    <cellStyle name="표준 19 2 5" xfId="9197"/>
    <cellStyle name="표준 19 2 6" xfId="9198"/>
    <cellStyle name="표준 19 2 7" xfId="9199"/>
    <cellStyle name="표준 19 2 8" xfId="9200"/>
    <cellStyle name="표준 19 2 9" xfId="9201"/>
    <cellStyle name="표준 19 3" xfId="9202"/>
    <cellStyle name="표준 19 3 10" xfId="9203"/>
    <cellStyle name="표준 19 3 11" xfId="9204"/>
    <cellStyle name="표준 19 3 12" xfId="9205"/>
    <cellStyle name="표준 19 3 13" xfId="9206"/>
    <cellStyle name="표준 19 3 14" xfId="9207"/>
    <cellStyle name="표준 19 3 2" xfId="9208"/>
    <cellStyle name="표준 19 3 2 2" xfId="9209"/>
    <cellStyle name="표준 19 3 3" xfId="9210"/>
    <cellStyle name="표준 19 3 4" xfId="9211"/>
    <cellStyle name="표준 19 3 5" xfId="9212"/>
    <cellStyle name="표준 19 3 6" xfId="9213"/>
    <cellStyle name="표준 19 3 7" xfId="9214"/>
    <cellStyle name="표준 19 3 8" xfId="9215"/>
    <cellStyle name="표준 19 3 9" xfId="9216"/>
    <cellStyle name="표준 19 4" xfId="9217"/>
    <cellStyle name="표준 19 4 2" xfId="9218"/>
    <cellStyle name="표준 19 5" xfId="9219"/>
    <cellStyle name="표준 19 6" xfId="9220"/>
    <cellStyle name="표준 19 7" xfId="9221"/>
    <cellStyle name="표준 19 8" xfId="9222"/>
    <cellStyle name="표준 19 9" xfId="9223"/>
    <cellStyle name="표준 2" xfId="81"/>
    <cellStyle name="표준 2 10" xfId="9224"/>
    <cellStyle name="표준 2 10 10" xfId="9225"/>
    <cellStyle name="표준 2 10 11" xfId="9226"/>
    <cellStyle name="표준 2 10 12" xfId="9227"/>
    <cellStyle name="표준 2 10 13" xfId="9228"/>
    <cellStyle name="표준 2 10 14" xfId="9229"/>
    <cellStyle name="표준 2 10 15" xfId="9230"/>
    <cellStyle name="표준 2 10 16" xfId="9231"/>
    <cellStyle name="표준 2 10 2" xfId="9232"/>
    <cellStyle name="표준 2 10 3" xfId="9233"/>
    <cellStyle name="표준 2 10 3 2" xfId="9234"/>
    <cellStyle name="표준 2 10 4" xfId="9235"/>
    <cellStyle name="표준 2 10 5" xfId="9236"/>
    <cellStyle name="표준 2 10 6" xfId="9237"/>
    <cellStyle name="표준 2 10 7" xfId="9238"/>
    <cellStyle name="표준 2 10 8" xfId="9239"/>
    <cellStyle name="표준 2 10 9" xfId="9240"/>
    <cellStyle name="표준 2 10_개정이력" xfId="9241"/>
    <cellStyle name="표준 2 11" xfId="9242"/>
    <cellStyle name="표준 2 11 10" xfId="9243"/>
    <cellStyle name="표준 2 11 11" xfId="9244"/>
    <cellStyle name="표준 2 11 12" xfId="9245"/>
    <cellStyle name="표준 2 11 13" xfId="9246"/>
    <cellStyle name="표준 2 11 14" xfId="9247"/>
    <cellStyle name="표준 2 11 15" xfId="9248"/>
    <cellStyle name="표준 2 11 16" xfId="9249"/>
    <cellStyle name="표준 2 11 2" xfId="9250"/>
    <cellStyle name="표준 2 11 3" xfId="9251"/>
    <cellStyle name="표준 2 11 3 2" xfId="9252"/>
    <cellStyle name="표준 2 11 4" xfId="9253"/>
    <cellStyle name="표준 2 11 5" xfId="9254"/>
    <cellStyle name="표준 2 11 6" xfId="9255"/>
    <cellStyle name="표준 2 11 7" xfId="9256"/>
    <cellStyle name="표준 2 11 8" xfId="9257"/>
    <cellStyle name="표준 2 11 9" xfId="9258"/>
    <cellStyle name="표준 2 11_개정이력" xfId="9259"/>
    <cellStyle name="표준 2 12" xfId="9260"/>
    <cellStyle name="표준 2 12 10" xfId="9261"/>
    <cellStyle name="표준 2 12 11" xfId="9262"/>
    <cellStyle name="표준 2 12 12" xfId="9263"/>
    <cellStyle name="표준 2 12 13" xfId="9264"/>
    <cellStyle name="표준 2 12 14" xfId="9265"/>
    <cellStyle name="표준 2 12 15" xfId="9266"/>
    <cellStyle name="표준 2 12 16" xfId="9267"/>
    <cellStyle name="표준 2 12 2" xfId="9268"/>
    <cellStyle name="표준 2 12 3" xfId="9269"/>
    <cellStyle name="표준 2 12 3 2" xfId="9270"/>
    <cellStyle name="표준 2 12 4" xfId="9271"/>
    <cellStyle name="표준 2 12 5" xfId="9272"/>
    <cellStyle name="표준 2 12 6" xfId="9273"/>
    <cellStyle name="표준 2 12 7" xfId="9274"/>
    <cellStyle name="표준 2 12 8" xfId="9275"/>
    <cellStyle name="표준 2 12 9" xfId="9276"/>
    <cellStyle name="표준 2 12_개정이력" xfId="9277"/>
    <cellStyle name="표준 2 13" xfId="9278"/>
    <cellStyle name="표준 2 13 10" xfId="9279"/>
    <cellStyle name="표준 2 13 11" xfId="9280"/>
    <cellStyle name="표준 2 13 12" xfId="9281"/>
    <cellStyle name="표준 2 13 13" xfId="9282"/>
    <cellStyle name="표준 2 13 14" xfId="9283"/>
    <cellStyle name="표준 2 13 15" xfId="9284"/>
    <cellStyle name="표준 2 13 16" xfId="9285"/>
    <cellStyle name="표준 2 13 2" xfId="9286"/>
    <cellStyle name="표준 2 13 3" xfId="9287"/>
    <cellStyle name="표준 2 13 3 2" xfId="9288"/>
    <cellStyle name="표준 2 13 4" xfId="9289"/>
    <cellStyle name="표준 2 13 5" xfId="9290"/>
    <cellStyle name="표준 2 13 6" xfId="9291"/>
    <cellStyle name="표준 2 13 7" xfId="9292"/>
    <cellStyle name="표준 2 13 8" xfId="9293"/>
    <cellStyle name="표준 2 13 9" xfId="9294"/>
    <cellStyle name="표준 2 13_개정이력" xfId="9295"/>
    <cellStyle name="표준 2 14" xfId="9296"/>
    <cellStyle name="표준 2 14 10" xfId="9297"/>
    <cellStyle name="표준 2 14 11" xfId="9298"/>
    <cellStyle name="표준 2 14 12" xfId="9299"/>
    <cellStyle name="표준 2 14 13" xfId="9300"/>
    <cellStyle name="표준 2 14 14" xfId="9301"/>
    <cellStyle name="표준 2 14 15" xfId="9302"/>
    <cellStyle name="표준 2 14 16" xfId="9303"/>
    <cellStyle name="표준 2 14 2" xfId="9304"/>
    <cellStyle name="표준 2 14 3" xfId="9305"/>
    <cellStyle name="표준 2 14 3 2" xfId="9306"/>
    <cellStyle name="표준 2 14 4" xfId="9307"/>
    <cellStyle name="표준 2 14 5" xfId="9308"/>
    <cellStyle name="표준 2 14 6" xfId="9309"/>
    <cellStyle name="표준 2 14 7" xfId="9310"/>
    <cellStyle name="표준 2 14 8" xfId="9311"/>
    <cellStyle name="표준 2 14 9" xfId="9312"/>
    <cellStyle name="표준 2 14_개정이력" xfId="9313"/>
    <cellStyle name="표준 2 15" xfId="9314"/>
    <cellStyle name="표준 2 15 10" xfId="9315"/>
    <cellStyle name="표준 2 15 11" xfId="9316"/>
    <cellStyle name="표준 2 15 12" xfId="9317"/>
    <cellStyle name="표준 2 15 13" xfId="9318"/>
    <cellStyle name="표준 2 15 14" xfId="9319"/>
    <cellStyle name="표준 2 15 15" xfId="9320"/>
    <cellStyle name="표준 2 15 2" xfId="9321"/>
    <cellStyle name="표준 2 15 2 2" xfId="9322"/>
    <cellStyle name="표준 2 15 3" xfId="9323"/>
    <cellStyle name="표준 2 15 4" xfId="9324"/>
    <cellStyle name="표준 2 15 5" xfId="9325"/>
    <cellStyle name="표준 2 15 6" xfId="9326"/>
    <cellStyle name="표준 2 15 7" xfId="9327"/>
    <cellStyle name="표준 2 15 8" xfId="9328"/>
    <cellStyle name="표준 2 15 9" xfId="9329"/>
    <cellStyle name="표준 2 16" xfId="9330"/>
    <cellStyle name="표준 2 16 10" xfId="9331"/>
    <cellStyle name="표준 2 16 11" xfId="9332"/>
    <cellStyle name="표준 2 16 12" xfId="9333"/>
    <cellStyle name="표준 2 16 13" xfId="9334"/>
    <cellStyle name="표준 2 16 14" xfId="9335"/>
    <cellStyle name="표준 2 16 15" xfId="9336"/>
    <cellStyle name="표준 2 16 2" xfId="9337"/>
    <cellStyle name="표준 2 16 2 2" xfId="9338"/>
    <cellStyle name="표준 2 16 3" xfId="9339"/>
    <cellStyle name="표준 2 16 4" xfId="9340"/>
    <cellStyle name="표준 2 16 5" xfId="9341"/>
    <cellStyle name="표준 2 16 6" xfId="9342"/>
    <cellStyle name="표준 2 16 7" xfId="9343"/>
    <cellStyle name="표준 2 16 8" xfId="9344"/>
    <cellStyle name="표준 2 16 9" xfId="9345"/>
    <cellStyle name="표준 2 17" xfId="9346"/>
    <cellStyle name="표준 2 17 10" xfId="9347"/>
    <cellStyle name="표준 2 17 11" xfId="9348"/>
    <cellStyle name="표준 2 17 12" xfId="9349"/>
    <cellStyle name="표준 2 17 13" xfId="9350"/>
    <cellStyle name="표준 2 17 14" xfId="9351"/>
    <cellStyle name="표준 2 17 15" xfId="9352"/>
    <cellStyle name="표준 2 17 2" xfId="9353"/>
    <cellStyle name="표준 2 17 2 2" xfId="9354"/>
    <cellStyle name="표준 2 17 3" xfId="9355"/>
    <cellStyle name="표준 2 17 4" xfId="9356"/>
    <cellStyle name="표준 2 17 5" xfId="9357"/>
    <cellStyle name="표준 2 17 6" xfId="9358"/>
    <cellStyle name="표준 2 17 7" xfId="9359"/>
    <cellStyle name="표준 2 17 8" xfId="9360"/>
    <cellStyle name="표준 2 17 9" xfId="9361"/>
    <cellStyle name="표준 2 18" xfId="9362"/>
    <cellStyle name="표준 2 18 2" xfId="9363"/>
    <cellStyle name="표준 2 19" xfId="9364"/>
    <cellStyle name="표준 2 2" xfId="408"/>
    <cellStyle name="표준 2 2 10" xfId="9365"/>
    <cellStyle name="표준 2 2 10 10" xfId="9366"/>
    <cellStyle name="표준 2 2 10 11" xfId="9367"/>
    <cellStyle name="표준 2 2 10 12" xfId="9368"/>
    <cellStyle name="표준 2 2 10 13" xfId="9369"/>
    <cellStyle name="표준 2 2 10 14" xfId="9370"/>
    <cellStyle name="표준 2 2 10 15" xfId="9371"/>
    <cellStyle name="표준 2 2 10 2" xfId="9372"/>
    <cellStyle name="표준 2 2 10 2 10" xfId="9373"/>
    <cellStyle name="표준 2 2 10 2 11" xfId="9374"/>
    <cellStyle name="표준 2 2 10 2 12" xfId="9375"/>
    <cellStyle name="표준 2 2 10 2 13" xfId="9376"/>
    <cellStyle name="표준 2 2 10 2 14" xfId="9377"/>
    <cellStyle name="표준 2 2 10 2 2" xfId="9378"/>
    <cellStyle name="표준 2 2 10 2 2 2" xfId="9379"/>
    <cellStyle name="표준 2 2 10 2 3" xfId="9380"/>
    <cellStyle name="표준 2 2 10 2 4" xfId="9381"/>
    <cellStyle name="표준 2 2 10 2 5" xfId="9382"/>
    <cellStyle name="표준 2 2 10 2 6" xfId="9383"/>
    <cellStyle name="표준 2 2 10 2 7" xfId="9384"/>
    <cellStyle name="표준 2 2 10 2 8" xfId="9385"/>
    <cellStyle name="표준 2 2 10 2 9" xfId="9386"/>
    <cellStyle name="표준 2 2 10 3" xfId="9387"/>
    <cellStyle name="표준 2 2 10 3 2" xfId="9388"/>
    <cellStyle name="표준 2 2 10 4" xfId="9389"/>
    <cellStyle name="표준 2 2 10 5" xfId="9390"/>
    <cellStyle name="표준 2 2 10 6" xfId="9391"/>
    <cellStyle name="표준 2 2 10 7" xfId="9392"/>
    <cellStyle name="표준 2 2 10 8" xfId="9393"/>
    <cellStyle name="표준 2 2 10 9" xfId="9394"/>
    <cellStyle name="표준 2 2 100" xfId="9395"/>
    <cellStyle name="표준 2 2 101" xfId="9396"/>
    <cellStyle name="표준 2 2 102" xfId="9397"/>
    <cellStyle name="표준 2 2 103" xfId="9398"/>
    <cellStyle name="표준 2 2 104" xfId="9399"/>
    <cellStyle name="표준 2 2 105" xfId="9400"/>
    <cellStyle name="표준 2 2 106" xfId="9401"/>
    <cellStyle name="표준 2 2 107" xfId="9402"/>
    <cellStyle name="표준 2 2 108" xfId="9403"/>
    <cellStyle name="표준 2 2 109" xfId="9404"/>
    <cellStyle name="표준 2 2 11" xfId="9405"/>
    <cellStyle name="표준 2 2 11 10" xfId="9406"/>
    <cellStyle name="표준 2 2 11 11" xfId="9407"/>
    <cellStyle name="표준 2 2 11 12" xfId="9408"/>
    <cellStyle name="표준 2 2 11 13" xfId="9409"/>
    <cellStyle name="표준 2 2 11 14" xfId="9410"/>
    <cellStyle name="표준 2 2 11 15" xfId="9411"/>
    <cellStyle name="표준 2 2 11 2" xfId="9412"/>
    <cellStyle name="표준 2 2 11 2 10" xfId="9413"/>
    <cellStyle name="표준 2 2 11 2 11" xfId="9414"/>
    <cellStyle name="표준 2 2 11 2 12" xfId="9415"/>
    <cellStyle name="표준 2 2 11 2 13" xfId="9416"/>
    <cellStyle name="표준 2 2 11 2 14" xfId="9417"/>
    <cellStyle name="표준 2 2 11 2 2" xfId="9418"/>
    <cellStyle name="표준 2 2 11 2 2 2" xfId="9419"/>
    <cellStyle name="표준 2 2 11 2 3" xfId="9420"/>
    <cellStyle name="표준 2 2 11 2 4" xfId="9421"/>
    <cellStyle name="표준 2 2 11 2 5" xfId="9422"/>
    <cellStyle name="표준 2 2 11 2 6" xfId="9423"/>
    <cellStyle name="표준 2 2 11 2 7" xfId="9424"/>
    <cellStyle name="표준 2 2 11 2 8" xfId="9425"/>
    <cellStyle name="표준 2 2 11 2 9" xfId="9426"/>
    <cellStyle name="표준 2 2 11 3" xfId="9427"/>
    <cellStyle name="표준 2 2 11 3 2" xfId="9428"/>
    <cellStyle name="표준 2 2 11 4" xfId="9429"/>
    <cellStyle name="표준 2 2 11 5" xfId="9430"/>
    <cellStyle name="표준 2 2 11 6" xfId="9431"/>
    <cellStyle name="표준 2 2 11 7" xfId="9432"/>
    <cellStyle name="표준 2 2 11 8" xfId="9433"/>
    <cellStyle name="표준 2 2 11 9" xfId="9434"/>
    <cellStyle name="표준 2 2 110" xfId="9435"/>
    <cellStyle name="표준 2 2 111" xfId="9436"/>
    <cellStyle name="표준 2 2 112" xfId="9437"/>
    <cellStyle name="표준 2 2 113" xfId="9438"/>
    <cellStyle name="표준 2 2 114" xfId="9439"/>
    <cellStyle name="표준 2 2 115" xfId="9440"/>
    <cellStyle name="표준 2 2 116" xfId="9441"/>
    <cellStyle name="표준 2 2 117" xfId="9442"/>
    <cellStyle name="표준 2 2 118" xfId="9443"/>
    <cellStyle name="표준 2 2 119" xfId="9444"/>
    <cellStyle name="표준 2 2 12" xfId="9445"/>
    <cellStyle name="표준 2 2 12 10" xfId="9446"/>
    <cellStyle name="표준 2 2 12 11" xfId="9447"/>
    <cellStyle name="표준 2 2 12 12" xfId="9448"/>
    <cellStyle name="표준 2 2 12 13" xfId="9449"/>
    <cellStyle name="표준 2 2 12 14" xfId="9450"/>
    <cellStyle name="표준 2 2 12 2" xfId="9451"/>
    <cellStyle name="표준 2 2 12 2 2" xfId="9452"/>
    <cellStyle name="표준 2 2 12 3" xfId="9453"/>
    <cellStyle name="표준 2 2 12 4" xfId="9454"/>
    <cellStyle name="표준 2 2 12 5" xfId="9455"/>
    <cellStyle name="표준 2 2 12 6" xfId="9456"/>
    <cellStyle name="표준 2 2 12 7" xfId="9457"/>
    <cellStyle name="표준 2 2 12 8" xfId="9458"/>
    <cellStyle name="표준 2 2 12 9" xfId="9459"/>
    <cellStyle name="표준 2 2 120" xfId="9460"/>
    <cellStyle name="표준 2 2 121" xfId="9461"/>
    <cellStyle name="표준 2 2 122" xfId="9462"/>
    <cellStyle name="표준 2 2 123" xfId="9463"/>
    <cellStyle name="표준 2 2 124" xfId="9464"/>
    <cellStyle name="표준 2 2 125" xfId="9465"/>
    <cellStyle name="표준 2 2 126" xfId="9466"/>
    <cellStyle name="표준 2 2 127" xfId="9467"/>
    <cellStyle name="표준 2 2 128" xfId="9468"/>
    <cellStyle name="표준 2 2 129" xfId="9469"/>
    <cellStyle name="표준 2 2 13" xfId="9470"/>
    <cellStyle name="표준 2 2 130" xfId="9471"/>
    <cellStyle name="표준 2 2 131" xfId="9472"/>
    <cellStyle name="표준 2 2 131 2" xfId="9473"/>
    <cellStyle name="표준 2 2 132" xfId="9474"/>
    <cellStyle name="표준 2 2 133" xfId="9475"/>
    <cellStyle name="표준 2 2 134" xfId="9476"/>
    <cellStyle name="표준 2 2 135" xfId="9477"/>
    <cellStyle name="표준 2 2 136" xfId="9478"/>
    <cellStyle name="표준 2 2 137" xfId="9479"/>
    <cellStyle name="표준 2 2 138" xfId="9480"/>
    <cellStyle name="표준 2 2 139" xfId="9481"/>
    <cellStyle name="표준 2 2 14" xfId="9482"/>
    <cellStyle name="표준 2 2 140" xfId="9483"/>
    <cellStyle name="표준 2 2 141" xfId="9484"/>
    <cellStyle name="표준 2 2 142" xfId="9485"/>
    <cellStyle name="표준 2 2 143" xfId="9486"/>
    <cellStyle name="표준 2 2 144" xfId="9487"/>
    <cellStyle name="표준 2 2 145" xfId="9488"/>
    <cellStyle name="표준 2 2 146" xfId="9489"/>
    <cellStyle name="표준 2 2 147" xfId="9490"/>
    <cellStyle name="표준 2 2 148" xfId="9491"/>
    <cellStyle name="표준 2 2 149" xfId="9492"/>
    <cellStyle name="표준 2 2 15" xfId="9493"/>
    <cellStyle name="표준 2 2 150" xfId="9494"/>
    <cellStyle name="표준 2 2 151" xfId="9495"/>
    <cellStyle name="표준 2 2 152" xfId="9496"/>
    <cellStyle name="표준 2 2 153" xfId="9497"/>
    <cellStyle name="표준 2 2 154" xfId="9498"/>
    <cellStyle name="표준 2 2 155" xfId="24632"/>
    <cellStyle name="표준 2 2 155 2" xfId="44913"/>
    <cellStyle name="표준 2 2 156" xfId="32079"/>
    <cellStyle name="표준 2 2 16" xfId="9499"/>
    <cellStyle name="표준 2 2 17" xfId="9500"/>
    <cellStyle name="표준 2 2 18" xfId="9501"/>
    <cellStyle name="표준 2 2 19" xfId="9502"/>
    <cellStyle name="표준 2 2 2" xfId="409"/>
    <cellStyle name="표준 2 2 2 10" xfId="9503"/>
    <cellStyle name="표준 2 2 2 11" xfId="9504"/>
    <cellStyle name="표준 2 2 2 12" xfId="9505"/>
    <cellStyle name="표준 2 2 2 13" xfId="9506"/>
    <cellStyle name="표준 2 2 2 14" xfId="9507"/>
    <cellStyle name="표준 2 2 2 15" xfId="9508"/>
    <cellStyle name="표준 2 2 2 16" xfId="9509"/>
    <cellStyle name="표준 2 2 2 17" xfId="9510"/>
    <cellStyle name="표준 2 2 2 18" xfId="9511"/>
    <cellStyle name="표준 2 2 2 19" xfId="9512"/>
    <cellStyle name="표준 2 2 2 2" xfId="9513"/>
    <cellStyle name="표준 2 2 2 2 10" xfId="9514"/>
    <cellStyle name="표준 2 2 2 2 11" xfId="9515"/>
    <cellStyle name="표준 2 2 2 2 12" xfId="9516"/>
    <cellStyle name="표준 2 2 2 2 13" xfId="9517"/>
    <cellStyle name="표준 2 2 2 2 14" xfId="9518"/>
    <cellStyle name="표준 2 2 2 2 15" xfId="9519"/>
    <cellStyle name="표준 2 2 2 2 16" xfId="9520"/>
    <cellStyle name="표준 2 2 2 2 17" xfId="9521"/>
    <cellStyle name="표준 2 2 2 2 2" xfId="9522"/>
    <cellStyle name="표준 2 2 2 2 2 2" xfId="9523"/>
    <cellStyle name="표준 2 2 2 2 2 2 2" xfId="9524"/>
    <cellStyle name="표준 2 2 2 2 2 2 3" xfId="9525"/>
    <cellStyle name="표준 2 2 2 2 2 2 4" xfId="9526"/>
    <cellStyle name="표준 2 2 2 2 2 2 5" xfId="9527"/>
    <cellStyle name="표준 2 2 2 2 2 3" xfId="9528"/>
    <cellStyle name="표준 2 2 2 2 2 4" xfId="9529"/>
    <cellStyle name="표준 2 2 2 2 2 5" xfId="9530"/>
    <cellStyle name="표준 2 2 2 2 3" xfId="9531"/>
    <cellStyle name="표준 2 2 2 2 4" xfId="9532"/>
    <cellStyle name="표준 2 2 2 2 5" xfId="9533"/>
    <cellStyle name="표준 2 2 2 2 6" xfId="9534"/>
    <cellStyle name="표준 2 2 2 2 7" xfId="9535"/>
    <cellStyle name="표준 2 2 2 2 8" xfId="9536"/>
    <cellStyle name="표준 2 2 2 2 9" xfId="9537"/>
    <cellStyle name="표준 2 2 2 20" xfId="9538"/>
    <cellStyle name="표준 2 2 2 21" xfId="9539"/>
    <cellStyle name="표준 2 2 2 22" xfId="9540"/>
    <cellStyle name="표준 2 2 2 23" xfId="9541"/>
    <cellStyle name="표준 2 2 2 24" xfId="9542"/>
    <cellStyle name="표준 2 2 2 25" xfId="9543"/>
    <cellStyle name="표준 2 2 2 3" xfId="9544"/>
    <cellStyle name="표준 2 2 2 3 2" xfId="9545"/>
    <cellStyle name="표준 2 2 2 4" xfId="9546"/>
    <cellStyle name="표준 2 2 2 5" xfId="9547"/>
    <cellStyle name="표준 2 2 2 6" xfId="9548"/>
    <cellStyle name="표준 2 2 2 7" xfId="9549"/>
    <cellStyle name="표준 2 2 2 8" xfId="9550"/>
    <cellStyle name="표준 2 2 2 9" xfId="9551"/>
    <cellStyle name="표준 2 2 20" xfId="9552"/>
    <cellStyle name="표준 2 2 21" xfId="9553"/>
    <cellStyle name="표준 2 2 22" xfId="9554"/>
    <cellStyle name="표준 2 2 23" xfId="9555"/>
    <cellStyle name="표준 2 2 24" xfId="9556"/>
    <cellStyle name="표준 2 2 25" xfId="9557"/>
    <cellStyle name="표준 2 2 26" xfId="9558"/>
    <cellStyle name="표준 2 2 27" xfId="9559"/>
    <cellStyle name="표준 2 2 28" xfId="9560"/>
    <cellStyle name="표준 2 2 29" xfId="9561"/>
    <cellStyle name="표준 2 2 3" xfId="9562"/>
    <cellStyle name="표준 2 2 3 10" xfId="9563"/>
    <cellStyle name="표준 2 2 3 11" xfId="9564"/>
    <cellStyle name="표준 2 2 3 12" xfId="9565"/>
    <cellStyle name="표준 2 2 3 13" xfId="9566"/>
    <cellStyle name="표준 2 2 3 14" xfId="9567"/>
    <cellStyle name="표준 2 2 3 15" xfId="9568"/>
    <cellStyle name="표준 2 2 3 16" xfId="9569"/>
    <cellStyle name="표준 2 2 3 17" xfId="9570"/>
    <cellStyle name="표준 2 2 3 18" xfId="9571"/>
    <cellStyle name="표준 2 2 3 2" xfId="9572"/>
    <cellStyle name="표준 2 2 3 2 10" xfId="9573"/>
    <cellStyle name="표준 2 2 3 2 11" xfId="9574"/>
    <cellStyle name="표준 2 2 3 2 12" xfId="9575"/>
    <cellStyle name="표준 2 2 3 2 13" xfId="9576"/>
    <cellStyle name="표준 2 2 3 2 14" xfId="9577"/>
    <cellStyle name="표준 2 2 3 2 15" xfId="9578"/>
    <cellStyle name="표준 2 2 3 2 16" xfId="9579"/>
    <cellStyle name="표준 2 2 3 2 17" xfId="9580"/>
    <cellStyle name="표준 2 2 3 2 2" xfId="9581"/>
    <cellStyle name="표준 2 2 3 2 2 2" xfId="9582"/>
    <cellStyle name="표준 2 2 3 2 2 2 2" xfId="9583"/>
    <cellStyle name="표준 2 2 3 2 2 2 3" xfId="9584"/>
    <cellStyle name="표준 2 2 3 2 2 2 4" xfId="9585"/>
    <cellStyle name="표준 2 2 3 2 2 2 5" xfId="9586"/>
    <cellStyle name="표준 2 2 3 2 2 3" xfId="9587"/>
    <cellStyle name="표준 2 2 3 2 2 4" xfId="9588"/>
    <cellStyle name="표준 2 2 3 2 2 5" xfId="9589"/>
    <cellStyle name="표준 2 2 3 2 3" xfId="9590"/>
    <cellStyle name="표준 2 2 3 2 4" xfId="9591"/>
    <cellStyle name="표준 2 2 3 2 5" xfId="9592"/>
    <cellStyle name="표준 2 2 3 2 6" xfId="9593"/>
    <cellStyle name="표준 2 2 3 2 7" xfId="9594"/>
    <cellStyle name="표준 2 2 3 2 8" xfId="9595"/>
    <cellStyle name="표준 2 2 3 2 9" xfId="9596"/>
    <cellStyle name="표준 2 2 3 3" xfId="9597"/>
    <cellStyle name="표준 2 2 3 3 2" xfId="9598"/>
    <cellStyle name="표준 2 2 3 4" xfId="9599"/>
    <cellStyle name="표준 2 2 3 5" xfId="9600"/>
    <cellStyle name="표준 2 2 3 6" xfId="9601"/>
    <cellStyle name="표준 2 2 3 7" xfId="9602"/>
    <cellStyle name="표준 2 2 3 8" xfId="9603"/>
    <cellStyle name="표준 2 2 3 9" xfId="9604"/>
    <cellStyle name="표준 2 2 30" xfId="9605"/>
    <cellStyle name="표준 2 2 31" xfId="9606"/>
    <cellStyle name="표준 2 2 32" xfId="9607"/>
    <cellStyle name="표준 2 2 33" xfId="9608"/>
    <cellStyle name="표준 2 2 34" xfId="9609"/>
    <cellStyle name="표준 2 2 35" xfId="9610"/>
    <cellStyle name="표준 2 2 36" xfId="9611"/>
    <cellStyle name="표준 2 2 37" xfId="9612"/>
    <cellStyle name="표준 2 2 38" xfId="9613"/>
    <cellStyle name="표준 2 2 39" xfId="9614"/>
    <cellStyle name="표준 2 2 4" xfId="9615"/>
    <cellStyle name="표준 2 2 4 10" xfId="9616"/>
    <cellStyle name="표준 2 2 4 11" xfId="9617"/>
    <cellStyle name="표준 2 2 4 12" xfId="9618"/>
    <cellStyle name="표준 2 2 4 13" xfId="9619"/>
    <cellStyle name="표준 2 2 4 14" xfId="9620"/>
    <cellStyle name="표준 2 2 4 15" xfId="9621"/>
    <cellStyle name="표준 2 2 4 2" xfId="9622"/>
    <cellStyle name="표준 2 2 4 2 10" xfId="9623"/>
    <cellStyle name="표준 2 2 4 2 11" xfId="9624"/>
    <cellStyle name="표준 2 2 4 2 12" xfId="9625"/>
    <cellStyle name="표준 2 2 4 2 13" xfId="9626"/>
    <cellStyle name="표준 2 2 4 2 14" xfId="9627"/>
    <cellStyle name="표준 2 2 4 2 2" xfId="9628"/>
    <cellStyle name="표준 2 2 4 2 2 2" xfId="9629"/>
    <cellStyle name="표준 2 2 4 2 3" xfId="9630"/>
    <cellStyle name="표준 2 2 4 2 4" xfId="9631"/>
    <cellStyle name="표준 2 2 4 2 5" xfId="9632"/>
    <cellStyle name="표준 2 2 4 2 6" xfId="9633"/>
    <cellStyle name="표준 2 2 4 2 7" xfId="9634"/>
    <cellStyle name="표준 2 2 4 2 8" xfId="9635"/>
    <cellStyle name="표준 2 2 4 2 9" xfId="9636"/>
    <cellStyle name="표준 2 2 4 3" xfId="9637"/>
    <cellStyle name="표준 2 2 4 3 2" xfId="9638"/>
    <cellStyle name="표준 2 2 4 4" xfId="9639"/>
    <cellStyle name="표준 2 2 4 5" xfId="9640"/>
    <cellStyle name="표준 2 2 4 6" xfId="9641"/>
    <cellStyle name="표준 2 2 4 7" xfId="9642"/>
    <cellStyle name="표준 2 2 4 8" xfId="9643"/>
    <cellStyle name="표준 2 2 4 9" xfId="9644"/>
    <cellStyle name="표준 2 2 40" xfId="9645"/>
    <cellStyle name="표준 2 2 41" xfId="9646"/>
    <cellStyle name="표준 2 2 42" xfId="9647"/>
    <cellStyle name="표준 2 2 43" xfId="9648"/>
    <cellStyle name="표준 2 2 44" xfId="9649"/>
    <cellStyle name="표준 2 2 45" xfId="9650"/>
    <cellStyle name="표준 2 2 46" xfId="9651"/>
    <cellStyle name="표준 2 2 47" xfId="9652"/>
    <cellStyle name="표준 2 2 48" xfId="9653"/>
    <cellStyle name="표준 2 2 49" xfId="9654"/>
    <cellStyle name="표준 2 2 5" xfId="9655"/>
    <cellStyle name="표준 2 2 5 10" xfId="9656"/>
    <cellStyle name="표준 2 2 5 11" xfId="9657"/>
    <cellStyle name="표준 2 2 5 12" xfId="9658"/>
    <cellStyle name="표준 2 2 5 13" xfId="9659"/>
    <cellStyle name="표준 2 2 5 14" xfId="9660"/>
    <cellStyle name="표준 2 2 5 15" xfId="9661"/>
    <cellStyle name="표준 2 2 5 2" xfId="9662"/>
    <cellStyle name="표준 2 2 5 2 10" xfId="9663"/>
    <cellStyle name="표준 2 2 5 2 11" xfId="9664"/>
    <cellStyle name="표준 2 2 5 2 12" xfId="9665"/>
    <cellStyle name="표준 2 2 5 2 13" xfId="9666"/>
    <cellStyle name="표준 2 2 5 2 14" xfId="9667"/>
    <cellStyle name="표준 2 2 5 2 2" xfId="9668"/>
    <cellStyle name="표준 2 2 5 2 2 2" xfId="9669"/>
    <cellStyle name="표준 2 2 5 2 3" xfId="9670"/>
    <cellStyle name="표준 2 2 5 2 4" xfId="9671"/>
    <cellStyle name="표준 2 2 5 2 5" xfId="9672"/>
    <cellStyle name="표준 2 2 5 2 6" xfId="9673"/>
    <cellStyle name="표준 2 2 5 2 7" xfId="9674"/>
    <cellStyle name="표준 2 2 5 2 8" xfId="9675"/>
    <cellStyle name="표준 2 2 5 2 9" xfId="9676"/>
    <cellStyle name="표준 2 2 5 3" xfId="9677"/>
    <cellStyle name="표준 2 2 5 3 2" xfId="9678"/>
    <cellStyle name="표준 2 2 5 4" xfId="9679"/>
    <cellStyle name="표준 2 2 5 5" xfId="9680"/>
    <cellStyle name="표준 2 2 5 6" xfId="9681"/>
    <cellStyle name="표준 2 2 5 7" xfId="9682"/>
    <cellStyle name="표준 2 2 5 8" xfId="9683"/>
    <cellStyle name="표준 2 2 5 9" xfId="9684"/>
    <cellStyle name="표준 2 2 50" xfId="9685"/>
    <cellStyle name="표준 2 2 51" xfId="9686"/>
    <cellStyle name="표준 2 2 52" xfId="9687"/>
    <cellStyle name="표준 2 2 53" xfId="9688"/>
    <cellStyle name="표준 2 2 54" xfId="9689"/>
    <cellStyle name="표준 2 2 55" xfId="9690"/>
    <cellStyle name="표준 2 2 56" xfId="9691"/>
    <cellStyle name="표준 2 2 57" xfId="9692"/>
    <cellStyle name="표준 2 2 58" xfId="9693"/>
    <cellStyle name="표준 2 2 59" xfId="9694"/>
    <cellStyle name="표준 2 2 6" xfId="9695"/>
    <cellStyle name="표준 2 2 6 10" xfId="9696"/>
    <cellStyle name="표준 2 2 6 11" xfId="9697"/>
    <cellStyle name="표준 2 2 6 12" xfId="9698"/>
    <cellStyle name="표준 2 2 6 13" xfId="9699"/>
    <cellStyle name="표준 2 2 6 14" xfId="9700"/>
    <cellStyle name="표준 2 2 6 15" xfId="9701"/>
    <cellStyle name="표준 2 2 6 2" xfId="9702"/>
    <cellStyle name="표준 2 2 6 2 10" xfId="9703"/>
    <cellStyle name="표준 2 2 6 2 11" xfId="9704"/>
    <cellStyle name="표준 2 2 6 2 12" xfId="9705"/>
    <cellStyle name="표준 2 2 6 2 13" xfId="9706"/>
    <cellStyle name="표준 2 2 6 2 14" xfId="9707"/>
    <cellStyle name="표준 2 2 6 2 2" xfId="9708"/>
    <cellStyle name="표준 2 2 6 2 2 2" xfId="9709"/>
    <cellStyle name="표준 2 2 6 2 3" xfId="9710"/>
    <cellStyle name="표준 2 2 6 2 4" xfId="9711"/>
    <cellStyle name="표준 2 2 6 2 5" xfId="9712"/>
    <cellStyle name="표준 2 2 6 2 6" xfId="9713"/>
    <cellStyle name="표준 2 2 6 2 7" xfId="9714"/>
    <cellStyle name="표준 2 2 6 2 8" xfId="9715"/>
    <cellStyle name="표준 2 2 6 2 9" xfId="9716"/>
    <cellStyle name="표준 2 2 6 3" xfId="9717"/>
    <cellStyle name="표준 2 2 6 3 2" xfId="9718"/>
    <cellStyle name="표준 2 2 6 4" xfId="9719"/>
    <cellStyle name="표준 2 2 6 5" xfId="9720"/>
    <cellStyle name="표준 2 2 6 6" xfId="9721"/>
    <cellStyle name="표준 2 2 6 7" xfId="9722"/>
    <cellStyle name="표준 2 2 6 8" xfId="9723"/>
    <cellStyle name="표준 2 2 6 9" xfId="9724"/>
    <cellStyle name="표준 2 2 60" xfId="9725"/>
    <cellStyle name="표준 2 2 61" xfId="9726"/>
    <cellStyle name="표준 2 2 62" xfId="9727"/>
    <cellStyle name="표준 2 2 63" xfId="9728"/>
    <cellStyle name="표준 2 2 64" xfId="9729"/>
    <cellStyle name="표준 2 2 65" xfId="9730"/>
    <cellStyle name="표준 2 2 66" xfId="9731"/>
    <cellStyle name="표준 2 2 67" xfId="9732"/>
    <cellStyle name="표준 2 2 68" xfId="9733"/>
    <cellStyle name="표준 2 2 69" xfId="9734"/>
    <cellStyle name="표준 2 2 7" xfId="9735"/>
    <cellStyle name="표준 2 2 7 10" xfId="9736"/>
    <cellStyle name="표준 2 2 7 11" xfId="9737"/>
    <cellStyle name="표준 2 2 7 12" xfId="9738"/>
    <cellStyle name="표준 2 2 7 13" xfId="9739"/>
    <cellStyle name="표준 2 2 7 14" xfId="9740"/>
    <cellStyle name="표준 2 2 7 15" xfId="9741"/>
    <cellStyle name="표준 2 2 7 2" xfId="9742"/>
    <cellStyle name="표준 2 2 7 2 10" xfId="9743"/>
    <cellStyle name="표준 2 2 7 2 11" xfId="9744"/>
    <cellStyle name="표준 2 2 7 2 12" xfId="9745"/>
    <cellStyle name="표준 2 2 7 2 13" xfId="9746"/>
    <cellStyle name="표준 2 2 7 2 14" xfId="9747"/>
    <cellStyle name="표준 2 2 7 2 2" xfId="9748"/>
    <cellStyle name="표준 2 2 7 2 2 2" xfId="9749"/>
    <cellStyle name="표준 2 2 7 2 3" xfId="9750"/>
    <cellStyle name="표준 2 2 7 2 4" xfId="9751"/>
    <cellStyle name="표준 2 2 7 2 5" xfId="9752"/>
    <cellStyle name="표준 2 2 7 2 6" xfId="9753"/>
    <cellStyle name="표준 2 2 7 2 7" xfId="9754"/>
    <cellStyle name="표준 2 2 7 2 8" xfId="9755"/>
    <cellStyle name="표준 2 2 7 2 9" xfId="9756"/>
    <cellStyle name="표준 2 2 7 3" xfId="9757"/>
    <cellStyle name="표준 2 2 7 3 2" xfId="9758"/>
    <cellStyle name="표준 2 2 7 4" xfId="9759"/>
    <cellStyle name="표준 2 2 7 5" xfId="9760"/>
    <cellStyle name="표준 2 2 7 6" xfId="9761"/>
    <cellStyle name="표준 2 2 7 7" xfId="9762"/>
    <cellStyle name="표준 2 2 7 8" xfId="9763"/>
    <cellStyle name="표준 2 2 7 9" xfId="9764"/>
    <cellStyle name="표준 2 2 70" xfId="9765"/>
    <cellStyle name="표준 2 2 71" xfId="9766"/>
    <cellStyle name="표준 2 2 72" xfId="9767"/>
    <cellStyle name="표준 2 2 73" xfId="9768"/>
    <cellStyle name="표준 2 2 74" xfId="9769"/>
    <cellStyle name="표준 2 2 75" xfId="9770"/>
    <cellStyle name="표준 2 2 76" xfId="9771"/>
    <cellStyle name="표준 2 2 77" xfId="9772"/>
    <cellStyle name="표준 2 2 78" xfId="9773"/>
    <cellStyle name="표준 2 2 79" xfId="9774"/>
    <cellStyle name="표준 2 2 8" xfId="9775"/>
    <cellStyle name="표준 2 2 8 10" xfId="9776"/>
    <cellStyle name="표준 2 2 8 11" xfId="9777"/>
    <cellStyle name="표준 2 2 8 12" xfId="9778"/>
    <cellStyle name="표준 2 2 8 13" xfId="9779"/>
    <cellStyle name="표준 2 2 8 14" xfId="9780"/>
    <cellStyle name="표준 2 2 8 15" xfId="9781"/>
    <cellStyle name="표준 2 2 8 2" xfId="9782"/>
    <cellStyle name="표준 2 2 8 2 10" xfId="9783"/>
    <cellStyle name="표준 2 2 8 2 11" xfId="9784"/>
    <cellStyle name="표준 2 2 8 2 12" xfId="9785"/>
    <cellStyle name="표준 2 2 8 2 13" xfId="9786"/>
    <cellStyle name="표준 2 2 8 2 14" xfId="9787"/>
    <cellStyle name="표준 2 2 8 2 2" xfId="9788"/>
    <cellStyle name="표준 2 2 8 2 2 2" xfId="9789"/>
    <cellStyle name="표준 2 2 8 2 3" xfId="9790"/>
    <cellStyle name="표준 2 2 8 2 4" xfId="9791"/>
    <cellStyle name="표준 2 2 8 2 5" xfId="9792"/>
    <cellStyle name="표준 2 2 8 2 6" xfId="9793"/>
    <cellStyle name="표준 2 2 8 2 7" xfId="9794"/>
    <cellStyle name="표준 2 2 8 2 8" xfId="9795"/>
    <cellStyle name="표준 2 2 8 2 9" xfId="9796"/>
    <cellStyle name="표준 2 2 8 3" xfId="9797"/>
    <cellStyle name="표준 2 2 8 3 2" xfId="9798"/>
    <cellStyle name="표준 2 2 8 4" xfId="9799"/>
    <cellStyle name="표준 2 2 8 5" xfId="9800"/>
    <cellStyle name="표준 2 2 8 6" xfId="9801"/>
    <cellStyle name="표준 2 2 8 7" xfId="9802"/>
    <cellStyle name="표준 2 2 8 8" xfId="9803"/>
    <cellStyle name="표준 2 2 8 9" xfId="9804"/>
    <cellStyle name="표준 2 2 80" xfId="9805"/>
    <cellStyle name="표준 2 2 81" xfId="9806"/>
    <cellStyle name="표준 2 2 82" xfId="9807"/>
    <cellStyle name="표준 2 2 83" xfId="9808"/>
    <cellStyle name="표준 2 2 84" xfId="9809"/>
    <cellStyle name="표준 2 2 85" xfId="9810"/>
    <cellStyle name="표준 2 2 86" xfId="9811"/>
    <cellStyle name="표준 2 2 87" xfId="9812"/>
    <cellStyle name="표준 2 2 88" xfId="9813"/>
    <cellStyle name="표준 2 2 89" xfId="9814"/>
    <cellStyle name="표준 2 2 9" xfId="9815"/>
    <cellStyle name="표준 2 2 9 10" xfId="9816"/>
    <cellStyle name="표준 2 2 9 11" xfId="9817"/>
    <cellStyle name="표준 2 2 9 12" xfId="9818"/>
    <cellStyle name="표준 2 2 9 13" xfId="9819"/>
    <cellStyle name="표준 2 2 9 14" xfId="9820"/>
    <cellStyle name="표준 2 2 9 15" xfId="9821"/>
    <cellStyle name="표준 2 2 9 2" xfId="9822"/>
    <cellStyle name="표준 2 2 9 2 10" xfId="9823"/>
    <cellStyle name="표준 2 2 9 2 11" xfId="9824"/>
    <cellStyle name="표준 2 2 9 2 12" xfId="9825"/>
    <cellStyle name="표준 2 2 9 2 13" xfId="9826"/>
    <cellStyle name="표준 2 2 9 2 14" xfId="9827"/>
    <cellStyle name="표준 2 2 9 2 2" xfId="9828"/>
    <cellStyle name="표준 2 2 9 2 2 2" xfId="9829"/>
    <cellStyle name="표준 2 2 9 2 3" xfId="9830"/>
    <cellStyle name="표준 2 2 9 2 4" xfId="9831"/>
    <cellStyle name="표준 2 2 9 2 5" xfId="9832"/>
    <cellStyle name="표준 2 2 9 2 6" xfId="9833"/>
    <cellStyle name="표준 2 2 9 2 7" xfId="9834"/>
    <cellStyle name="표준 2 2 9 2 8" xfId="9835"/>
    <cellStyle name="표준 2 2 9 2 9" xfId="9836"/>
    <cellStyle name="표준 2 2 9 3" xfId="9837"/>
    <cellStyle name="표준 2 2 9 3 2" xfId="9838"/>
    <cellStyle name="표준 2 2 9 4" xfId="9839"/>
    <cellStyle name="표준 2 2 9 5" xfId="9840"/>
    <cellStyle name="표준 2 2 9 6" xfId="9841"/>
    <cellStyle name="표준 2 2 9 7" xfId="9842"/>
    <cellStyle name="표준 2 2 9 8" xfId="9843"/>
    <cellStyle name="표준 2 2 9 9" xfId="9844"/>
    <cellStyle name="표준 2 2 90" xfId="9845"/>
    <cellStyle name="표준 2 2 91" xfId="9846"/>
    <cellStyle name="표준 2 2 92" xfId="9847"/>
    <cellStyle name="표준 2 2 93" xfId="9848"/>
    <cellStyle name="표준 2 2 94" xfId="9849"/>
    <cellStyle name="표준 2 2 95" xfId="9850"/>
    <cellStyle name="표준 2 2 96" xfId="9851"/>
    <cellStyle name="표준 2 2 97" xfId="9852"/>
    <cellStyle name="표준 2 2 98" xfId="9853"/>
    <cellStyle name="표준 2 2 99" xfId="9854"/>
    <cellStyle name="표준 2 2_개정이력" xfId="9855"/>
    <cellStyle name="표준 2 20" xfId="9856"/>
    <cellStyle name="표준 2 21" xfId="9857"/>
    <cellStyle name="표준 2 22" xfId="9858"/>
    <cellStyle name="표준 2 23" xfId="9859"/>
    <cellStyle name="표준 2 24" xfId="9860"/>
    <cellStyle name="표준 2 25" xfId="9861"/>
    <cellStyle name="표준 2 26" xfId="9862"/>
    <cellStyle name="표준 2 27" xfId="9863"/>
    <cellStyle name="표준 2 28" xfId="9864"/>
    <cellStyle name="표준 2 29" xfId="9865"/>
    <cellStyle name="표준 2 3" xfId="410"/>
    <cellStyle name="표준 2 3 10" xfId="9866"/>
    <cellStyle name="표준 2 3 100" xfId="9867"/>
    <cellStyle name="표준 2 3 100 2" xfId="9868"/>
    <cellStyle name="표준 2 3 101" xfId="9869"/>
    <cellStyle name="표준 2 3 102" xfId="9870"/>
    <cellStyle name="표준 2 3 103" xfId="9871"/>
    <cellStyle name="표준 2 3 104" xfId="9872"/>
    <cellStyle name="표준 2 3 105" xfId="9873"/>
    <cellStyle name="표준 2 3 106" xfId="9874"/>
    <cellStyle name="표준 2 3 107" xfId="9875"/>
    <cellStyle name="표준 2 3 108" xfId="9876"/>
    <cellStyle name="표준 2 3 109" xfId="9877"/>
    <cellStyle name="표준 2 3 11" xfId="9878"/>
    <cellStyle name="표준 2 3 110" xfId="9879"/>
    <cellStyle name="표준 2 3 111" xfId="9880"/>
    <cellStyle name="표준 2 3 112" xfId="9881"/>
    <cellStyle name="표준 2 3 113" xfId="9882"/>
    <cellStyle name="표준 2 3 114" xfId="9883"/>
    <cellStyle name="표준 2 3 115" xfId="9884"/>
    <cellStyle name="표준 2 3 116" xfId="9885"/>
    <cellStyle name="표준 2 3 117" xfId="9886"/>
    <cellStyle name="표준 2 3 118" xfId="9887"/>
    <cellStyle name="표준 2 3 119" xfId="9888"/>
    <cellStyle name="표준 2 3 12" xfId="9889"/>
    <cellStyle name="표준 2 3 120" xfId="9890"/>
    <cellStyle name="표준 2 3 121" xfId="9891"/>
    <cellStyle name="표준 2 3 122" xfId="9892"/>
    <cellStyle name="표준 2 3 123" xfId="9893"/>
    <cellStyle name="표준 2 3 13" xfId="9894"/>
    <cellStyle name="표준 2 3 14" xfId="9895"/>
    <cellStyle name="표준 2 3 15" xfId="9896"/>
    <cellStyle name="표준 2 3 16" xfId="9897"/>
    <cellStyle name="표준 2 3 17" xfId="9898"/>
    <cellStyle name="표준 2 3 18" xfId="9899"/>
    <cellStyle name="표준 2 3 19" xfId="9900"/>
    <cellStyle name="표준 2 3 2" xfId="411"/>
    <cellStyle name="표준 2 3 2 10" xfId="9901"/>
    <cellStyle name="표준 2 3 2 11" xfId="9902"/>
    <cellStyle name="표준 2 3 2 2" xfId="9903"/>
    <cellStyle name="표준 2 3 2 2 2" xfId="9904"/>
    <cellStyle name="표준 2 3 2 2 3" xfId="9905"/>
    <cellStyle name="표준 2 3 2 2 4" xfId="9906"/>
    <cellStyle name="표준 2 3 2 2 5" xfId="9907"/>
    <cellStyle name="표준 2 3 2 3" xfId="9908"/>
    <cellStyle name="표준 2 3 2 4" xfId="9909"/>
    <cellStyle name="표준 2 3 2 5" xfId="9910"/>
    <cellStyle name="표준 2 3 2 6" xfId="9911"/>
    <cellStyle name="표준 2 3 2 7" xfId="9912"/>
    <cellStyle name="표준 2 3 2 8" xfId="9913"/>
    <cellStyle name="표준 2 3 2 9" xfId="9914"/>
    <cellStyle name="표준 2 3 20" xfId="9915"/>
    <cellStyle name="표준 2 3 21" xfId="9916"/>
    <cellStyle name="표준 2 3 22" xfId="9917"/>
    <cellStyle name="표준 2 3 23" xfId="9918"/>
    <cellStyle name="표준 2 3 24" xfId="9919"/>
    <cellStyle name="표준 2 3 25" xfId="9920"/>
    <cellStyle name="표준 2 3 26" xfId="9921"/>
    <cellStyle name="표준 2 3 27" xfId="9922"/>
    <cellStyle name="표준 2 3 28" xfId="9923"/>
    <cellStyle name="표준 2 3 29" xfId="9924"/>
    <cellStyle name="표준 2 3 3" xfId="9925"/>
    <cellStyle name="표준 2 3 30" xfId="9926"/>
    <cellStyle name="표준 2 3 31" xfId="9927"/>
    <cellStyle name="표준 2 3 32" xfId="9928"/>
    <cellStyle name="표준 2 3 33" xfId="9929"/>
    <cellStyle name="표준 2 3 34" xfId="9930"/>
    <cellStyle name="표준 2 3 35" xfId="9931"/>
    <cellStyle name="표준 2 3 36" xfId="9932"/>
    <cellStyle name="표준 2 3 37" xfId="9933"/>
    <cellStyle name="표준 2 3 38" xfId="9934"/>
    <cellStyle name="표준 2 3 39" xfId="9935"/>
    <cellStyle name="표준 2 3 4" xfId="9936"/>
    <cellStyle name="표준 2 3 40" xfId="9937"/>
    <cellStyle name="표준 2 3 41" xfId="9938"/>
    <cellStyle name="표준 2 3 42" xfId="9939"/>
    <cellStyle name="표준 2 3 43" xfId="9940"/>
    <cellStyle name="표준 2 3 44" xfId="9941"/>
    <cellStyle name="표준 2 3 45" xfId="9942"/>
    <cellStyle name="표준 2 3 46" xfId="9943"/>
    <cellStyle name="표준 2 3 47" xfId="9944"/>
    <cellStyle name="표준 2 3 48" xfId="9945"/>
    <cellStyle name="표준 2 3 49" xfId="9946"/>
    <cellStyle name="표준 2 3 5" xfId="9947"/>
    <cellStyle name="표준 2 3 50" xfId="9948"/>
    <cellStyle name="표준 2 3 51" xfId="9949"/>
    <cellStyle name="표준 2 3 52" xfId="9950"/>
    <cellStyle name="표준 2 3 53" xfId="9951"/>
    <cellStyle name="표준 2 3 54" xfId="9952"/>
    <cellStyle name="표준 2 3 55" xfId="9953"/>
    <cellStyle name="표준 2 3 56" xfId="9954"/>
    <cellStyle name="표준 2 3 57" xfId="9955"/>
    <cellStyle name="표준 2 3 58" xfId="9956"/>
    <cellStyle name="표준 2 3 59" xfId="9957"/>
    <cellStyle name="표준 2 3 6" xfId="9958"/>
    <cellStyle name="표준 2 3 60" xfId="9959"/>
    <cellStyle name="표준 2 3 61" xfId="9960"/>
    <cellStyle name="표준 2 3 62" xfId="9961"/>
    <cellStyle name="표준 2 3 63" xfId="9962"/>
    <cellStyle name="표준 2 3 64" xfId="9963"/>
    <cellStyle name="표준 2 3 65" xfId="9964"/>
    <cellStyle name="표준 2 3 66" xfId="9965"/>
    <cellStyle name="표준 2 3 67" xfId="9966"/>
    <cellStyle name="표준 2 3 68" xfId="9967"/>
    <cellStyle name="표준 2 3 69" xfId="9968"/>
    <cellStyle name="표준 2 3 7" xfId="9969"/>
    <cellStyle name="표준 2 3 70" xfId="9970"/>
    <cellStyle name="표준 2 3 71" xfId="9971"/>
    <cellStyle name="표준 2 3 72" xfId="9972"/>
    <cellStyle name="표준 2 3 73" xfId="9973"/>
    <cellStyle name="표준 2 3 74" xfId="9974"/>
    <cellStyle name="표준 2 3 75" xfId="9975"/>
    <cellStyle name="표준 2 3 76" xfId="9976"/>
    <cellStyle name="표준 2 3 77" xfId="9977"/>
    <cellStyle name="표준 2 3 78" xfId="9978"/>
    <cellStyle name="표준 2 3 79" xfId="9979"/>
    <cellStyle name="표준 2 3 8" xfId="9980"/>
    <cellStyle name="표준 2 3 80" xfId="9981"/>
    <cellStyle name="표준 2 3 81" xfId="9982"/>
    <cellStyle name="표준 2 3 82" xfId="9983"/>
    <cellStyle name="표준 2 3 83" xfId="9984"/>
    <cellStyle name="표준 2 3 84" xfId="9985"/>
    <cellStyle name="표준 2 3 85" xfId="9986"/>
    <cellStyle name="표준 2 3 86" xfId="9987"/>
    <cellStyle name="표준 2 3 87" xfId="9988"/>
    <cellStyle name="표준 2 3 88" xfId="9989"/>
    <cellStyle name="표준 2 3 89" xfId="9990"/>
    <cellStyle name="표준 2 3 9" xfId="9991"/>
    <cellStyle name="표준 2 3 90" xfId="9992"/>
    <cellStyle name="표준 2 3 91" xfId="9993"/>
    <cellStyle name="표준 2 3 92" xfId="9994"/>
    <cellStyle name="표준 2 3 93" xfId="9995"/>
    <cellStyle name="표준 2 3 94" xfId="9996"/>
    <cellStyle name="표준 2 3 95" xfId="9997"/>
    <cellStyle name="표준 2 3 96" xfId="9998"/>
    <cellStyle name="표준 2 3 97" xfId="9999"/>
    <cellStyle name="표준 2 3 98" xfId="10000"/>
    <cellStyle name="표준 2 3 99" xfId="10001"/>
    <cellStyle name="표준 2 30" xfId="10002"/>
    <cellStyle name="표준 2 31" xfId="10003"/>
    <cellStyle name="표준 2 32" xfId="10004"/>
    <cellStyle name="표준 2 33" xfId="10005"/>
    <cellStyle name="표준 2 34" xfId="10006"/>
    <cellStyle name="표준 2 35" xfId="10007"/>
    <cellStyle name="표준 2 36" xfId="10008"/>
    <cellStyle name="표준 2 37" xfId="10009"/>
    <cellStyle name="표준 2 38" xfId="10010"/>
    <cellStyle name="표준 2 39" xfId="10011"/>
    <cellStyle name="표준 2 4" xfId="86"/>
    <cellStyle name="표준 2 4 10" xfId="10012"/>
    <cellStyle name="표준 2 4 11" xfId="10013"/>
    <cellStyle name="표준 2 4 12" xfId="10014"/>
    <cellStyle name="표준 2 4 13" xfId="10015"/>
    <cellStyle name="표준 2 4 14" xfId="10016"/>
    <cellStyle name="표준 2 4 15" xfId="10017"/>
    <cellStyle name="표준 2 4 16" xfId="10018"/>
    <cellStyle name="표준 2 4 17" xfId="10019"/>
    <cellStyle name="표준 2 4 18" xfId="10020"/>
    <cellStyle name="표준 2 4 19" xfId="10021"/>
    <cellStyle name="표준 2 4 2" xfId="10022"/>
    <cellStyle name="표준 2 4 2 10" xfId="10023"/>
    <cellStyle name="표준 2 4 2 11" xfId="10024"/>
    <cellStyle name="표준 2 4 2 12" xfId="10025"/>
    <cellStyle name="표준 2 4 2 13" xfId="10026"/>
    <cellStyle name="표준 2 4 2 14" xfId="10027"/>
    <cellStyle name="표준 2 4 2 15" xfId="10028"/>
    <cellStyle name="표준 2 4 2 16" xfId="10029"/>
    <cellStyle name="표준 2 4 2 17" xfId="10030"/>
    <cellStyle name="표준 2 4 2 2" xfId="10031"/>
    <cellStyle name="표준 2 4 2 2 2" xfId="10032"/>
    <cellStyle name="표준 2 4 2 2 2 2" xfId="10033"/>
    <cellStyle name="표준 2 4 2 2 2 3" xfId="10034"/>
    <cellStyle name="표준 2 4 2 2 2 4" xfId="10035"/>
    <cellStyle name="표준 2 4 2 2 2 5" xfId="10036"/>
    <cellStyle name="표준 2 4 2 2 3" xfId="10037"/>
    <cellStyle name="표준 2 4 2 2 4" xfId="10038"/>
    <cellStyle name="표준 2 4 2 2 5" xfId="10039"/>
    <cellStyle name="표준 2 4 2 3" xfId="10040"/>
    <cellStyle name="표준 2 4 2 4" xfId="10041"/>
    <cellStyle name="표준 2 4 2 5" xfId="10042"/>
    <cellStyle name="표준 2 4 2 6" xfId="10043"/>
    <cellStyle name="표준 2 4 2 7" xfId="10044"/>
    <cellStyle name="표준 2 4 2 8" xfId="10045"/>
    <cellStyle name="표준 2 4 2 9" xfId="10046"/>
    <cellStyle name="표준 2 4 20" xfId="10047"/>
    <cellStyle name="표준 2 4 21" xfId="10048"/>
    <cellStyle name="표준 2 4 22" xfId="10049"/>
    <cellStyle name="표준 2 4 23" xfId="10050"/>
    <cellStyle name="표준 2 4 24" xfId="10051"/>
    <cellStyle name="표준 2 4 25" xfId="10052"/>
    <cellStyle name="표준 2 4 26" xfId="11707"/>
    <cellStyle name="표준 2 4 27" xfId="11753"/>
    <cellStyle name="표준 2 4 28" xfId="11799"/>
    <cellStyle name="표준 2 4 29" xfId="11845"/>
    <cellStyle name="표준 2 4 3" xfId="10053"/>
    <cellStyle name="표준 2 4 3 2" xfId="10054"/>
    <cellStyle name="표준 2 4 30" xfId="11891"/>
    <cellStyle name="표준 2 4 31" xfId="11937"/>
    <cellStyle name="표준 2 4 32" xfId="11983"/>
    <cellStyle name="표준 2 4 33" xfId="12029"/>
    <cellStyle name="표준 2 4 34" xfId="12075"/>
    <cellStyle name="표준 2 4 35" xfId="12121"/>
    <cellStyle name="표준 2 4 36" xfId="12167"/>
    <cellStyle name="표준 2 4 37" xfId="12213"/>
    <cellStyle name="표준 2 4 38" xfId="412"/>
    <cellStyle name="표준 2 4 4" xfId="10055"/>
    <cellStyle name="표준 2 4 5" xfId="10056"/>
    <cellStyle name="표준 2 4 6" xfId="10057"/>
    <cellStyle name="표준 2 4 7" xfId="10058"/>
    <cellStyle name="표준 2 4 8" xfId="10059"/>
    <cellStyle name="표준 2 4 9" xfId="10060"/>
    <cellStyle name="표준 2 40" xfId="10061"/>
    <cellStyle name="표준 2 41" xfId="10062"/>
    <cellStyle name="표준 2 42" xfId="24659"/>
    <cellStyle name="표준 2 42 2" xfId="44940"/>
    <cellStyle name="표준 2 43" xfId="16964"/>
    <cellStyle name="표준 2 43 2" xfId="37272"/>
    <cellStyle name="표준 2 44" xfId="32086"/>
    <cellStyle name="표준 2 5" xfId="10063"/>
    <cellStyle name="표준 2 5 10" xfId="10064"/>
    <cellStyle name="표준 2 5 11" xfId="10065"/>
    <cellStyle name="표준 2 5 12" xfId="10066"/>
    <cellStyle name="표준 2 5 13" xfId="10067"/>
    <cellStyle name="표준 2 5 14" xfId="10068"/>
    <cellStyle name="표준 2 5 15" xfId="10069"/>
    <cellStyle name="표준 2 5 16" xfId="10070"/>
    <cellStyle name="표준 2 5 17" xfId="10071"/>
    <cellStyle name="표준 2 5 18" xfId="10072"/>
    <cellStyle name="표준 2 5 2" xfId="10073"/>
    <cellStyle name="표준 2 5 2 10" xfId="10074"/>
    <cellStyle name="표준 2 5 2 11" xfId="10075"/>
    <cellStyle name="표준 2 5 2 12" xfId="10076"/>
    <cellStyle name="표준 2 5 2 13" xfId="10077"/>
    <cellStyle name="표준 2 5 2 14" xfId="10078"/>
    <cellStyle name="표준 2 5 2 15" xfId="10079"/>
    <cellStyle name="표준 2 5 2 16" xfId="10080"/>
    <cellStyle name="표준 2 5 2 17" xfId="10081"/>
    <cellStyle name="표준 2 5 2 2" xfId="10082"/>
    <cellStyle name="표준 2 5 2 2 2" xfId="10083"/>
    <cellStyle name="표준 2 5 2 2 2 2" xfId="10084"/>
    <cellStyle name="표준 2 5 2 2 2 3" xfId="10085"/>
    <cellStyle name="표준 2 5 2 2 2 4" xfId="10086"/>
    <cellStyle name="표준 2 5 2 2 2 5" xfId="10087"/>
    <cellStyle name="표준 2 5 2 2 3" xfId="10088"/>
    <cellStyle name="표준 2 5 2 2 4" xfId="10089"/>
    <cellStyle name="표준 2 5 2 2 5" xfId="10090"/>
    <cellStyle name="표준 2 5 2 3" xfId="10091"/>
    <cellStyle name="표준 2 5 2 4" xfId="10092"/>
    <cellStyle name="표준 2 5 2 5" xfId="10093"/>
    <cellStyle name="표준 2 5 2 6" xfId="10094"/>
    <cellStyle name="표준 2 5 2 7" xfId="10095"/>
    <cellStyle name="표준 2 5 2 8" xfId="10096"/>
    <cellStyle name="표준 2 5 2 9" xfId="10097"/>
    <cellStyle name="표준 2 5 25 2" xfId="64"/>
    <cellStyle name="표준 2 5 25 2 2" xfId="32094"/>
    <cellStyle name="표준 2 5 3" xfId="10098"/>
    <cellStyle name="표준 2 5 3 2" xfId="10099"/>
    <cellStyle name="표준 2 5 4" xfId="10100"/>
    <cellStyle name="표준 2 5 5" xfId="10101"/>
    <cellStyle name="표준 2 5 6" xfId="10102"/>
    <cellStyle name="표준 2 5 7" xfId="10103"/>
    <cellStyle name="표준 2 5 8" xfId="10104"/>
    <cellStyle name="표준 2 5 9" xfId="10105"/>
    <cellStyle name="표준 2 6" xfId="413"/>
    <cellStyle name="표준 2 6 10" xfId="10106"/>
    <cellStyle name="표준 2 6 11" xfId="10107"/>
    <cellStyle name="표준 2 6 12" xfId="10108"/>
    <cellStyle name="표준 2 6 13" xfId="10109"/>
    <cellStyle name="표준 2 6 14" xfId="10110"/>
    <cellStyle name="표준 2 6 15" xfId="10111"/>
    <cellStyle name="표준 2 6 16" xfId="10112"/>
    <cellStyle name="표준 2 6 17" xfId="10113"/>
    <cellStyle name="표준 2 6 18" xfId="10114"/>
    <cellStyle name="표준 2 6 19" xfId="10115"/>
    <cellStyle name="표준 2 6 2" xfId="10116"/>
    <cellStyle name="표준 2 6 2 10" xfId="10117"/>
    <cellStyle name="표준 2 6 2 11" xfId="10118"/>
    <cellStyle name="표준 2 6 2 12" xfId="10119"/>
    <cellStyle name="표준 2 6 2 13" xfId="10120"/>
    <cellStyle name="표준 2 6 2 14" xfId="10121"/>
    <cellStyle name="표준 2 6 2 2" xfId="10122"/>
    <cellStyle name="표준 2 6 2 2 2" xfId="10123"/>
    <cellStyle name="표준 2 6 2 3" xfId="10124"/>
    <cellStyle name="표준 2 6 2 4" xfId="10125"/>
    <cellStyle name="표준 2 6 2 5" xfId="10126"/>
    <cellStyle name="표준 2 6 2 6" xfId="10127"/>
    <cellStyle name="표준 2 6 2 7" xfId="10128"/>
    <cellStyle name="표준 2 6 2 8" xfId="10129"/>
    <cellStyle name="표준 2 6 2 9" xfId="10130"/>
    <cellStyle name="표준 2 6 20" xfId="10131"/>
    <cellStyle name="표준 2 6 21" xfId="10132"/>
    <cellStyle name="표준 2 6 22" xfId="10133"/>
    <cellStyle name="표준 2 6 23" xfId="10134"/>
    <cellStyle name="표준 2 6 24" xfId="10135"/>
    <cellStyle name="표준 2 6 25" xfId="10136"/>
    <cellStyle name="표준 2 6 26" xfId="10137"/>
    <cellStyle name="표준 2 6 27" xfId="10138"/>
    <cellStyle name="표준 2 6 28" xfId="10139"/>
    <cellStyle name="표준 2 6 29" xfId="10140"/>
    <cellStyle name="표준 2 6 3" xfId="10141"/>
    <cellStyle name="표준 2 6 30" xfId="10142"/>
    <cellStyle name="표준 2 6 31" xfId="10143"/>
    <cellStyle name="표준 2 6 32" xfId="10144"/>
    <cellStyle name="표준 2 6 33" xfId="10145"/>
    <cellStyle name="표준 2 6 34" xfId="10146"/>
    <cellStyle name="표준 2 6 35" xfId="10147"/>
    <cellStyle name="표준 2 6 36" xfId="10148"/>
    <cellStyle name="표준 2 6 37" xfId="10149"/>
    <cellStyle name="표준 2 6 38" xfId="10150"/>
    <cellStyle name="표준 2 6 39" xfId="10151"/>
    <cellStyle name="표준 2 6 4" xfId="10152"/>
    <cellStyle name="표준 2 6 40" xfId="10153"/>
    <cellStyle name="표준 2 6 41" xfId="10154"/>
    <cellStyle name="표준 2 6 42" xfId="10155"/>
    <cellStyle name="표준 2 6 43" xfId="10156"/>
    <cellStyle name="표준 2 6 44" xfId="10157"/>
    <cellStyle name="표준 2 6 45" xfId="10158"/>
    <cellStyle name="표준 2 6 46" xfId="10159"/>
    <cellStyle name="표준 2 6 47" xfId="10160"/>
    <cellStyle name="표준 2 6 48" xfId="10161"/>
    <cellStyle name="표준 2 6 49" xfId="10162"/>
    <cellStyle name="표준 2 6 5" xfId="10163"/>
    <cellStyle name="표준 2 6 50" xfId="10164"/>
    <cellStyle name="표준 2 6 51" xfId="10165"/>
    <cellStyle name="표준 2 6 52" xfId="10166"/>
    <cellStyle name="표준 2 6 53" xfId="10167"/>
    <cellStyle name="표준 2 6 53 2" xfId="10168"/>
    <cellStyle name="표준 2 6 54" xfId="10169"/>
    <cellStyle name="표준 2 6 55" xfId="10170"/>
    <cellStyle name="표준 2 6 56" xfId="10171"/>
    <cellStyle name="표준 2 6 57" xfId="10172"/>
    <cellStyle name="표준 2 6 58" xfId="10173"/>
    <cellStyle name="표준 2 6 59" xfId="10174"/>
    <cellStyle name="표준 2 6 6" xfId="10175"/>
    <cellStyle name="표준 2 6 60" xfId="10176"/>
    <cellStyle name="표준 2 6 61" xfId="10177"/>
    <cellStyle name="표준 2 6 62" xfId="10178"/>
    <cellStyle name="표준 2 6 63" xfId="10179"/>
    <cellStyle name="표준 2 6 64" xfId="10180"/>
    <cellStyle name="표준 2 6 65" xfId="10181"/>
    <cellStyle name="표준 2 6 7" xfId="10182"/>
    <cellStyle name="표준 2 6 8" xfId="10183"/>
    <cellStyle name="표준 2 6 9" xfId="10184"/>
    <cellStyle name="표준 2 7" xfId="414"/>
    <cellStyle name="표준 2 7 10" xfId="10185"/>
    <cellStyle name="표준 2 7 100" xfId="10186"/>
    <cellStyle name="표준 2 7 100 2" xfId="10187"/>
    <cellStyle name="표준 2 7 101" xfId="10188"/>
    <cellStyle name="표준 2 7 102" xfId="10189"/>
    <cellStyle name="표준 2 7 103" xfId="10190"/>
    <cellStyle name="표준 2 7 104" xfId="10191"/>
    <cellStyle name="표준 2 7 105" xfId="10192"/>
    <cellStyle name="표준 2 7 106" xfId="10193"/>
    <cellStyle name="표준 2 7 107" xfId="10194"/>
    <cellStyle name="표준 2 7 108" xfId="10195"/>
    <cellStyle name="표준 2 7 109" xfId="10196"/>
    <cellStyle name="표준 2 7 11" xfId="10197"/>
    <cellStyle name="표준 2 7 110" xfId="10198"/>
    <cellStyle name="표준 2 7 111" xfId="10199"/>
    <cellStyle name="표준 2 7 112" xfId="10200"/>
    <cellStyle name="표준 2 7 113" xfId="10201"/>
    <cellStyle name="표준 2 7 114" xfId="10202"/>
    <cellStyle name="표준 2 7 115" xfId="10203"/>
    <cellStyle name="표준 2 7 116" xfId="10204"/>
    <cellStyle name="표준 2 7 117" xfId="10205"/>
    <cellStyle name="표준 2 7 118" xfId="10206"/>
    <cellStyle name="표준 2 7 119" xfId="10207"/>
    <cellStyle name="표준 2 7 12" xfId="10208"/>
    <cellStyle name="표준 2 7 120" xfId="10209"/>
    <cellStyle name="표준 2 7 121" xfId="10210"/>
    <cellStyle name="표준 2 7 122" xfId="10211"/>
    <cellStyle name="표준 2 7 123" xfId="10212"/>
    <cellStyle name="표준 2 7 13" xfId="10213"/>
    <cellStyle name="표준 2 7 14" xfId="10214"/>
    <cellStyle name="표준 2 7 15" xfId="10215"/>
    <cellStyle name="표준 2 7 16" xfId="10216"/>
    <cellStyle name="표준 2 7 17" xfId="10217"/>
    <cellStyle name="표준 2 7 18" xfId="10218"/>
    <cellStyle name="표준 2 7 19" xfId="10219"/>
    <cellStyle name="표준 2 7 2" xfId="10220"/>
    <cellStyle name="표준 2 7 2 10" xfId="10221"/>
    <cellStyle name="표준 2 7 2 11" xfId="10222"/>
    <cellStyle name="표준 2 7 2 12" xfId="10223"/>
    <cellStyle name="표준 2 7 2 13" xfId="10224"/>
    <cellStyle name="표준 2 7 2 14" xfId="10225"/>
    <cellStyle name="표준 2 7 2 15" xfId="10226"/>
    <cellStyle name="표준 2 7 2 2" xfId="10227"/>
    <cellStyle name="표준 2 7 2 2 10" xfId="10228"/>
    <cellStyle name="표준 2 7 2 2 11" xfId="10229"/>
    <cellStyle name="표준 2 7 2 2 12" xfId="10230"/>
    <cellStyle name="표준 2 7 2 2 13" xfId="10231"/>
    <cellStyle name="표준 2 7 2 2 14" xfId="10232"/>
    <cellStyle name="표준 2 7 2 2 2" xfId="10233"/>
    <cellStyle name="표준 2 7 2 2 2 2" xfId="10234"/>
    <cellStyle name="표준 2 7 2 2 3" xfId="10235"/>
    <cellStyle name="표준 2 7 2 2 4" xfId="10236"/>
    <cellStyle name="표준 2 7 2 2 5" xfId="10237"/>
    <cellStyle name="표준 2 7 2 2 6" xfId="10238"/>
    <cellStyle name="표준 2 7 2 2 7" xfId="10239"/>
    <cellStyle name="표준 2 7 2 2 8" xfId="10240"/>
    <cellStyle name="표준 2 7 2 2 9" xfId="10241"/>
    <cellStyle name="표준 2 7 2 3" xfId="10242"/>
    <cellStyle name="표준 2 7 2 3 2" xfId="10243"/>
    <cellStyle name="표준 2 7 2 4" xfId="10244"/>
    <cellStyle name="표준 2 7 2 5" xfId="10245"/>
    <cellStyle name="표준 2 7 2 6" xfId="10246"/>
    <cellStyle name="표준 2 7 2 7" xfId="10247"/>
    <cellStyle name="표준 2 7 2 8" xfId="10248"/>
    <cellStyle name="표준 2 7 2 9" xfId="10249"/>
    <cellStyle name="표준 2 7 20" xfId="10250"/>
    <cellStyle name="표준 2 7 21" xfId="10251"/>
    <cellStyle name="표준 2 7 22" xfId="10252"/>
    <cellStyle name="표준 2 7 23" xfId="10253"/>
    <cellStyle name="표준 2 7 24" xfId="10254"/>
    <cellStyle name="표준 2 7 25" xfId="10255"/>
    <cellStyle name="표준 2 7 26" xfId="10256"/>
    <cellStyle name="표준 2 7 27" xfId="10257"/>
    <cellStyle name="표준 2 7 28" xfId="10258"/>
    <cellStyle name="표준 2 7 29" xfId="10259"/>
    <cellStyle name="표준 2 7 3" xfId="10260"/>
    <cellStyle name="표준 2 7 30" xfId="10261"/>
    <cellStyle name="표준 2 7 31" xfId="10262"/>
    <cellStyle name="표준 2 7 32" xfId="10263"/>
    <cellStyle name="표준 2 7 33" xfId="10264"/>
    <cellStyle name="표준 2 7 34" xfId="10265"/>
    <cellStyle name="표준 2 7 35" xfId="10266"/>
    <cellStyle name="표준 2 7 36" xfId="10267"/>
    <cellStyle name="표준 2 7 37" xfId="10268"/>
    <cellStyle name="표준 2 7 38" xfId="10269"/>
    <cellStyle name="표준 2 7 39" xfId="10270"/>
    <cellStyle name="표준 2 7 4" xfId="10271"/>
    <cellStyle name="표준 2 7 40" xfId="10272"/>
    <cellStyle name="표준 2 7 41" xfId="10273"/>
    <cellStyle name="표준 2 7 42" xfId="10274"/>
    <cellStyle name="표준 2 7 43" xfId="10275"/>
    <cellStyle name="표준 2 7 44" xfId="10276"/>
    <cellStyle name="표준 2 7 45" xfId="10277"/>
    <cellStyle name="표준 2 7 46" xfId="10278"/>
    <cellStyle name="표준 2 7 47" xfId="10279"/>
    <cellStyle name="표준 2 7 48" xfId="10280"/>
    <cellStyle name="표준 2 7 49" xfId="10281"/>
    <cellStyle name="표준 2 7 5" xfId="10282"/>
    <cellStyle name="표준 2 7 50" xfId="10283"/>
    <cellStyle name="표준 2 7 51" xfId="10284"/>
    <cellStyle name="표준 2 7 52" xfId="10285"/>
    <cellStyle name="표준 2 7 53" xfId="10286"/>
    <cellStyle name="표준 2 7 54" xfId="10287"/>
    <cellStyle name="표준 2 7 55" xfId="10288"/>
    <cellStyle name="표준 2 7 56" xfId="10289"/>
    <cellStyle name="표준 2 7 57" xfId="10290"/>
    <cellStyle name="표준 2 7 58" xfId="10291"/>
    <cellStyle name="표준 2 7 59" xfId="10292"/>
    <cellStyle name="표준 2 7 6" xfId="10293"/>
    <cellStyle name="표준 2 7 60" xfId="10294"/>
    <cellStyle name="표준 2 7 61" xfId="10295"/>
    <cellStyle name="표준 2 7 62" xfId="10296"/>
    <cellStyle name="표준 2 7 63" xfId="10297"/>
    <cellStyle name="표준 2 7 64" xfId="10298"/>
    <cellStyle name="표준 2 7 65" xfId="10299"/>
    <cellStyle name="표준 2 7 66" xfId="10300"/>
    <cellStyle name="표준 2 7 67" xfId="10301"/>
    <cellStyle name="표준 2 7 68" xfId="10302"/>
    <cellStyle name="표준 2 7 69" xfId="10303"/>
    <cellStyle name="표준 2 7 7" xfId="10304"/>
    <cellStyle name="표준 2 7 70" xfId="10305"/>
    <cellStyle name="표준 2 7 71" xfId="10306"/>
    <cellStyle name="표준 2 7 72" xfId="10307"/>
    <cellStyle name="표준 2 7 73" xfId="10308"/>
    <cellStyle name="표준 2 7 74" xfId="10309"/>
    <cellStyle name="표준 2 7 75" xfId="10310"/>
    <cellStyle name="표준 2 7 76" xfId="10311"/>
    <cellStyle name="표준 2 7 77" xfId="10312"/>
    <cellStyle name="표준 2 7 78" xfId="10313"/>
    <cellStyle name="표준 2 7 79" xfId="10314"/>
    <cellStyle name="표준 2 7 8" xfId="10315"/>
    <cellStyle name="표준 2 7 80" xfId="10316"/>
    <cellStyle name="표준 2 7 81" xfId="10317"/>
    <cellStyle name="표준 2 7 82" xfId="10318"/>
    <cellStyle name="표준 2 7 83" xfId="10319"/>
    <cellStyle name="표준 2 7 84" xfId="10320"/>
    <cellStyle name="표준 2 7 85" xfId="10321"/>
    <cellStyle name="표준 2 7 86" xfId="10322"/>
    <cellStyle name="표준 2 7 87" xfId="10323"/>
    <cellStyle name="표준 2 7 88" xfId="10324"/>
    <cellStyle name="표준 2 7 89" xfId="10325"/>
    <cellStyle name="표준 2 7 9" xfId="10326"/>
    <cellStyle name="표준 2 7 90" xfId="10327"/>
    <cellStyle name="표준 2 7 91" xfId="10328"/>
    <cellStyle name="표준 2 7 92" xfId="10329"/>
    <cellStyle name="표준 2 7 93" xfId="10330"/>
    <cellStyle name="표준 2 7 94" xfId="10331"/>
    <cellStyle name="표준 2 7 95" xfId="10332"/>
    <cellStyle name="표준 2 7 96" xfId="10333"/>
    <cellStyle name="표준 2 7 97" xfId="10334"/>
    <cellStyle name="표준 2 7 98" xfId="10335"/>
    <cellStyle name="표준 2 7 99" xfId="10336"/>
    <cellStyle name="표준 2 7_개정이력" xfId="10337"/>
    <cellStyle name="표준 2 8" xfId="415"/>
    <cellStyle name="표준 2 8 10" xfId="10338"/>
    <cellStyle name="표준 2 8 100" xfId="10339"/>
    <cellStyle name="표준 2 8 101" xfId="10340"/>
    <cellStyle name="표준 2 8 101 2" xfId="10341"/>
    <cellStyle name="표준 2 8 102" xfId="10342"/>
    <cellStyle name="표준 2 8 103" xfId="10343"/>
    <cellStyle name="표준 2 8 104" xfId="10344"/>
    <cellStyle name="표준 2 8 105" xfId="10345"/>
    <cellStyle name="표준 2 8 106" xfId="10346"/>
    <cellStyle name="표준 2 8 107" xfId="10347"/>
    <cellStyle name="표준 2 8 108" xfId="10348"/>
    <cellStyle name="표준 2 8 109" xfId="10349"/>
    <cellStyle name="표준 2 8 11" xfId="10350"/>
    <cellStyle name="표준 2 8 110" xfId="10351"/>
    <cellStyle name="표준 2 8 111" xfId="10352"/>
    <cellStyle name="표준 2 8 112" xfId="10353"/>
    <cellStyle name="표준 2 8 113" xfId="10354"/>
    <cellStyle name="표준 2 8 114" xfId="10355"/>
    <cellStyle name="표준 2 8 115" xfId="10356"/>
    <cellStyle name="표준 2 8 116" xfId="10357"/>
    <cellStyle name="표준 2 8 117" xfId="10358"/>
    <cellStyle name="표준 2 8 118" xfId="10359"/>
    <cellStyle name="표준 2 8 119" xfId="10360"/>
    <cellStyle name="표준 2 8 12" xfId="10361"/>
    <cellStyle name="표준 2 8 120" xfId="10362"/>
    <cellStyle name="표준 2 8 121" xfId="10363"/>
    <cellStyle name="표준 2 8 122" xfId="10364"/>
    <cellStyle name="표준 2 8 123" xfId="10365"/>
    <cellStyle name="표준 2 8 124" xfId="10366"/>
    <cellStyle name="표준 2 8 13" xfId="10367"/>
    <cellStyle name="표준 2 8 14" xfId="10368"/>
    <cellStyle name="표준 2 8 15" xfId="10369"/>
    <cellStyle name="표준 2 8 16" xfId="10370"/>
    <cellStyle name="표준 2 8 17" xfId="10371"/>
    <cellStyle name="표준 2 8 18" xfId="10372"/>
    <cellStyle name="표준 2 8 19" xfId="10373"/>
    <cellStyle name="표준 2 8 2" xfId="10374"/>
    <cellStyle name="표준 2 8 2 10" xfId="10375"/>
    <cellStyle name="표준 2 8 2 11" xfId="10376"/>
    <cellStyle name="표준 2 8 2 12" xfId="10377"/>
    <cellStyle name="표준 2 8 2 13" xfId="10378"/>
    <cellStyle name="표준 2 8 2 14" xfId="10379"/>
    <cellStyle name="표준 2 8 2 15" xfId="10380"/>
    <cellStyle name="표준 2 8 2 2" xfId="10381"/>
    <cellStyle name="표준 2 8 2 2 10" xfId="10382"/>
    <cellStyle name="표준 2 8 2 2 11" xfId="10383"/>
    <cellStyle name="표준 2 8 2 2 12" xfId="10384"/>
    <cellStyle name="표준 2 8 2 2 13" xfId="10385"/>
    <cellStyle name="표준 2 8 2 2 14" xfId="10386"/>
    <cellStyle name="표준 2 8 2 2 2" xfId="10387"/>
    <cellStyle name="표준 2 8 2 2 2 2" xfId="10388"/>
    <cellStyle name="표준 2 8 2 2 3" xfId="10389"/>
    <cellStyle name="표준 2 8 2 2 4" xfId="10390"/>
    <cellStyle name="표준 2 8 2 2 5" xfId="10391"/>
    <cellStyle name="표준 2 8 2 2 6" xfId="10392"/>
    <cellStyle name="표준 2 8 2 2 7" xfId="10393"/>
    <cellStyle name="표준 2 8 2 2 8" xfId="10394"/>
    <cellStyle name="표준 2 8 2 2 9" xfId="10395"/>
    <cellStyle name="표준 2 8 2 3" xfId="10396"/>
    <cellStyle name="표준 2 8 2 3 2" xfId="10397"/>
    <cellStyle name="표준 2 8 2 4" xfId="10398"/>
    <cellStyle name="표준 2 8 2 5" xfId="10399"/>
    <cellStyle name="표준 2 8 2 6" xfId="10400"/>
    <cellStyle name="표준 2 8 2 7" xfId="10401"/>
    <cellStyle name="표준 2 8 2 8" xfId="10402"/>
    <cellStyle name="표준 2 8 2 9" xfId="10403"/>
    <cellStyle name="표준 2 8 20" xfId="10404"/>
    <cellStyle name="표준 2 8 21" xfId="10405"/>
    <cellStyle name="표준 2 8 22" xfId="10406"/>
    <cellStyle name="표준 2 8 23" xfId="10407"/>
    <cellStyle name="표준 2 8 24" xfId="10408"/>
    <cellStyle name="표준 2 8 25" xfId="10409"/>
    <cellStyle name="표준 2 8 26" xfId="10410"/>
    <cellStyle name="표준 2 8 27" xfId="10411"/>
    <cellStyle name="표준 2 8 28" xfId="10412"/>
    <cellStyle name="표준 2 8 29" xfId="10413"/>
    <cellStyle name="표준 2 8 3" xfId="416"/>
    <cellStyle name="표준 2 8 3 10" xfId="10414"/>
    <cellStyle name="표준 2 8 3 100" xfId="10415"/>
    <cellStyle name="표준 2 8 3 101" xfId="10416"/>
    <cellStyle name="표준 2 8 3 102" xfId="10417"/>
    <cellStyle name="표준 2 8 3 103" xfId="10418"/>
    <cellStyle name="표준 2 8 3 104" xfId="10419"/>
    <cellStyle name="표준 2 8 3 105" xfId="10420"/>
    <cellStyle name="표준 2 8 3 106" xfId="10421"/>
    <cellStyle name="표준 2 8 3 107" xfId="10422"/>
    <cellStyle name="표준 2 8 3 108" xfId="10423"/>
    <cellStyle name="표준 2 8 3 109" xfId="10424"/>
    <cellStyle name="표준 2 8 3 11" xfId="10425"/>
    <cellStyle name="표준 2 8 3 12" xfId="10426"/>
    <cellStyle name="표준 2 8 3 13" xfId="10427"/>
    <cellStyle name="표준 2 8 3 14" xfId="10428"/>
    <cellStyle name="표준 2 8 3 15" xfId="10429"/>
    <cellStyle name="표준 2 8 3 16" xfId="10430"/>
    <cellStyle name="표준 2 8 3 17" xfId="10431"/>
    <cellStyle name="표준 2 8 3 18" xfId="10432"/>
    <cellStyle name="표준 2 8 3 19" xfId="10433"/>
    <cellStyle name="표준 2 8 3 2" xfId="10434"/>
    <cellStyle name="표준 2 8 3 20" xfId="10435"/>
    <cellStyle name="표준 2 8 3 21" xfId="10436"/>
    <cellStyle name="표준 2 8 3 22" xfId="10437"/>
    <cellStyle name="표준 2 8 3 23" xfId="10438"/>
    <cellStyle name="표준 2 8 3 24" xfId="10439"/>
    <cellStyle name="표준 2 8 3 25" xfId="10440"/>
    <cellStyle name="표준 2 8 3 26" xfId="10441"/>
    <cellStyle name="표준 2 8 3 27" xfId="10442"/>
    <cellStyle name="표준 2 8 3 28" xfId="10443"/>
    <cellStyle name="표준 2 8 3 29" xfId="10444"/>
    <cellStyle name="표준 2 8 3 3" xfId="10445"/>
    <cellStyle name="표준 2 8 3 30" xfId="10446"/>
    <cellStyle name="표준 2 8 3 31" xfId="10447"/>
    <cellStyle name="표준 2 8 3 32" xfId="10448"/>
    <cellStyle name="표준 2 8 3 33" xfId="10449"/>
    <cellStyle name="표준 2 8 3 34" xfId="10450"/>
    <cellStyle name="표준 2 8 3 35" xfId="10451"/>
    <cellStyle name="표준 2 8 3 36" xfId="10452"/>
    <cellStyle name="표준 2 8 3 37" xfId="10453"/>
    <cellStyle name="표준 2 8 3 38" xfId="10454"/>
    <cellStyle name="표준 2 8 3 39" xfId="10455"/>
    <cellStyle name="표준 2 8 3 4" xfId="10456"/>
    <cellStyle name="표준 2 8 3 40" xfId="10457"/>
    <cellStyle name="표준 2 8 3 41" xfId="10458"/>
    <cellStyle name="표준 2 8 3 42" xfId="10459"/>
    <cellStyle name="표준 2 8 3 43" xfId="10460"/>
    <cellStyle name="표준 2 8 3 44" xfId="10461"/>
    <cellStyle name="표준 2 8 3 45" xfId="10462"/>
    <cellStyle name="표준 2 8 3 46" xfId="10463"/>
    <cellStyle name="표준 2 8 3 47" xfId="10464"/>
    <cellStyle name="표준 2 8 3 48" xfId="10465"/>
    <cellStyle name="표준 2 8 3 49" xfId="10466"/>
    <cellStyle name="표준 2 8 3 5" xfId="10467"/>
    <cellStyle name="표준 2 8 3 50" xfId="10468"/>
    <cellStyle name="표준 2 8 3 51" xfId="10469"/>
    <cellStyle name="표준 2 8 3 52" xfId="10470"/>
    <cellStyle name="표준 2 8 3 53" xfId="10471"/>
    <cellStyle name="표준 2 8 3 54" xfId="10472"/>
    <cellStyle name="표준 2 8 3 55" xfId="10473"/>
    <cellStyle name="표준 2 8 3 56" xfId="10474"/>
    <cellStyle name="표준 2 8 3 57" xfId="10475"/>
    <cellStyle name="표준 2 8 3 58" xfId="10476"/>
    <cellStyle name="표준 2 8 3 59" xfId="10477"/>
    <cellStyle name="표준 2 8 3 6" xfId="10478"/>
    <cellStyle name="표준 2 8 3 60" xfId="10479"/>
    <cellStyle name="표준 2 8 3 61" xfId="10480"/>
    <cellStyle name="표준 2 8 3 62" xfId="10481"/>
    <cellStyle name="표준 2 8 3 63" xfId="10482"/>
    <cellStyle name="표준 2 8 3 64" xfId="10483"/>
    <cellStyle name="표준 2 8 3 65" xfId="10484"/>
    <cellStyle name="표준 2 8 3 66" xfId="10485"/>
    <cellStyle name="표준 2 8 3 67" xfId="10486"/>
    <cellStyle name="표준 2 8 3 68" xfId="10487"/>
    <cellStyle name="표준 2 8 3 69" xfId="10488"/>
    <cellStyle name="표준 2 8 3 7" xfId="10489"/>
    <cellStyle name="표준 2 8 3 70" xfId="10490"/>
    <cellStyle name="표준 2 8 3 71" xfId="10491"/>
    <cellStyle name="표준 2 8 3 72" xfId="10492"/>
    <cellStyle name="표준 2 8 3 73" xfId="10493"/>
    <cellStyle name="표준 2 8 3 74" xfId="10494"/>
    <cellStyle name="표준 2 8 3 75" xfId="10495"/>
    <cellStyle name="표준 2 8 3 76" xfId="10496"/>
    <cellStyle name="표준 2 8 3 77" xfId="10497"/>
    <cellStyle name="표준 2 8 3 78" xfId="10498"/>
    <cellStyle name="표준 2 8 3 79" xfId="10499"/>
    <cellStyle name="표준 2 8 3 8" xfId="10500"/>
    <cellStyle name="표준 2 8 3 80" xfId="10501"/>
    <cellStyle name="표준 2 8 3 81" xfId="10502"/>
    <cellStyle name="표준 2 8 3 82" xfId="10503"/>
    <cellStyle name="표준 2 8 3 83" xfId="10504"/>
    <cellStyle name="표준 2 8 3 84" xfId="10505"/>
    <cellStyle name="표준 2 8 3 85" xfId="10506"/>
    <cellStyle name="표준 2 8 3 86" xfId="10507"/>
    <cellStyle name="표준 2 8 3 87" xfId="10508"/>
    <cellStyle name="표준 2 8 3 88" xfId="10509"/>
    <cellStyle name="표준 2 8 3 89" xfId="10510"/>
    <cellStyle name="표준 2 8 3 9" xfId="10511"/>
    <cellStyle name="표준 2 8 3 90" xfId="10512"/>
    <cellStyle name="표준 2 8 3 91" xfId="10513"/>
    <cellStyle name="표준 2 8 3 92" xfId="10514"/>
    <cellStyle name="표준 2 8 3 93" xfId="10515"/>
    <cellStyle name="표준 2 8 3 94" xfId="10516"/>
    <cellStyle name="표준 2 8 3 95" xfId="10517"/>
    <cellStyle name="표준 2 8 3 96" xfId="10518"/>
    <cellStyle name="표준 2 8 3 97" xfId="10519"/>
    <cellStyle name="표준 2 8 3 98" xfId="10520"/>
    <cellStyle name="표준 2 8 3 99" xfId="10521"/>
    <cellStyle name="표준 2 8 30" xfId="10522"/>
    <cellStyle name="표준 2 8 31" xfId="10523"/>
    <cellStyle name="표준 2 8 32" xfId="10524"/>
    <cellStyle name="표준 2 8 33" xfId="10525"/>
    <cellStyle name="표준 2 8 34" xfId="10526"/>
    <cellStyle name="표준 2 8 35" xfId="10527"/>
    <cellStyle name="표준 2 8 36" xfId="10528"/>
    <cellStyle name="표준 2 8 37" xfId="10529"/>
    <cellStyle name="표준 2 8 38" xfId="10530"/>
    <cellStyle name="표준 2 8 39" xfId="10531"/>
    <cellStyle name="표준 2 8 4" xfId="10532"/>
    <cellStyle name="표준 2 8 40" xfId="10533"/>
    <cellStyle name="표준 2 8 41" xfId="10534"/>
    <cellStyle name="표준 2 8 42" xfId="10535"/>
    <cellStyle name="표준 2 8 43" xfId="10536"/>
    <cellStyle name="표준 2 8 44" xfId="10537"/>
    <cellStyle name="표준 2 8 45" xfId="10538"/>
    <cellStyle name="표준 2 8 46" xfId="10539"/>
    <cellStyle name="표준 2 8 47" xfId="10540"/>
    <cellStyle name="표준 2 8 48" xfId="10541"/>
    <cellStyle name="표준 2 8 49" xfId="10542"/>
    <cellStyle name="표준 2 8 5" xfId="10543"/>
    <cellStyle name="표준 2 8 50" xfId="10544"/>
    <cellStyle name="표준 2 8 51" xfId="10545"/>
    <cellStyle name="표준 2 8 52" xfId="10546"/>
    <cellStyle name="표준 2 8 53" xfId="10547"/>
    <cellStyle name="표준 2 8 54" xfId="10548"/>
    <cellStyle name="표준 2 8 55" xfId="10549"/>
    <cellStyle name="표준 2 8 56" xfId="10550"/>
    <cellStyle name="표준 2 8 57" xfId="10551"/>
    <cellStyle name="표준 2 8 58" xfId="10552"/>
    <cellStyle name="표준 2 8 59" xfId="10553"/>
    <cellStyle name="표준 2 8 6" xfId="10554"/>
    <cellStyle name="표준 2 8 60" xfId="10555"/>
    <cellStyle name="표준 2 8 61" xfId="10556"/>
    <cellStyle name="표준 2 8 62" xfId="10557"/>
    <cellStyle name="표준 2 8 63" xfId="10558"/>
    <cellStyle name="표준 2 8 64" xfId="10559"/>
    <cellStyle name="표준 2 8 65" xfId="10560"/>
    <cellStyle name="표준 2 8 66" xfId="10561"/>
    <cellStyle name="표준 2 8 67" xfId="10562"/>
    <cellStyle name="표준 2 8 68" xfId="10563"/>
    <cellStyle name="표준 2 8 69" xfId="10564"/>
    <cellStyle name="표준 2 8 7" xfId="10565"/>
    <cellStyle name="표준 2 8 70" xfId="10566"/>
    <cellStyle name="표준 2 8 71" xfId="10567"/>
    <cellStyle name="표준 2 8 72" xfId="10568"/>
    <cellStyle name="표준 2 8 73" xfId="10569"/>
    <cellStyle name="표준 2 8 74" xfId="10570"/>
    <cellStyle name="표준 2 8 75" xfId="10571"/>
    <cellStyle name="표준 2 8 76" xfId="10572"/>
    <cellStyle name="표준 2 8 77" xfId="10573"/>
    <cellStyle name="표준 2 8 78" xfId="10574"/>
    <cellStyle name="표준 2 8 79" xfId="10575"/>
    <cellStyle name="표준 2 8 8" xfId="10576"/>
    <cellStyle name="표준 2 8 80" xfId="10577"/>
    <cellStyle name="표준 2 8 81" xfId="10578"/>
    <cellStyle name="표준 2 8 82" xfId="10579"/>
    <cellStyle name="표준 2 8 83" xfId="10580"/>
    <cellStyle name="표준 2 8 84" xfId="10581"/>
    <cellStyle name="표준 2 8 85" xfId="10582"/>
    <cellStyle name="표준 2 8 86" xfId="10583"/>
    <cellStyle name="표준 2 8 87" xfId="10584"/>
    <cellStyle name="표준 2 8 88" xfId="10585"/>
    <cellStyle name="표준 2 8 89" xfId="10586"/>
    <cellStyle name="표준 2 8 9" xfId="10587"/>
    <cellStyle name="표준 2 8 90" xfId="10588"/>
    <cellStyle name="표준 2 8 91" xfId="10589"/>
    <cellStyle name="표준 2 8 92" xfId="10590"/>
    <cellStyle name="표준 2 8 93" xfId="10591"/>
    <cellStyle name="표준 2 8 94" xfId="10592"/>
    <cellStyle name="표준 2 8 95" xfId="10593"/>
    <cellStyle name="표준 2 8 96" xfId="10594"/>
    <cellStyle name="표준 2 8 97" xfId="10595"/>
    <cellStyle name="표준 2 8 98" xfId="10596"/>
    <cellStyle name="표준 2 8 99" xfId="10597"/>
    <cellStyle name="표준 2 8_개정이력" xfId="10598"/>
    <cellStyle name="표준 2 9" xfId="10599"/>
    <cellStyle name="표준 2 9 10" xfId="10600"/>
    <cellStyle name="표준 2 9 11" xfId="10601"/>
    <cellStyle name="표준 2 9 12" xfId="10602"/>
    <cellStyle name="표준 2 9 13" xfId="10603"/>
    <cellStyle name="표준 2 9 14" xfId="10604"/>
    <cellStyle name="표준 2 9 15" xfId="10605"/>
    <cellStyle name="표준 2 9 16" xfId="10606"/>
    <cellStyle name="표준 2 9 2" xfId="10607"/>
    <cellStyle name="표준 2 9 3" xfId="10608"/>
    <cellStyle name="표준 2 9 3 2" xfId="10609"/>
    <cellStyle name="표준 2 9 4" xfId="10610"/>
    <cellStyle name="표준 2 9 5" xfId="10611"/>
    <cellStyle name="표준 2 9 6" xfId="10612"/>
    <cellStyle name="표준 2 9 7" xfId="10613"/>
    <cellStyle name="표준 2 9 8" xfId="10614"/>
    <cellStyle name="표준 2 9 9" xfId="10615"/>
    <cellStyle name="표준 2 9_개정이력" xfId="10616"/>
    <cellStyle name="표준 20" xfId="10617"/>
    <cellStyle name="표준 20 10" xfId="10618"/>
    <cellStyle name="표준 20 11" xfId="10619"/>
    <cellStyle name="표준 20 12" xfId="10620"/>
    <cellStyle name="표준 20 13" xfId="10621"/>
    <cellStyle name="표준 20 14" xfId="10622"/>
    <cellStyle name="표준 20 2" xfId="10623"/>
    <cellStyle name="표준 20 3" xfId="10624"/>
    <cellStyle name="표준 20 4" xfId="10625"/>
    <cellStyle name="표준 20 5" xfId="10626"/>
    <cellStyle name="표준 20 6" xfId="10627"/>
    <cellStyle name="표준 20 7" xfId="10628"/>
    <cellStyle name="표준 20 8" xfId="10629"/>
    <cellStyle name="표준 20 9" xfId="10630"/>
    <cellStyle name="표준 21" xfId="10631"/>
    <cellStyle name="표준 21 2" xfId="10632"/>
    <cellStyle name="표준 22" xfId="10633"/>
    <cellStyle name="표준 22 2" xfId="10634"/>
    <cellStyle name="표준 23" xfId="10635"/>
    <cellStyle name="표준 23 2" xfId="10636"/>
    <cellStyle name="표준 24" xfId="10637"/>
    <cellStyle name="표준 25" xfId="10638"/>
    <cellStyle name="표준 25 2" xfId="10639"/>
    <cellStyle name="표준 26" xfId="10640"/>
    <cellStyle name="표준 26 2" xfId="10641"/>
    <cellStyle name="표준 27" xfId="10642"/>
    <cellStyle name="표준 27 2" xfId="10643"/>
    <cellStyle name="표준 28" xfId="10644"/>
    <cellStyle name="표준 28 2" xfId="10645"/>
    <cellStyle name="표준 29" xfId="10646"/>
    <cellStyle name="표준 29 2" xfId="417"/>
    <cellStyle name="표준 29 2 10" xfId="10647"/>
    <cellStyle name="표준 29 2 100" xfId="10648"/>
    <cellStyle name="표준 29 2 101" xfId="10649"/>
    <cellStyle name="표준 29 2 102" xfId="10650"/>
    <cellStyle name="표준 29 2 103" xfId="10651"/>
    <cellStyle name="표준 29 2 104" xfId="10652"/>
    <cellStyle name="표준 29 2 105" xfId="10653"/>
    <cellStyle name="표준 29 2 106" xfId="10654"/>
    <cellStyle name="표준 29 2 107" xfId="10655"/>
    <cellStyle name="표준 29 2 108" xfId="10656"/>
    <cellStyle name="표준 29 2 109" xfId="10657"/>
    <cellStyle name="표준 29 2 11" xfId="10658"/>
    <cellStyle name="표준 29 2 110" xfId="10659"/>
    <cellStyle name="표준 29 2 111" xfId="10660"/>
    <cellStyle name="표준 29 2 112" xfId="10661"/>
    <cellStyle name="표준 29 2 113" xfId="10662"/>
    <cellStyle name="표준 29 2 114" xfId="10663"/>
    <cellStyle name="표준 29 2 115" xfId="10664"/>
    <cellStyle name="표준 29 2 116" xfId="10665"/>
    <cellStyle name="표준 29 2 117" xfId="10666"/>
    <cellStyle name="표준 29 2 118" xfId="10667"/>
    <cellStyle name="표준 29 2 119" xfId="10668"/>
    <cellStyle name="표준 29 2 12" xfId="10669"/>
    <cellStyle name="표준 29 2 120" xfId="10670"/>
    <cellStyle name="표준 29 2 121" xfId="10671"/>
    <cellStyle name="표준 29 2 122" xfId="10672"/>
    <cellStyle name="표준 29 2 123" xfId="10673"/>
    <cellStyle name="표준 29 2 124" xfId="10674"/>
    <cellStyle name="표준 29 2 125" xfId="10675"/>
    <cellStyle name="표준 29 2 126" xfId="10676"/>
    <cellStyle name="표준 29 2 127" xfId="10677"/>
    <cellStyle name="표준 29 2 128" xfId="10678"/>
    <cellStyle name="표준 29 2 129" xfId="10679"/>
    <cellStyle name="표준 29 2 13" xfId="10680"/>
    <cellStyle name="표준 29 2 130" xfId="10681"/>
    <cellStyle name="표준 29 2 131" xfId="10682"/>
    <cellStyle name="표준 29 2 132" xfId="10683"/>
    <cellStyle name="표준 29 2 14" xfId="10684"/>
    <cellStyle name="표준 29 2 15" xfId="10685"/>
    <cellStyle name="표준 29 2 16" xfId="10686"/>
    <cellStyle name="표준 29 2 17" xfId="10687"/>
    <cellStyle name="표준 29 2 18" xfId="10688"/>
    <cellStyle name="표준 29 2 19" xfId="10689"/>
    <cellStyle name="표준 29 2 2" xfId="10690"/>
    <cellStyle name="표준 29 2 20" xfId="10691"/>
    <cellStyle name="표준 29 2 21" xfId="10692"/>
    <cellStyle name="표준 29 2 22" xfId="10693"/>
    <cellStyle name="표준 29 2 23" xfId="10694"/>
    <cellStyle name="표준 29 2 24" xfId="10695"/>
    <cellStyle name="표준 29 2 25" xfId="10696"/>
    <cellStyle name="표준 29 2 26" xfId="10697"/>
    <cellStyle name="표준 29 2 27" xfId="10698"/>
    <cellStyle name="표준 29 2 28" xfId="10699"/>
    <cellStyle name="표준 29 2 29" xfId="10700"/>
    <cellStyle name="표준 29 2 3" xfId="10701"/>
    <cellStyle name="표준 29 2 30" xfId="10702"/>
    <cellStyle name="표준 29 2 31" xfId="10703"/>
    <cellStyle name="표준 29 2 32" xfId="10704"/>
    <cellStyle name="표준 29 2 33" xfId="10705"/>
    <cellStyle name="표준 29 2 34" xfId="10706"/>
    <cellStyle name="표준 29 2 35" xfId="10707"/>
    <cellStyle name="표준 29 2 36" xfId="10708"/>
    <cellStyle name="표준 29 2 37" xfId="10709"/>
    <cellStyle name="표준 29 2 38" xfId="10710"/>
    <cellStyle name="표준 29 2 39" xfId="10711"/>
    <cellStyle name="표준 29 2 4" xfId="10712"/>
    <cellStyle name="표준 29 2 40" xfId="10713"/>
    <cellStyle name="표준 29 2 41" xfId="10714"/>
    <cellStyle name="표준 29 2 42" xfId="10715"/>
    <cellStyle name="표준 29 2 43" xfId="10716"/>
    <cellStyle name="표준 29 2 44" xfId="10717"/>
    <cellStyle name="표준 29 2 45" xfId="10718"/>
    <cellStyle name="표준 29 2 46" xfId="10719"/>
    <cellStyle name="표준 29 2 47" xfId="10720"/>
    <cellStyle name="표준 29 2 48" xfId="10721"/>
    <cellStyle name="표준 29 2 49" xfId="10722"/>
    <cellStyle name="표준 29 2 5" xfId="10723"/>
    <cellStyle name="표준 29 2 50" xfId="10724"/>
    <cellStyle name="표준 29 2 51" xfId="10725"/>
    <cellStyle name="표준 29 2 52" xfId="10726"/>
    <cellStyle name="표준 29 2 53" xfId="10727"/>
    <cellStyle name="표준 29 2 54" xfId="10728"/>
    <cellStyle name="표준 29 2 55" xfId="10729"/>
    <cellStyle name="표준 29 2 56" xfId="10730"/>
    <cellStyle name="표준 29 2 57" xfId="10731"/>
    <cellStyle name="표준 29 2 58" xfId="10732"/>
    <cellStyle name="표준 29 2 59" xfId="10733"/>
    <cellStyle name="표준 29 2 6" xfId="10734"/>
    <cellStyle name="표준 29 2 60" xfId="10735"/>
    <cellStyle name="표준 29 2 61" xfId="10736"/>
    <cellStyle name="표준 29 2 62" xfId="10737"/>
    <cellStyle name="표준 29 2 63" xfId="10738"/>
    <cellStyle name="표준 29 2 64" xfId="10739"/>
    <cellStyle name="표준 29 2 65" xfId="10740"/>
    <cellStyle name="표준 29 2 66" xfId="10741"/>
    <cellStyle name="표준 29 2 67" xfId="10742"/>
    <cellStyle name="표준 29 2 68" xfId="10743"/>
    <cellStyle name="표준 29 2 69" xfId="10744"/>
    <cellStyle name="표준 29 2 7" xfId="10745"/>
    <cellStyle name="표준 29 2 70" xfId="10746"/>
    <cellStyle name="표준 29 2 71" xfId="10747"/>
    <cellStyle name="표준 29 2 72" xfId="10748"/>
    <cellStyle name="표준 29 2 73" xfId="10749"/>
    <cellStyle name="표준 29 2 74" xfId="10750"/>
    <cellStyle name="표준 29 2 75" xfId="10751"/>
    <cellStyle name="표준 29 2 76" xfId="10752"/>
    <cellStyle name="표준 29 2 77" xfId="10753"/>
    <cellStyle name="표준 29 2 78" xfId="10754"/>
    <cellStyle name="표준 29 2 79" xfId="10755"/>
    <cellStyle name="표준 29 2 8" xfId="10756"/>
    <cellStyle name="표준 29 2 80" xfId="10757"/>
    <cellStyle name="표준 29 2 81" xfId="10758"/>
    <cellStyle name="표준 29 2 82" xfId="10759"/>
    <cellStyle name="표준 29 2 83" xfId="10760"/>
    <cellStyle name="표준 29 2 84" xfId="10761"/>
    <cellStyle name="표준 29 2 85" xfId="10762"/>
    <cellStyle name="표준 29 2 86" xfId="10763"/>
    <cellStyle name="표준 29 2 87" xfId="10764"/>
    <cellStyle name="표준 29 2 88" xfId="10765"/>
    <cellStyle name="표준 29 2 89" xfId="10766"/>
    <cellStyle name="표준 29 2 9" xfId="10767"/>
    <cellStyle name="표준 29 2 90" xfId="10768"/>
    <cellStyle name="표준 29 2 91" xfId="10769"/>
    <cellStyle name="표준 29 2 92" xfId="10770"/>
    <cellStyle name="표준 29 2 93" xfId="10771"/>
    <cellStyle name="표준 29 2 94" xfId="10772"/>
    <cellStyle name="표준 29 2 95" xfId="10773"/>
    <cellStyle name="표준 29 2 96" xfId="10774"/>
    <cellStyle name="표준 29 2 97" xfId="10775"/>
    <cellStyle name="표준 29 2 98" xfId="10776"/>
    <cellStyle name="표준 29 2 99" xfId="10777"/>
    <cellStyle name="표준 3" xfId="66"/>
    <cellStyle name="표준 3 10" xfId="10778"/>
    <cellStyle name="표준 3 11" xfId="10779"/>
    <cellStyle name="표준 3 12" xfId="10780"/>
    <cellStyle name="표준 3 13" xfId="10781"/>
    <cellStyle name="표준 3 14" xfId="10782"/>
    <cellStyle name="표준 3 15" xfId="10783"/>
    <cellStyle name="표준 3 16" xfId="10784"/>
    <cellStyle name="표준 3 17" xfId="10785"/>
    <cellStyle name="표준 3 18" xfId="10786"/>
    <cellStyle name="표준 3 19" xfId="10787"/>
    <cellStyle name="표준 3 2" xfId="10788"/>
    <cellStyle name="표준 3 20" xfId="10789"/>
    <cellStyle name="표준 3 21" xfId="10790"/>
    <cellStyle name="표준 3 22" xfId="10791"/>
    <cellStyle name="표준 3 23" xfId="10792"/>
    <cellStyle name="표준 3 24" xfId="10793"/>
    <cellStyle name="표준 3 25" xfId="24617"/>
    <cellStyle name="표준 3 25 2" xfId="32081"/>
    <cellStyle name="표준 3 25 2 2" xfId="32083"/>
    <cellStyle name="표준 3 25 2 2 2" xfId="32092"/>
    <cellStyle name="표준 3 25 2 2 2 2" xfId="52365"/>
    <cellStyle name="표준 3 25 2 2 3" xfId="52360"/>
    <cellStyle name="표준 3 25 2 3" xfId="32085"/>
    <cellStyle name="표준 3 25 2 3 2" xfId="32091"/>
    <cellStyle name="표준 3 25 2 3 2 2" xfId="52364"/>
    <cellStyle name="표준 3 25 2 3 3" xfId="52362"/>
    <cellStyle name="표준 3 25 2 4" xfId="52358"/>
    <cellStyle name="표준 3 25 3" xfId="32082"/>
    <cellStyle name="표준 3 25 3 2" xfId="52359"/>
    <cellStyle name="표준 3 25 4" xfId="32084"/>
    <cellStyle name="표준 3 25 4 2" xfId="52361"/>
    <cellStyle name="표준 3 25 5" xfId="32087"/>
    <cellStyle name="표준 3 25 5 2" xfId="52363"/>
    <cellStyle name="표준 3 25 6" xfId="44898"/>
    <cellStyle name="표준 3 3" xfId="10794"/>
    <cellStyle name="표준 3 4" xfId="10795"/>
    <cellStyle name="표준 3 5" xfId="10796"/>
    <cellStyle name="표준 3 6" xfId="10797"/>
    <cellStyle name="표준 3 7" xfId="10798"/>
    <cellStyle name="표준 3 8" xfId="10799"/>
    <cellStyle name="표준 3 9" xfId="10800"/>
    <cellStyle name="표준 3_매매-파생종목정보" xfId="10801"/>
    <cellStyle name="표준 30" xfId="10802"/>
    <cellStyle name="표준 30 2" xfId="10803"/>
    <cellStyle name="표준 31" xfId="10804"/>
    <cellStyle name="표준 31 2" xfId="10805"/>
    <cellStyle name="표준 32" xfId="10806"/>
    <cellStyle name="표준 32 2" xfId="10807"/>
    <cellStyle name="표준 33" xfId="10808"/>
    <cellStyle name="표준 33 2" xfId="10809"/>
    <cellStyle name="표준 34" xfId="10810"/>
    <cellStyle name="표준 34 2" xfId="10811"/>
    <cellStyle name="표준 35" xfId="10812"/>
    <cellStyle name="표준 35 2" xfId="10813"/>
    <cellStyle name="표준 36" xfId="10814"/>
    <cellStyle name="표준 36 2" xfId="10815"/>
    <cellStyle name="표준 37" xfId="12255"/>
    <cellStyle name="표준 37 2" xfId="10816"/>
    <cellStyle name="표준 38" xfId="10817"/>
    <cellStyle name="표준 38 2" xfId="10818"/>
    <cellStyle name="표준 39" xfId="10819"/>
    <cellStyle name="표준 39 2" xfId="10820"/>
    <cellStyle name="표준 4" xfId="87"/>
    <cellStyle name="표준 4 10" xfId="10821"/>
    <cellStyle name="표준 4 11" xfId="10822"/>
    <cellStyle name="표준 4 12" xfId="10823"/>
    <cellStyle name="표준 4 13" xfId="10824"/>
    <cellStyle name="표준 4 14" xfId="10825"/>
    <cellStyle name="표준 4 15" xfId="10826"/>
    <cellStyle name="표준 4 16" xfId="10827"/>
    <cellStyle name="표준 4 17" xfId="10828"/>
    <cellStyle name="표준 4 18" xfId="10829"/>
    <cellStyle name="표준 4 19" xfId="10830"/>
    <cellStyle name="표준 4 2" xfId="10831"/>
    <cellStyle name="표준 4 2 10" xfId="10832"/>
    <cellStyle name="표준 4 2 11" xfId="10833"/>
    <cellStyle name="표준 4 2 12" xfId="10834"/>
    <cellStyle name="표준 4 2 13" xfId="10835"/>
    <cellStyle name="표준 4 2 14" xfId="10836"/>
    <cellStyle name="표준 4 2 15" xfId="10837"/>
    <cellStyle name="표준 4 2 2" xfId="10838"/>
    <cellStyle name="표준 4 2 2 10" xfId="10839"/>
    <cellStyle name="표준 4 2 2 11" xfId="10840"/>
    <cellStyle name="표준 4 2 2 12" xfId="10841"/>
    <cellStyle name="표준 4 2 2 13" xfId="10842"/>
    <cellStyle name="표준 4 2 2 14" xfId="10843"/>
    <cellStyle name="표준 4 2 2 2" xfId="10844"/>
    <cellStyle name="표준 4 2 2 2 2" xfId="10845"/>
    <cellStyle name="표준 4 2 2 3" xfId="10846"/>
    <cellStyle name="표준 4 2 2 4" xfId="10847"/>
    <cellStyle name="표준 4 2 2 5" xfId="10848"/>
    <cellStyle name="표준 4 2 2 6" xfId="10849"/>
    <cellStyle name="표준 4 2 2 7" xfId="10850"/>
    <cellStyle name="표준 4 2 2 8" xfId="10851"/>
    <cellStyle name="표준 4 2 2 9" xfId="10852"/>
    <cellStyle name="표준 4 2 3" xfId="10853"/>
    <cellStyle name="표준 4 2 3 2" xfId="10854"/>
    <cellStyle name="표준 4 2 4" xfId="10855"/>
    <cellStyle name="표준 4 2 5" xfId="10856"/>
    <cellStyle name="표준 4 2 6" xfId="10857"/>
    <cellStyle name="표준 4 2 7" xfId="10858"/>
    <cellStyle name="표준 4 2 8" xfId="10859"/>
    <cellStyle name="표준 4 2 9" xfId="10860"/>
    <cellStyle name="표준 4 20" xfId="10861"/>
    <cellStyle name="표준 4 21" xfId="10862"/>
    <cellStyle name="표준 4 22" xfId="10863"/>
    <cellStyle name="표준 4 23" xfId="10864"/>
    <cellStyle name="표준 4 24" xfId="10865"/>
    <cellStyle name="표준 4 25" xfId="10866"/>
    <cellStyle name="표준 4 26" xfId="10867"/>
    <cellStyle name="표준 4 26 2" xfId="10868"/>
    <cellStyle name="표준 4 27" xfId="10869"/>
    <cellStyle name="표준 4 28" xfId="10870"/>
    <cellStyle name="표준 4 29" xfId="10871"/>
    <cellStyle name="표준 4 3" xfId="10872"/>
    <cellStyle name="표준 4 3 10" xfId="10873"/>
    <cellStyle name="표준 4 3 11" xfId="10874"/>
    <cellStyle name="표준 4 3 12" xfId="10875"/>
    <cellStyle name="표준 4 3 13" xfId="10876"/>
    <cellStyle name="표준 4 3 14" xfId="10877"/>
    <cellStyle name="표준 4 3 2" xfId="10878"/>
    <cellStyle name="표준 4 3 2 2" xfId="10879"/>
    <cellStyle name="표준 4 3 3" xfId="10880"/>
    <cellStyle name="표준 4 3 4" xfId="10881"/>
    <cellStyle name="표준 4 3 5" xfId="10882"/>
    <cellStyle name="표준 4 3 6" xfId="10883"/>
    <cellStyle name="표준 4 3 7" xfId="10884"/>
    <cellStyle name="표준 4 3 8" xfId="10885"/>
    <cellStyle name="표준 4 3 9" xfId="10886"/>
    <cellStyle name="표준 4 30" xfId="10887"/>
    <cellStyle name="표준 4 31" xfId="10888"/>
    <cellStyle name="표준 4 32" xfId="10889"/>
    <cellStyle name="표준 4 33" xfId="10890"/>
    <cellStyle name="표준 4 34" xfId="10891"/>
    <cellStyle name="표준 4 35" xfId="10892"/>
    <cellStyle name="표준 4 36" xfId="10893"/>
    <cellStyle name="표준 4 37" xfId="10894"/>
    <cellStyle name="표준 4 38" xfId="10895"/>
    <cellStyle name="표준 4 39" xfId="11708"/>
    <cellStyle name="표준 4 4" xfId="10896"/>
    <cellStyle name="표준 4 40" xfId="11754"/>
    <cellStyle name="표준 4 41" xfId="11800"/>
    <cellStyle name="표준 4 42" xfId="11846"/>
    <cellStyle name="표준 4 43" xfId="11892"/>
    <cellStyle name="표준 4 44" xfId="11938"/>
    <cellStyle name="표준 4 45" xfId="11984"/>
    <cellStyle name="표준 4 46" xfId="12030"/>
    <cellStyle name="표준 4 47" xfId="12076"/>
    <cellStyle name="표준 4 48" xfId="12122"/>
    <cellStyle name="표준 4 49" xfId="12168"/>
    <cellStyle name="표준 4 5" xfId="10897"/>
    <cellStyle name="표준 4 50" xfId="12214"/>
    <cellStyle name="표준 4 51" xfId="418"/>
    <cellStyle name="표준 4 6" xfId="10898"/>
    <cellStyle name="표준 4 7" xfId="10899"/>
    <cellStyle name="표준 4 8" xfId="10900"/>
    <cellStyle name="표준 4 9" xfId="10901"/>
    <cellStyle name="표준 4_개정이력" xfId="10902"/>
    <cellStyle name="표준 40" xfId="10903"/>
    <cellStyle name="표준 40 2" xfId="10904"/>
    <cellStyle name="표준 41" xfId="10905"/>
    <cellStyle name="표준 41 2" xfId="10906"/>
    <cellStyle name="표준 42" xfId="10907"/>
    <cellStyle name="표준 42 2" xfId="10908"/>
    <cellStyle name="표준 43" xfId="10909"/>
    <cellStyle name="표준 43 2" xfId="10910"/>
    <cellStyle name="표준 44" xfId="10911"/>
    <cellStyle name="표준 44 2" xfId="10912"/>
    <cellStyle name="표준 45" xfId="10913"/>
    <cellStyle name="표준 45 2" xfId="10914"/>
    <cellStyle name="표준 46" xfId="10915"/>
    <cellStyle name="표준 46 2" xfId="10916"/>
    <cellStyle name="표준 47" xfId="10917"/>
    <cellStyle name="표준 47 2" xfId="10918"/>
    <cellStyle name="표준 48" xfId="10919"/>
    <cellStyle name="표준 48 2" xfId="10920"/>
    <cellStyle name="표준 49" xfId="10921"/>
    <cellStyle name="표준 49 2" xfId="10922"/>
    <cellStyle name="표준 5" xfId="419"/>
    <cellStyle name="표준 5 10" xfId="10923"/>
    <cellStyle name="표준 5 100" xfId="10924"/>
    <cellStyle name="표준 5 100 2" xfId="10925"/>
    <cellStyle name="표준 5 101" xfId="10926"/>
    <cellStyle name="표준 5 102" xfId="10927"/>
    <cellStyle name="표준 5 103" xfId="10928"/>
    <cellStyle name="표준 5 104" xfId="10929"/>
    <cellStyle name="표준 5 105" xfId="10930"/>
    <cellStyle name="표준 5 106" xfId="10931"/>
    <cellStyle name="표준 5 107" xfId="10932"/>
    <cellStyle name="표준 5 108" xfId="10933"/>
    <cellStyle name="표준 5 109" xfId="10934"/>
    <cellStyle name="표준 5 11" xfId="10935"/>
    <cellStyle name="표준 5 110" xfId="10936"/>
    <cellStyle name="표준 5 111" xfId="10937"/>
    <cellStyle name="표준 5 112" xfId="10938"/>
    <cellStyle name="표준 5 113" xfId="10939"/>
    <cellStyle name="표준 5 114" xfId="10940"/>
    <cellStyle name="표준 5 115" xfId="10941"/>
    <cellStyle name="표준 5 116" xfId="10942"/>
    <cellStyle name="표준 5 117" xfId="10943"/>
    <cellStyle name="표준 5 118" xfId="10944"/>
    <cellStyle name="표준 5 119" xfId="10945"/>
    <cellStyle name="표준 5 12" xfId="10946"/>
    <cellStyle name="표준 5 120" xfId="10947"/>
    <cellStyle name="표준 5 121" xfId="10948"/>
    <cellStyle name="표준 5 122" xfId="10949"/>
    <cellStyle name="표준 5 123" xfId="10950"/>
    <cellStyle name="표준 5 13" xfId="10951"/>
    <cellStyle name="표준 5 14" xfId="10952"/>
    <cellStyle name="표준 5 15" xfId="10953"/>
    <cellStyle name="표준 5 16" xfId="10954"/>
    <cellStyle name="표준 5 17" xfId="10955"/>
    <cellStyle name="표준 5 18" xfId="10956"/>
    <cellStyle name="표준 5 19" xfId="10957"/>
    <cellStyle name="표준 5 2" xfId="420"/>
    <cellStyle name="표준 5 2 10" xfId="10958"/>
    <cellStyle name="표준 5 2 11" xfId="10959"/>
    <cellStyle name="표준 5 2 12" xfId="10960"/>
    <cellStyle name="표준 5 2 13" xfId="10961"/>
    <cellStyle name="표준 5 2 14" xfId="10962"/>
    <cellStyle name="표준 5 2 15" xfId="10963"/>
    <cellStyle name="표준 5 2 16" xfId="10964"/>
    <cellStyle name="표준 5 2 17" xfId="10965"/>
    <cellStyle name="표준 5 2 18" xfId="10966"/>
    <cellStyle name="표준 5 2 19" xfId="10967"/>
    <cellStyle name="표준 5 2 2" xfId="10968"/>
    <cellStyle name="표준 5 2 2 10" xfId="10969"/>
    <cellStyle name="표준 5 2 2 11" xfId="10970"/>
    <cellStyle name="표준 5 2 2 12" xfId="10971"/>
    <cellStyle name="표준 5 2 2 13" xfId="10972"/>
    <cellStyle name="표준 5 2 2 14" xfId="10973"/>
    <cellStyle name="표준 5 2 2 15" xfId="10974"/>
    <cellStyle name="표준 5 2 2 16" xfId="10975"/>
    <cellStyle name="표준 5 2 2 17" xfId="10976"/>
    <cellStyle name="표준 5 2 2 2" xfId="10977"/>
    <cellStyle name="표준 5 2 2 2 2" xfId="10978"/>
    <cellStyle name="표준 5 2 2 2 2 2" xfId="10979"/>
    <cellStyle name="표준 5 2 2 2 2 3" xfId="10980"/>
    <cellStyle name="표준 5 2 2 2 2 4" xfId="10981"/>
    <cellStyle name="표준 5 2 2 2 2 5" xfId="10982"/>
    <cellStyle name="표준 5 2 2 2 3" xfId="10983"/>
    <cellStyle name="표준 5 2 2 2 4" xfId="10984"/>
    <cellStyle name="표준 5 2 2 2 5" xfId="10985"/>
    <cellStyle name="표준 5 2 2 3" xfId="10986"/>
    <cellStyle name="표준 5 2 2 4" xfId="10987"/>
    <cellStyle name="표준 5 2 2 5" xfId="10988"/>
    <cellStyle name="표준 5 2 2 6" xfId="10989"/>
    <cellStyle name="표준 5 2 2 7" xfId="10990"/>
    <cellStyle name="표준 5 2 2 8" xfId="10991"/>
    <cellStyle name="표준 5 2 2 9" xfId="10992"/>
    <cellStyle name="표준 5 2 20" xfId="10993"/>
    <cellStyle name="표준 5 2 21" xfId="10994"/>
    <cellStyle name="표준 5 2 22" xfId="10995"/>
    <cellStyle name="표준 5 2 23" xfId="10996"/>
    <cellStyle name="표준 5 2 24" xfId="10997"/>
    <cellStyle name="표준 5 2 25" xfId="10998"/>
    <cellStyle name="표준 5 2 3" xfId="10999"/>
    <cellStyle name="표준 5 2 3 2" xfId="11000"/>
    <cellStyle name="표준 5 2 4" xfId="11001"/>
    <cellStyle name="표준 5 2 5" xfId="11002"/>
    <cellStyle name="표준 5 2 6" xfId="11003"/>
    <cellStyle name="표준 5 2 7" xfId="11004"/>
    <cellStyle name="표준 5 2 8" xfId="11005"/>
    <cellStyle name="표준 5 2 9" xfId="11006"/>
    <cellStyle name="표준 5 20" xfId="11007"/>
    <cellStyle name="표준 5 21" xfId="11008"/>
    <cellStyle name="표준 5 22" xfId="11009"/>
    <cellStyle name="표준 5 23" xfId="11010"/>
    <cellStyle name="표준 5 24" xfId="11011"/>
    <cellStyle name="표준 5 25" xfId="11012"/>
    <cellStyle name="표준 5 26" xfId="11013"/>
    <cellStyle name="표준 5 27" xfId="11014"/>
    <cellStyle name="표준 5 28" xfId="11015"/>
    <cellStyle name="표준 5 29" xfId="11016"/>
    <cellStyle name="표준 5 3" xfId="43"/>
    <cellStyle name="표준 5 3 2" xfId="11017"/>
    <cellStyle name="표준 5 30" xfId="11018"/>
    <cellStyle name="표준 5 31" xfId="11019"/>
    <cellStyle name="표준 5 32" xfId="11020"/>
    <cellStyle name="표준 5 33" xfId="11021"/>
    <cellStyle name="표준 5 34" xfId="11022"/>
    <cellStyle name="표준 5 35" xfId="11023"/>
    <cellStyle name="표준 5 36" xfId="11024"/>
    <cellStyle name="표준 5 37" xfId="11025"/>
    <cellStyle name="표준 5 38" xfId="11026"/>
    <cellStyle name="표준 5 39" xfId="11027"/>
    <cellStyle name="표준 5 4" xfId="11028"/>
    <cellStyle name="표준 5 40" xfId="11029"/>
    <cellStyle name="표준 5 41" xfId="11030"/>
    <cellStyle name="표준 5 42" xfId="11031"/>
    <cellStyle name="표준 5 43" xfId="11032"/>
    <cellStyle name="표준 5 44" xfId="11033"/>
    <cellStyle name="표준 5 45" xfId="11034"/>
    <cellStyle name="표준 5 46" xfId="11035"/>
    <cellStyle name="표준 5 47" xfId="11036"/>
    <cellStyle name="표준 5 48" xfId="11037"/>
    <cellStyle name="표준 5 49" xfId="11038"/>
    <cellStyle name="표준 5 5" xfId="11039"/>
    <cellStyle name="표준 5 50" xfId="11040"/>
    <cellStyle name="표준 5 51" xfId="11041"/>
    <cellStyle name="표준 5 52" xfId="11042"/>
    <cellStyle name="표준 5 53" xfId="11043"/>
    <cellStyle name="표준 5 54" xfId="11044"/>
    <cellStyle name="표준 5 55" xfId="11045"/>
    <cellStyle name="표준 5 56" xfId="11046"/>
    <cellStyle name="표준 5 57" xfId="11047"/>
    <cellStyle name="표준 5 58" xfId="11048"/>
    <cellStyle name="표준 5 59" xfId="11049"/>
    <cellStyle name="표준 5 6" xfId="11050"/>
    <cellStyle name="표준 5 60" xfId="11051"/>
    <cellStyle name="표준 5 61" xfId="69"/>
    <cellStyle name="표준 5 61 2" xfId="11052"/>
    <cellStyle name="표준 5 62" xfId="11053"/>
    <cellStyle name="표준 5 63" xfId="11054"/>
    <cellStyle name="표준 5 64" xfId="11055"/>
    <cellStyle name="표준 5 65" xfId="11056"/>
    <cellStyle name="표준 5 66" xfId="11057"/>
    <cellStyle name="표준 5 67" xfId="11058"/>
    <cellStyle name="표준 5 68" xfId="11059"/>
    <cellStyle name="표준 5 69" xfId="11060"/>
    <cellStyle name="표준 5 7" xfId="11061"/>
    <cellStyle name="표준 5 70" xfId="11062"/>
    <cellStyle name="표준 5 71" xfId="11063"/>
    <cellStyle name="표준 5 72" xfId="11064"/>
    <cellStyle name="표준 5 73" xfId="11065"/>
    <cellStyle name="표준 5 74" xfId="11066"/>
    <cellStyle name="표준 5 75" xfId="11067"/>
    <cellStyle name="표준 5 76" xfId="11068"/>
    <cellStyle name="표준 5 77" xfId="11069"/>
    <cellStyle name="표준 5 78" xfId="11070"/>
    <cellStyle name="표준 5 79" xfId="11071"/>
    <cellStyle name="표준 5 8" xfId="11072"/>
    <cellStyle name="표준 5 80" xfId="11073"/>
    <cellStyle name="표준 5 81" xfId="11074"/>
    <cellStyle name="표준 5 82" xfId="11075"/>
    <cellStyle name="표준 5 83" xfId="11076"/>
    <cellStyle name="표준 5 84" xfId="11077"/>
    <cellStyle name="표준 5 85" xfId="11078"/>
    <cellStyle name="표준 5 86" xfId="11079"/>
    <cellStyle name="표준 5 87" xfId="11080"/>
    <cellStyle name="표준 5 88" xfId="11081"/>
    <cellStyle name="표준 5 89" xfId="11082"/>
    <cellStyle name="표준 5 9" xfId="11083"/>
    <cellStyle name="표준 5 90" xfId="11084"/>
    <cellStyle name="표준 5 91" xfId="11085"/>
    <cellStyle name="표준 5 92" xfId="11086"/>
    <cellStyle name="표준 5 93" xfId="11087"/>
    <cellStyle name="표준 5 94" xfId="11088"/>
    <cellStyle name="표준 5 95" xfId="11089"/>
    <cellStyle name="표준 5 96" xfId="11090"/>
    <cellStyle name="표준 5 97" xfId="11091"/>
    <cellStyle name="표준 5 98" xfId="11092"/>
    <cellStyle name="표준 5 99" xfId="11093"/>
    <cellStyle name="표준 5_개정이력" xfId="11094"/>
    <cellStyle name="표준 50" xfId="11095"/>
    <cellStyle name="표준 50 2" xfId="11096"/>
    <cellStyle name="표준 51" xfId="11097"/>
    <cellStyle name="표준 51 2" xfId="11098"/>
    <cellStyle name="표준 52" xfId="11099"/>
    <cellStyle name="표준 53" xfId="11100"/>
    <cellStyle name="표준 53 2" xfId="11101"/>
    <cellStyle name="표준 54" xfId="11102"/>
    <cellStyle name="표준 54 2" xfId="11103"/>
    <cellStyle name="표준 55" xfId="11104"/>
    <cellStyle name="표준 55 2" xfId="11105"/>
    <cellStyle name="표준 56" xfId="11106"/>
    <cellStyle name="표준 56 2" xfId="11107"/>
    <cellStyle name="표준 57" xfId="11108"/>
    <cellStyle name="표준 57 2" xfId="11109"/>
    <cellStyle name="표준 58" xfId="11110"/>
    <cellStyle name="표준 58 2" xfId="11111"/>
    <cellStyle name="표준 59" xfId="11112"/>
    <cellStyle name="표준 59 2" xfId="11113"/>
    <cellStyle name="표준 6" xfId="421"/>
    <cellStyle name="표준 6 10" xfId="11114"/>
    <cellStyle name="표준 6 11" xfId="11115"/>
    <cellStyle name="표준 6 12" xfId="11116"/>
    <cellStyle name="표준 6 13" xfId="11117"/>
    <cellStyle name="표준 6 14" xfId="11118"/>
    <cellStyle name="표준 6 15" xfId="11119"/>
    <cellStyle name="표준 6 16" xfId="11120"/>
    <cellStyle name="표준 6 17" xfId="11121"/>
    <cellStyle name="표준 6 18" xfId="11122"/>
    <cellStyle name="표준 6 19" xfId="11123"/>
    <cellStyle name="표준 6 2" xfId="422"/>
    <cellStyle name="표준 6 2 10" xfId="11124"/>
    <cellStyle name="표준 6 2 11" xfId="11125"/>
    <cellStyle name="표준 6 2 12" xfId="11126"/>
    <cellStyle name="표준 6 2 13" xfId="11127"/>
    <cellStyle name="표준 6 2 14" xfId="11128"/>
    <cellStyle name="표준 6 2 15" xfId="11129"/>
    <cellStyle name="표준 6 2 16" xfId="11130"/>
    <cellStyle name="표준 6 2 17" xfId="11131"/>
    <cellStyle name="표준 6 2 18" xfId="11132"/>
    <cellStyle name="표준 6 2 19" xfId="11133"/>
    <cellStyle name="표준 6 2 2" xfId="11134"/>
    <cellStyle name="표준 6 2 2 10" xfId="11135"/>
    <cellStyle name="표준 6 2 2 11" xfId="11136"/>
    <cellStyle name="표준 6 2 2 12" xfId="11137"/>
    <cellStyle name="표준 6 2 2 13" xfId="11138"/>
    <cellStyle name="표준 6 2 2 14" xfId="11139"/>
    <cellStyle name="표준 6 2 2 15" xfId="11140"/>
    <cellStyle name="표준 6 2 2 16" xfId="11141"/>
    <cellStyle name="표준 6 2 2 17" xfId="11142"/>
    <cellStyle name="표준 6 2 2 2" xfId="11143"/>
    <cellStyle name="표준 6 2 2 2 2" xfId="11144"/>
    <cellStyle name="표준 6 2 2 2 2 2" xfId="11145"/>
    <cellStyle name="표준 6 2 2 2 2 3" xfId="11146"/>
    <cellStyle name="표준 6 2 2 2 2 4" xfId="11147"/>
    <cellStyle name="표준 6 2 2 2 2 5" xfId="11148"/>
    <cellStyle name="표준 6 2 2 2 3" xfId="11149"/>
    <cellStyle name="표준 6 2 2 2 4" xfId="11150"/>
    <cellStyle name="표준 6 2 2 2 5" xfId="11151"/>
    <cellStyle name="표준 6 2 2 3" xfId="11152"/>
    <cellStyle name="표준 6 2 2 4" xfId="11153"/>
    <cellStyle name="표준 6 2 2 5" xfId="11154"/>
    <cellStyle name="표준 6 2 2 6" xfId="11155"/>
    <cellStyle name="표준 6 2 2 7" xfId="11156"/>
    <cellStyle name="표준 6 2 2 8" xfId="11157"/>
    <cellStyle name="표준 6 2 2 9" xfId="11158"/>
    <cellStyle name="표준 6 2 20" xfId="11159"/>
    <cellStyle name="표준 6 2 21" xfId="11160"/>
    <cellStyle name="표준 6 2 22" xfId="11161"/>
    <cellStyle name="표준 6 2 23" xfId="11162"/>
    <cellStyle name="표준 6 2 24" xfId="11163"/>
    <cellStyle name="표준 6 2 25" xfId="11164"/>
    <cellStyle name="표준 6 2 3" xfId="11165"/>
    <cellStyle name="표준 6 2 3 2" xfId="11166"/>
    <cellStyle name="표준 6 2 4" xfId="11167"/>
    <cellStyle name="표준 6 2 5" xfId="11168"/>
    <cellStyle name="표준 6 2 6" xfId="11169"/>
    <cellStyle name="표준 6 2 7" xfId="11170"/>
    <cellStyle name="표준 6 2 8" xfId="11171"/>
    <cellStyle name="표준 6 2 9" xfId="11172"/>
    <cellStyle name="표준 6 20" xfId="11173"/>
    <cellStyle name="표준 6 21" xfId="11174"/>
    <cellStyle name="표준 6 22" xfId="11175"/>
    <cellStyle name="표준 6 23" xfId="11176"/>
    <cellStyle name="표준 6 24" xfId="11177"/>
    <cellStyle name="표준 6 25" xfId="11178"/>
    <cellStyle name="표준 6 26" xfId="11179"/>
    <cellStyle name="표준 6 26 2" xfId="11180"/>
    <cellStyle name="표준 6 27" xfId="11181"/>
    <cellStyle name="표준 6 28" xfId="11182"/>
    <cellStyle name="표준 6 29" xfId="11183"/>
    <cellStyle name="표준 6 3" xfId="423"/>
    <cellStyle name="표준 6 3 10" xfId="11184"/>
    <cellStyle name="표준 6 3 11" xfId="11185"/>
    <cellStyle name="표준 6 3 12" xfId="11186"/>
    <cellStyle name="표준 6 3 13" xfId="11187"/>
    <cellStyle name="표준 6 3 14" xfId="11188"/>
    <cellStyle name="표준 6 3 15" xfId="11189"/>
    <cellStyle name="표준 6 3 16" xfId="11190"/>
    <cellStyle name="표준 6 3 17" xfId="11191"/>
    <cellStyle name="표준 6 3 18" xfId="11192"/>
    <cellStyle name="표준 6 3 19" xfId="11193"/>
    <cellStyle name="표준 6 3 2" xfId="11194"/>
    <cellStyle name="표준 6 3 2 2" xfId="11195"/>
    <cellStyle name="표준 6 3 2 2 2" xfId="11196"/>
    <cellStyle name="표준 6 3 2 2 3" xfId="11197"/>
    <cellStyle name="표준 6 3 2 2 4" xfId="11198"/>
    <cellStyle name="표준 6 3 2 2 5" xfId="11199"/>
    <cellStyle name="표준 6 3 2 3" xfId="11200"/>
    <cellStyle name="표준 6 3 2 4" xfId="11201"/>
    <cellStyle name="표준 6 3 2 5" xfId="11202"/>
    <cellStyle name="표준 6 3 20" xfId="11203"/>
    <cellStyle name="표준 6 3 21" xfId="11204"/>
    <cellStyle name="표준 6 3 22" xfId="11205"/>
    <cellStyle name="표준 6 3 23" xfId="11206"/>
    <cellStyle name="표준 6 3 24" xfId="11207"/>
    <cellStyle name="표준 6 3 3" xfId="11208"/>
    <cellStyle name="표준 6 3 4" xfId="11209"/>
    <cellStyle name="표준 6 3 5" xfId="11210"/>
    <cellStyle name="표준 6 3 6" xfId="11211"/>
    <cellStyle name="표준 6 3 7" xfId="11212"/>
    <cellStyle name="표준 6 3 8" xfId="11213"/>
    <cellStyle name="표준 6 3 9" xfId="11214"/>
    <cellStyle name="표준 6 30" xfId="11215"/>
    <cellStyle name="표준 6 31" xfId="11216"/>
    <cellStyle name="표준 6 32" xfId="11217"/>
    <cellStyle name="표준 6 33" xfId="11218"/>
    <cellStyle name="표준 6 34" xfId="11219"/>
    <cellStyle name="표준 6 35" xfId="11220"/>
    <cellStyle name="표준 6 36" xfId="11221"/>
    <cellStyle name="표준 6 37" xfId="11222"/>
    <cellStyle name="표준 6 38" xfId="11223"/>
    <cellStyle name="표준 6 39" xfId="11224"/>
    <cellStyle name="표준 6 4" xfId="424"/>
    <cellStyle name="표준 6 4 10" xfId="11225"/>
    <cellStyle name="표준 6 4 11" xfId="11226"/>
    <cellStyle name="표준 6 4 2" xfId="11227"/>
    <cellStyle name="표준 6 4 2 2" xfId="11228"/>
    <cellStyle name="표준 6 4 2 3" xfId="11229"/>
    <cellStyle name="표준 6 4 2 4" xfId="11230"/>
    <cellStyle name="표준 6 4 2 5" xfId="11231"/>
    <cellStyle name="표준 6 4 3" xfId="11232"/>
    <cellStyle name="표준 6 4 4" xfId="11233"/>
    <cellStyle name="표준 6 4 5" xfId="11234"/>
    <cellStyle name="표준 6 4 6" xfId="11235"/>
    <cellStyle name="표준 6 4 7" xfId="11236"/>
    <cellStyle name="표준 6 4 8" xfId="11237"/>
    <cellStyle name="표준 6 4 9" xfId="11238"/>
    <cellStyle name="표준 6 40" xfId="11239"/>
    <cellStyle name="표준 6 41" xfId="11240"/>
    <cellStyle name="표준 6 42" xfId="11241"/>
    <cellStyle name="표준 6 43" xfId="11242"/>
    <cellStyle name="표준 6 44" xfId="11243"/>
    <cellStyle name="표준 6 45" xfId="11244"/>
    <cellStyle name="표준 6 46" xfId="11245"/>
    <cellStyle name="표준 6 47" xfId="11246"/>
    <cellStyle name="표준 6 48" xfId="11247"/>
    <cellStyle name="표준 6 5" xfId="11248"/>
    <cellStyle name="표준 6 5 2" xfId="11249"/>
    <cellStyle name="표준 6 5 3" xfId="11250"/>
    <cellStyle name="표준 6 5 4" xfId="11251"/>
    <cellStyle name="표준 6 5 5" xfId="11252"/>
    <cellStyle name="표준 6 6" xfId="11253"/>
    <cellStyle name="표준 6 7" xfId="11254"/>
    <cellStyle name="표준 6 8" xfId="11255"/>
    <cellStyle name="표준 6 9" xfId="11256"/>
    <cellStyle name="표준 6_개정이력" xfId="11257"/>
    <cellStyle name="표준 60" xfId="11258"/>
    <cellStyle name="표준 60 2" xfId="11259"/>
    <cellStyle name="표준 61" xfId="11260"/>
    <cellStyle name="표준 61 2" xfId="11261"/>
    <cellStyle name="표준 62" xfId="11262"/>
    <cellStyle name="표준 62 2" xfId="11263"/>
    <cellStyle name="표준 63" xfId="11264"/>
    <cellStyle name="표준 63 2" xfId="11265"/>
    <cellStyle name="표준 64" xfId="11266"/>
    <cellStyle name="표준 64 2" xfId="11267"/>
    <cellStyle name="표준 65" xfId="11268"/>
    <cellStyle name="표준 65 2" xfId="11269"/>
    <cellStyle name="표준 66" xfId="11270"/>
    <cellStyle name="표준 66 2" xfId="11271"/>
    <cellStyle name="표준 67" xfId="11272"/>
    <cellStyle name="표준 67 2" xfId="11273"/>
    <cellStyle name="표준 68" xfId="11274"/>
    <cellStyle name="표준 68 2" xfId="11275"/>
    <cellStyle name="표준 69" xfId="11276"/>
    <cellStyle name="표준 69 2" xfId="11277"/>
    <cellStyle name="표준 7" xfId="425"/>
    <cellStyle name="표준 7 10" xfId="11278"/>
    <cellStyle name="표준 7 11" xfId="11279"/>
    <cellStyle name="표준 7 12" xfId="11280"/>
    <cellStyle name="표준 7 13" xfId="11281"/>
    <cellStyle name="표준 7 14" xfId="11282"/>
    <cellStyle name="표준 7 15" xfId="11283"/>
    <cellStyle name="표준 7 16" xfId="11284"/>
    <cellStyle name="표준 7 17" xfId="11285"/>
    <cellStyle name="표준 7 18" xfId="11286"/>
    <cellStyle name="표준 7 19" xfId="11287"/>
    <cellStyle name="표준 7 2" xfId="426"/>
    <cellStyle name="표준 7 2 10" xfId="11288"/>
    <cellStyle name="표준 7 2 11" xfId="11289"/>
    <cellStyle name="표준 7 2 12" xfId="11290"/>
    <cellStyle name="표준 7 2 13" xfId="11291"/>
    <cellStyle name="표준 7 2 14" xfId="11292"/>
    <cellStyle name="표준 7 2 15" xfId="11293"/>
    <cellStyle name="표준 7 2 16" xfId="11294"/>
    <cellStyle name="표준 7 2 17" xfId="11295"/>
    <cellStyle name="표준 7 2 18" xfId="11296"/>
    <cellStyle name="표준 7 2 19" xfId="11297"/>
    <cellStyle name="표준 7 2 2" xfId="11298"/>
    <cellStyle name="표준 7 2 2 10" xfId="11299"/>
    <cellStyle name="표준 7 2 2 11" xfId="11300"/>
    <cellStyle name="표준 7 2 2 12" xfId="11301"/>
    <cellStyle name="표준 7 2 2 13" xfId="11302"/>
    <cellStyle name="표준 7 2 2 14" xfId="11303"/>
    <cellStyle name="표준 7 2 2 15" xfId="11304"/>
    <cellStyle name="표준 7 2 2 16" xfId="11305"/>
    <cellStyle name="표준 7 2 2 17" xfId="11306"/>
    <cellStyle name="표준 7 2 2 2" xfId="11307"/>
    <cellStyle name="표준 7 2 2 2 2" xfId="11308"/>
    <cellStyle name="표준 7 2 2 2 2 2" xfId="11309"/>
    <cellStyle name="표준 7 2 2 2 2 3" xfId="11310"/>
    <cellStyle name="표준 7 2 2 2 2 4" xfId="11311"/>
    <cellStyle name="표준 7 2 2 2 2 5" xfId="11312"/>
    <cellStyle name="표준 7 2 2 2 3" xfId="11313"/>
    <cellStyle name="표준 7 2 2 2 4" xfId="11314"/>
    <cellStyle name="표준 7 2 2 2 5" xfId="11315"/>
    <cellStyle name="표준 7 2 2 3" xfId="11316"/>
    <cellStyle name="표준 7 2 2 4" xfId="11317"/>
    <cellStyle name="표준 7 2 2 5" xfId="11318"/>
    <cellStyle name="표준 7 2 2 6" xfId="11319"/>
    <cellStyle name="표준 7 2 2 7" xfId="11320"/>
    <cellStyle name="표준 7 2 2 8" xfId="11321"/>
    <cellStyle name="표준 7 2 2 9" xfId="11322"/>
    <cellStyle name="표준 7 2 20" xfId="11323"/>
    <cellStyle name="표준 7 2 21" xfId="11324"/>
    <cellStyle name="표준 7 2 22" xfId="11325"/>
    <cellStyle name="표준 7 2 23" xfId="11326"/>
    <cellStyle name="표준 7 2 24" xfId="11327"/>
    <cellStyle name="표준 7 2 25" xfId="11328"/>
    <cellStyle name="표준 7 2 3" xfId="11329"/>
    <cellStyle name="표준 7 2 3 2" xfId="11330"/>
    <cellStyle name="표준 7 2 4" xfId="11331"/>
    <cellStyle name="표준 7 2 5" xfId="11332"/>
    <cellStyle name="표준 7 2 6" xfId="11333"/>
    <cellStyle name="표준 7 2 7" xfId="11334"/>
    <cellStyle name="표준 7 2 8" xfId="11335"/>
    <cellStyle name="표준 7 2 9" xfId="11336"/>
    <cellStyle name="표준 7 20" xfId="11337"/>
    <cellStyle name="표준 7 21" xfId="11338"/>
    <cellStyle name="표준 7 22" xfId="11339"/>
    <cellStyle name="표준 7 23" xfId="11340"/>
    <cellStyle name="표준 7 24" xfId="11341"/>
    <cellStyle name="표준 7 25" xfId="11342"/>
    <cellStyle name="표준 7 26" xfId="11343"/>
    <cellStyle name="표준 7 27" xfId="11344"/>
    <cellStyle name="표준 7 28" xfId="11345"/>
    <cellStyle name="표준 7 29" xfId="11346"/>
    <cellStyle name="표준 7 3" xfId="11347"/>
    <cellStyle name="표준 7 3 2" xfId="11348"/>
    <cellStyle name="표준 7 3 3" xfId="11349"/>
    <cellStyle name="표준 7 3 4" xfId="11350"/>
    <cellStyle name="표준 7 3 5" xfId="11351"/>
    <cellStyle name="표준 7 30" xfId="11352"/>
    <cellStyle name="표준 7 31" xfId="11353"/>
    <cellStyle name="표준 7 32" xfId="11354"/>
    <cellStyle name="표준 7 33" xfId="11355"/>
    <cellStyle name="표준 7 34" xfId="11356"/>
    <cellStyle name="표준 7 4" xfId="11357"/>
    <cellStyle name="표준 7 5" xfId="11358"/>
    <cellStyle name="표준 7 6" xfId="11359"/>
    <cellStyle name="표준 7 7" xfId="11360"/>
    <cellStyle name="표준 7 8" xfId="11361"/>
    <cellStyle name="표준 7 9" xfId="11362"/>
    <cellStyle name="표준 7_개정이력" xfId="11363"/>
    <cellStyle name="표준 70" xfId="11364"/>
    <cellStyle name="표준 70 2" xfId="11365"/>
    <cellStyle name="표준 71" xfId="11366"/>
    <cellStyle name="표준 71 2" xfId="11367"/>
    <cellStyle name="표준 72" xfId="11368"/>
    <cellStyle name="표준 72 2" xfId="11369"/>
    <cellStyle name="표준 73" xfId="11370"/>
    <cellStyle name="표준 73 2" xfId="11371"/>
    <cellStyle name="표준 74" xfId="11372"/>
    <cellStyle name="표준 75" xfId="11373"/>
    <cellStyle name="표준 76" xfId="11374"/>
    <cellStyle name="표준 77" xfId="11375"/>
    <cellStyle name="표준 78" xfId="11376"/>
    <cellStyle name="표준 79" xfId="11377"/>
    <cellStyle name="표준 8" xfId="427"/>
    <cellStyle name="표준 8 10" xfId="11378"/>
    <cellStyle name="표준 8 11" xfId="11379"/>
    <cellStyle name="표준 8 12" xfId="11380"/>
    <cellStyle name="표준 8 13" xfId="11381"/>
    <cellStyle name="표준 8 14" xfId="11382"/>
    <cellStyle name="표준 8 15" xfId="11383"/>
    <cellStyle name="표준 8 16" xfId="11384"/>
    <cellStyle name="표준 8 17" xfId="11385"/>
    <cellStyle name="표준 8 18" xfId="11386"/>
    <cellStyle name="표준 8 19" xfId="11387"/>
    <cellStyle name="표준 8 2" xfId="11388"/>
    <cellStyle name="표준 8 2 10" xfId="11389"/>
    <cellStyle name="표준 8 2 11" xfId="11390"/>
    <cellStyle name="표준 8 2 12" xfId="11391"/>
    <cellStyle name="표준 8 2 13" xfId="11392"/>
    <cellStyle name="표준 8 2 14" xfId="11393"/>
    <cellStyle name="표준 8 2 15" xfId="11394"/>
    <cellStyle name="표준 8 2 16" xfId="11395"/>
    <cellStyle name="표준 8 2 17" xfId="11396"/>
    <cellStyle name="표준 8 2 18" xfId="11397"/>
    <cellStyle name="표준 8 2 2" xfId="11398"/>
    <cellStyle name="표준 8 2 2 10" xfId="11399"/>
    <cellStyle name="표준 8 2 2 11" xfId="11400"/>
    <cellStyle name="표준 8 2 2 12" xfId="11401"/>
    <cellStyle name="표준 8 2 2 13" xfId="11402"/>
    <cellStyle name="표준 8 2 2 14" xfId="11403"/>
    <cellStyle name="표준 8 2 2 15" xfId="11404"/>
    <cellStyle name="표준 8 2 2 16" xfId="11405"/>
    <cellStyle name="표준 8 2 2 17" xfId="11406"/>
    <cellStyle name="표준 8 2 2 2" xfId="11407"/>
    <cellStyle name="표준 8 2 2 2 2" xfId="11408"/>
    <cellStyle name="표준 8 2 2 2 2 2" xfId="11409"/>
    <cellStyle name="표준 8 2 2 2 2 3" xfId="11410"/>
    <cellStyle name="표준 8 2 2 2 2 4" xfId="11411"/>
    <cellStyle name="표준 8 2 2 2 2 5" xfId="11412"/>
    <cellStyle name="표준 8 2 2 2 3" xfId="11413"/>
    <cellStyle name="표준 8 2 2 2 4" xfId="11414"/>
    <cellStyle name="표준 8 2 2 2 5" xfId="11415"/>
    <cellStyle name="표준 8 2 2 3" xfId="11416"/>
    <cellStyle name="표준 8 2 2 4" xfId="11417"/>
    <cellStyle name="표준 8 2 2 5" xfId="11418"/>
    <cellStyle name="표준 8 2 2 6" xfId="11419"/>
    <cellStyle name="표준 8 2 2 7" xfId="11420"/>
    <cellStyle name="표준 8 2 2 8" xfId="11421"/>
    <cellStyle name="표준 8 2 2 9" xfId="11422"/>
    <cellStyle name="표준 8 2 3" xfId="11423"/>
    <cellStyle name="표준 8 2 3 2" xfId="11424"/>
    <cellStyle name="표준 8 2 4" xfId="11425"/>
    <cellStyle name="표준 8 2 5" xfId="11426"/>
    <cellStyle name="표준 8 2 6" xfId="11427"/>
    <cellStyle name="표준 8 2 7" xfId="11428"/>
    <cellStyle name="표준 8 2 8" xfId="11429"/>
    <cellStyle name="표준 8 2 9" xfId="11430"/>
    <cellStyle name="표준 8 20" xfId="11431"/>
    <cellStyle name="표준 8 21" xfId="11432"/>
    <cellStyle name="표준 8 22" xfId="11433"/>
    <cellStyle name="표준 8 23" xfId="11434"/>
    <cellStyle name="표준 8 24" xfId="11435"/>
    <cellStyle name="표준 8 25" xfId="11436"/>
    <cellStyle name="표준 8 26" xfId="11437"/>
    <cellStyle name="표준 8 26 2" xfId="11438"/>
    <cellStyle name="표준 8 27" xfId="11439"/>
    <cellStyle name="표준 8 28" xfId="11440"/>
    <cellStyle name="표준 8 29" xfId="11441"/>
    <cellStyle name="표준 8 3" xfId="11442"/>
    <cellStyle name="표준 8 3 10" xfId="11443"/>
    <cellStyle name="표준 8 3 11" xfId="11444"/>
    <cellStyle name="표준 8 3 12" xfId="11445"/>
    <cellStyle name="표준 8 3 13" xfId="11446"/>
    <cellStyle name="표준 8 3 14" xfId="11447"/>
    <cellStyle name="표준 8 3 2" xfId="11448"/>
    <cellStyle name="표준 8 3 2 2" xfId="11449"/>
    <cellStyle name="표준 8 3 3" xfId="11450"/>
    <cellStyle name="표준 8 3 4" xfId="11451"/>
    <cellStyle name="표준 8 3 5" xfId="11452"/>
    <cellStyle name="표준 8 3 6" xfId="11453"/>
    <cellStyle name="표준 8 3 7" xfId="11454"/>
    <cellStyle name="표준 8 3 8" xfId="11455"/>
    <cellStyle name="표준 8 3 9" xfId="11456"/>
    <cellStyle name="표준 8 30" xfId="11457"/>
    <cellStyle name="표준 8 31" xfId="11458"/>
    <cellStyle name="표준 8 32" xfId="11459"/>
    <cellStyle name="표준 8 33" xfId="11460"/>
    <cellStyle name="표준 8 34" xfId="11461"/>
    <cellStyle name="표준 8 35" xfId="11462"/>
    <cellStyle name="표준 8 36" xfId="11463"/>
    <cellStyle name="표준 8 37" xfId="11464"/>
    <cellStyle name="표준 8 38" xfId="11465"/>
    <cellStyle name="표준 8 39" xfId="11466"/>
    <cellStyle name="표준 8 4" xfId="11467"/>
    <cellStyle name="표준 8 40" xfId="11468"/>
    <cellStyle name="표준 8 41" xfId="11469"/>
    <cellStyle name="표준 8 42" xfId="11470"/>
    <cellStyle name="표준 8 43" xfId="11471"/>
    <cellStyle name="표준 8 44" xfId="11472"/>
    <cellStyle name="표준 8 45" xfId="11473"/>
    <cellStyle name="표준 8 46" xfId="11474"/>
    <cellStyle name="표준 8 47" xfId="11475"/>
    <cellStyle name="표준 8 48" xfId="11476"/>
    <cellStyle name="표준 8 5" xfId="11477"/>
    <cellStyle name="표준 8 6" xfId="11478"/>
    <cellStyle name="표준 8 7" xfId="11479"/>
    <cellStyle name="표준 8 8" xfId="11480"/>
    <cellStyle name="표준 8 9" xfId="11481"/>
    <cellStyle name="표준 8_개정이력" xfId="11482"/>
    <cellStyle name="표준 80" xfId="11483"/>
    <cellStyle name="표준 81" xfId="11484"/>
    <cellStyle name="표준 82" xfId="11485"/>
    <cellStyle name="표준 83" xfId="11486"/>
    <cellStyle name="표준 84" xfId="11487"/>
    <cellStyle name="표준 85" xfId="11488"/>
    <cellStyle name="표준 86" xfId="11489"/>
    <cellStyle name="표준 87" xfId="11490"/>
    <cellStyle name="표준 88" xfId="11491"/>
    <cellStyle name="표준 89" xfId="11492"/>
    <cellStyle name="표준 9" xfId="428"/>
    <cellStyle name="표준 9 10" xfId="11493"/>
    <cellStyle name="표준 9 11" xfId="11494"/>
    <cellStyle name="표준 9 12" xfId="11495"/>
    <cellStyle name="표준 9 13" xfId="11496"/>
    <cellStyle name="표준 9 14" xfId="11497"/>
    <cellStyle name="표준 9 15" xfId="11498"/>
    <cellStyle name="표준 9 16" xfId="11499"/>
    <cellStyle name="표준 9 17" xfId="11500"/>
    <cellStyle name="표준 9 18" xfId="11501"/>
    <cellStyle name="표준 9 19" xfId="11502"/>
    <cellStyle name="표준 9 2" xfId="11503"/>
    <cellStyle name="표준 9 2 10" xfId="11504"/>
    <cellStyle name="표준 9 2 11" xfId="11505"/>
    <cellStyle name="표준 9 2 12" xfId="11506"/>
    <cellStyle name="표준 9 2 13" xfId="11507"/>
    <cellStyle name="표준 9 2 14" xfId="11508"/>
    <cellStyle name="표준 9 2 15" xfId="11509"/>
    <cellStyle name="표준 9 2 2" xfId="11510"/>
    <cellStyle name="표준 9 2 2 10" xfId="11511"/>
    <cellStyle name="표준 9 2 2 11" xfId="11512"/>
    <cellStyle name="표준 9 2 2 12" xfId="11513"/>
    <cellStyle name="표준 9 2 2 13" xfId="11514"/>
    <cellStyle name="표준 9 2 2 14" xfId="11515"/>
    <cellStyle name="표준 9 2 2 2" xfId="11516"/>
    <cellStyle name="표준 9 2 2 2 2" xfId="11517"/>
    <cellStyle name="표준 9 2 2 3" xfId="11518"/>
    <cellStyle name="표준 9 2 2 4" xfId="11519"/>
    <cellStyle name="표준 9 2 2 5" xfId="11520"/>
    <cellStyle name="표준 9 2 2 6" xfId="11521"/>
    <cellStyle name="표준 9 2 2 7" xfId="11522"/>
    <cellStyle name="표준 9 2 2 8" xfId="11523"/>
    <cellStyle name="표준 9 2 2 9" xfId="11524"/>
    <cellStyle name="표준 9 2 3" xfId="11525"/>
    <cellStyle name="표준 9 2 3 2" xfId="11526"/>
    <cellStyle name="표준 9 2 4" xfId="11527"/>
    <cellStyle name="표준 9 2 5" xfId="11528"/>
    <cellStyle name="표준 9 2 6" xfId="11529"/>
    <cellStyle name="표준 9 2 7" xfId="11530"/>
    <cellStyle name="표준 9 2 8" xfId="11531"/>
    <cellStyle name="표준 9 2 9" xfId="11532"/>
    <cellStyle name="표준 9 20" xfId="11533"/>
    <cellStyle name="표준 9 21" xfId="11534"/>
    <cellStyle name="표준 9 22" xfId="11535"/>
    <cellStyle name="표준 9 23" xfId="11536"/>
    <cellStyle name="표준 9 24" xfId="11537"/>
    <cellStyle name="표준 9 25" xfId="11538"/>
    <cellStyle name="표준 9 26" xfId="11539"/>
    <cellStyle name="표준 9 3" xfId="11540"/>
    <cellStyle name="표준 9 3 10" xfId="11541"/>
    <cellStyle name="표준 9 3 11" xfId="11542"/>
    <cellStyle name="표준 9 3 12" xfId="11543"/>
    <cellStyle name="표준 9 3 13" xfId="11544"/>
    <cellStyle name="표준 9 3 14" xfId="11545"/>
    <cellStyle name="표준 9 3 2" xfId="11546"/>
    <cellStyle name="표준 9 3 2 2" xfId="11547"/>
    <cellStyle name="표준 9 3 3" xfId="11548"/>
    <cellStyle name="표준 9 3 4" xfId="11549"/>
    <cellStyle name="표준 9 3 5" xfId="11550"/>
    <cellStyle name="표준 9 3 6" xfId="11551"/>
    <cellStyle name="표준 9 3 7" xfId="11552"/>
    <cellStyle name="표준 9 3 8" xfId="11553"/>
    <cellStyle name="표준 9 3 9" xfId="11554"/>
    <cellStyle name="표준 9 4" xfId="11555"/>
    <cellStyle name="표준 9 4 2" xfId="11556"/>
    <cellStyle name="표준 9 5" xfId="11557"/>
    <cellStyle name="표준 9 6" xfId="11558"/>
    <cellStyle name="표준 9 7" xfId="11559"/>
    <cellStyle name="표준 9 8" xfId="11560"/>
    <cellStyle name="표준 9 9" xfId="11561"/>
    <cellStyle name="표준 9_개정이력" xfId="11562"/>
    <cellStyle name="표준 90" xfId="11563"/>
    <cellStyle name="표준 91" xfId="11564"/>
    <cellStyle name="표준 92" xfId="11565"/>
    <cellStyle name="표준 93" xfId="11566"/>
    <cellStyle name="표준 94" xfId="11567"/>
    <cellStyle name="표준 95" xfId="12806"/>
    <cellStyle name="표준 96" xfId="12946"/>
    <cellStyle name="표준 97" xfId="11568"/>
    <cellStyle name="표준 98" xfId="12889"/>
    <cellStyle name="표준 99" xfId="12254"/>
    <cellStyle name="표준 99 2" xfId="32579"/>
    <cellStyle name="하이퍼링크 10" xfId="11569"/>
    <cellStyle name="하이퍼링크 100" xfId="11570"/>
    <cellStyle name="하이퍼링크 101" xfId="11571"/>
    <cellStyle name="하이퍼링크 102" xfId="11572"/>
    <cellStyle name="하이퍼링크 103" xfId="11573"/>
    <cellStyle name="하이퍼링크 104" xfId="89"/>
    <cellStyle name="하이퍼링크 11" xfId="11574"/>
    <cellStyle name="하이퍼링크 12" xfId="11575"/>
    <cellStyle name="하이퍼링크 13" xfId="11576"/>
    <cellStyle name="하이퍼링크 14" xfId="11577"/>
    <cellStyle name="하이퍼링크 15" xfId="11578"/>
    <cellStyle name="하이퍼링크 16" xfId="11579"/>
    <cellStyle name="하이퍼링크 17" xfId="11580"/>
    <cellStyle name="하이퍼링크 18" xfId="11581"/>
    <cellStyle name="하이퍼링크 19" xfId="11582"/>
    <cellStyle name="하이퍼링크 2" xfId="429"/>
    <cellStyle name="하이퍼링크 2 10" xfId="11583"/>
    <cellStyle name="하이퍼링크 2 11" xfId="11584"/>
    <cellStyle name="하이퍼링크 2 2" xfId="11585"/>
    <cellStyle name="하이퍼링크 2 2 2" xfId="11586"/>
    <cellStyle name="하이퍼링크 2 2 3" xfId="11587"/>
    <cellStyle name="하이퍼링크 2 2 4" xfId="11588"/>
    <cellStyle name="하이퍼링크 2 2 5" xfId="11589"/>
    <cellStyle name="하이퍼링크 2 3" xfId="11590"/>
    <cellStyle name="하이퍼링크 2 4" xfId="11591"/>
    <cellStyle name="하이퍼링크 2 5" xfId="11592"/>
    <cellStyle name="하이퍼링크 2 6" xfId="11593"/>
    <cellStyle name="하이퍼링크 2 7" xfId="11594"/>
    <cellStyle name="하이퍼링크 2 8" xfId="11595"/>
    <cellStyle name="하이퍼링크 2 9" xfId="11596"/>
    <cellStyle name="하이퍼링크 20" xfId="11597"/>
    <cellStyle name="하이퍼링크 21" xfId="11598"/>
    <cellStyle name="하이퍼링크 22" xfId="11599"/>
    <cellStyle name="하이퍼링크 23" xfId="11600"/>
    <cellStyle name="하이퍼링크 24" xfId="11601"/>
    <cellStyle name="하이퍼링크 25" xfId="11602"/>
    <cellStyle name="하이퍼링크 26" xfId="11603"/>
    <cellStyle name="하이퍼링크 27" xfId="11604"/>
    <cellStyle name="하이퍼링크 28" xfId="11605"/>
    <cellStyle name="하이퍼링크 29" xfId="11606"/>
    <cellStyle name="하이퍼링크 3" xfId="12258"/>
    <cellStyle name="하이퍼링크 3 2" xfId="11607"/>
    <cellStyle name="하이퍼링크 3 3" xfId="11608"/>
    <cellStyle name="하이퍼링크 3 4" xfId="11609"/>
    <cellStyle name="하이퍼링크 3 5" xfId="11610"/>
    <cellStyle name="하이퍼링크 30" xfId="11611"/>
    <cellStyle name="하이퍼링크 31" xfId="11612"/>
    <cellStyle name="하이퍼링크 32" xfId="11613"/>
    <cellStyle name="하이퍼링크 33" xfId="11614"/>
    <cellStyle name="하이퍼링크 34" xfId="11615"/>
    <cellStyle name="하이퍼링크 35" xfId="11616"/>
    <cellStyle name="하이퍼링크 36" xfId="11617"/>
    <cellStyle name="하이퍼링크 37" xfId="11618"/>
    <cellStyle name="하이퍼링크 38" xfId="11619"/>
    <cellStyle name="하이퍼링크 39" xfId="11620"/>
    <cellStyle name="하이퍼링크 4" xfId="11621"/>
    <cellStyle name="하이퍼링크 40" xfId="11622"/>
    <cellStyle name="하이퍼링크 41" xfId="11623"/>
    <cellStyle name="하이퍼링크 42" xfId="11624"/>
    <cellStyle name="하이퍼링크 43" xfId="11625"/>
    <cellStyle name="하이퍼링크 44" xfId="11626"/>
    <cellStyle name="하이퍼링크 45" xfId="11627"/>
    <cellStyle name="하이퍼링크 46" xfId="11628"/>
    <cellStyle name="하이퍼링크 47" xfId="11629"/>
    <cellStyle name="하이퍼링크 48" xfId="11630"/>
    <cellStyle name="하이퍼링크 49" xfId="11631"/>
    <cellStyle name="하이퍼링크 5" xfId="11632"/>
    <cellStyle name="하이퍼링크 50" xfId="11633"/>
    <cellStyle name="하이퍼링크 51" xfId="11634"/>
    <cellStyle name="하이퍼링크 52" xfId="11635"/>
    <cellStyle name="하이퍼링크 53" xfId="11636"/>
    <cellStyle name="하이퍼링크 54" xfId="11637"/>
    <cellStyle name="하이퍼링크 55" xfId="11638"/>
    <cellStyle name="하이퍼링크 56" xfId="11639"/>
    <cellStyle name="하이퍼링크 57" xfId="11640"/>
    <cellStyle name="하이퍼링크 58" xfId="11641"/>
    <cellStyle name="하이퍼링크 59" xfId="11642"/>
    <cellStyle name="하이퍼링크 6" xfId="11643"/>
    <cellStyle name="하이퍼링크 60" xfId="11644"/>
    <cellStyle name="하이퍼링크 61" xfId="11645"/>
    <cellStyle name="하이퍼링크 62" xfId="11646"/>
    <cellStyle name="하이퍼링크 63" xfId="11647"/>
    <cellStyle name="하이퍼링크 64" xfId="11648"/>
    <cellStyle name="하이퍼링크 65" xfId="11649"/>
    <cellStyle name="하이퍼링크 66" xfId="11650"/>
    <cellStyle name="하이퍼링크 67" xfId="11651"/>
    <cellStyle name="하이퍼링크 68" xfId="11652"/>
    <cellStyle name="하이퍼링크 69" xfId="11653"/>
    <cellStyle name="하이퍼링크 7" xfId="11654"/>
    <cellStyle name="하이퍼링크 70" xfId="11655"/>
    <cellStyle name="하이퍼링크 71" xfId="11656"/>
    <cellStyle name="하이퍼링크 72" xfId="11657"/>
    <cellStyle name="하이퍼링크 73" xfId="11658"/>
    <cellStyle name="하이퍼링크 74" xfId="11659"/>
    <cellStyle name="하이퍼링크 75" xfId="11660"/>
    <cellStyle name="하이퍼링크 76" xfId="11661"/>
    <cellStyle name="하이퍼링크 77" xfId="11662"/>
    <cellStyle name="하이퍼링크 78" xfId="11663"/>
    <cellStyle name="하이퍼링크 79" xfId="11664"/>
    <cellStyle name="하이퍼링크 8" xfId="11665"/>
    <cellStyle name="하이퍼링크 80" xfId="11666"/>
    <cellStyle name="하이퍼링크 81" xfId="11667"/>
    <cellStyle name="하이퍼링크 82" xfId="11668"/>
    <cellStyle name="하이퍼링크 83" xfId="11669"/>
    <cellStyle name="하이퍼링크 84" xfId="11670"/>
    <cellStyle name="하이퍼링크 85" xfId="11671"/>
    <cellStyle name="하이퍼링크 86" xfId="11672"/>
    <cellStyle name="하이퍼링크 87" xfId="11673"/>
    <cellStyle name="하이퍼링크 88" xfId="11674"/>
    <cellStyle name="하이퍼링크 89" xfId="11675"/>
    <cellStyle name="하이퍼링크 9" xfId="11676"/>
    <cellStyle name="하이퍼링크 90" xfId="11677"/>
    <cellStyle name="하이퍼링크 91" xfId="11678"/>
    <cellStyle name="하이퍼링크 92" xfId="11679"/>
    <cellStyle name="하이퍼링크 93" xfId="11680"/>
    <cellStyle name="하이퍼링크 94" xfId="11681"/>
    <cellStyle name="하이퍼링크 95" xfId="11682"/>
    <cellStyle name="하이퍼링크 96" xfId="11683"/>
    <cellStyle name="하이퍼링크 97" xfId="11684"/>
    <cellStyle name="하이퍼링크 98" xfId="11685"/>
    <cellStyle name="하이퍼링크 99" xfId="11686"/>
  </cellStyles>
  <dxfs count="0"/>
  <tableStyles count="0" defaultTableStyle="TableStyleMedium9" defaultPivotStyle="PivotStyleLight16"/>
  <colors>
    <mruColors>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hyperlink" Target="#'Interface List'!Print_Area"/></Relationships>
</file>

<file path=xl/drawings/_rels/drawing16.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2" Type="http://schemas.openxmlformats.org/officeDocument/2006/relationships/hyperlink" Target="#'Interface List'!Print_Area"/><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133350" y="0"/>
          <a:ext cx="2857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19075" y="0"/>
          <a:ext cx="2857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3619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3287805</xdr:colOff>
      <xdr:row>1</xdr:row>
      <xdr:rowOff>7844</xdr:rowOff>
    </xdr:from>
    <xdr:to>
      <xdr:col>7</xdr:col>
      <xdr:colOff>4106955</xdr:colOff>
      <xdr:row>1</xdr:row>
      <xdr:rowOff>265019</xdr:rowOff>
    </xdr:to>
    <xdr:sp macro="" textlink="">
      <xdr:nvSpPr>
        <xdr:cNvPr id="3" name="AutoShape 12">
          <a:hlinkClick xmlns:r="http://schemas.openxmlformats.org/officeDocument/2006/relationships" r:id="rId2"/>
        </xdr:cNvPr>
        <xdr:cNvSpPr>
          <a:spLocks noChangeArrowheads="1"/>
        </xdr:cNvSpPr>
      </xdr:nvSpPr>
      <xdr:spPr bwMode="auto">
        <a:xfrm>
          <a:off x="11879355" y="198344"/>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429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5591175</xdr:colOff>
      <xdr:row>1</xdr:row>
      <xdr:rowOff>19050</xdr:rowOff>
    </xdr:from>
    <xdr:to>
      <xdr:col>6</xdr:col>
      <xdr:colOff>6410325</xdr:colOff>
      <xdr:row>1</xdr:row>
      <xdr:rowOff>304800</xdr:rowOff>
    </xdr:to>
    <xdr:sp macro="" textlink="">
      <xdr:nvSpPr>
        <xdr:cNvPr id="3" name="AutoShape 12">
          <a:hlinkClick xmlns:r="http://schemas.openxmlformats.org/officeDocument/2006/relationships" r:id="rId2"/>
        </xdr:cNvPr>
        <xdr:cNvSpPr>
          <a:spLocks noChangeArrowheads="1"/>
        </xdr:cNvSpPr>
      </xdr:nvSpPr>
      <xdr:spPr bwMode="auto">
        <a:xfrm>
          <a:off x="9839325" y="209550"/>
          <a:ext cx="819150" cy="285750"/>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3619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5591175</xdr:colOff>
      <xdr:row>1</xdr:row>
      <xdr:rowOff>19050</xdr:rowOff>
    </xdr:from>
    <xdr:to>
      <xdr:col>6</xdr:col>
      <xdr:colOff>6410325</xdr:colOff>
      <xdr:row>1</xdr:row>
      <xdr:rowOff>304800</xdr:rowOff>
    </xdr:to>
    <xdr:sp macro="" textlink="">
      <xdr:nvSpPr>
        <xdr:cNvPr id="3" name="AutoShape 12">
          <a:hlinkClick xmlns:r="http://schemas.openxmlformats.org/officeDocument/2006/relationships" r:id="rId2"/>
        </xdr:cNvPr>
        <xdr:cNvSpPr>
          <a:spLocks noChangeArrowheads="1"/>
        </xdr:cNvSpPr>
      </xdr:nvSpPr>
      <xdr:spPr bwMode="auto">
        <a:xfrm>
          <a:off x="9658350" y="209550"/>
          <a:ext cx="819150" cy="285750"/>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0869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6774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632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7631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84885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2584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5918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727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727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1"/>
        </xdr:cNvPr>
        <xdr:cNvSpPr>
          <a:spLocks noChangeArrowheads="1"/>
        </xdr:cNvSpPr>
      </xdr:nvSpPr>
      <xdr:spPr bwMode="auto">
        <a:xfrm>
          <a:off x="96774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6774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8298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6774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727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346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010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727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668000"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250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8774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97631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91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5251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91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4870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48702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91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631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631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631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631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1250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91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133350</xdr:colOff>
      <xdr:row>0</xdr:row>
      <xdr:rowOff>0</xdr:rowOff>
    </xdr:from>
    <xdr:to>
      <xdr:col>1</xdr:col>
      <xdr:colOff>723900</xdr:colOff>
      <xdr:row>0</xdr:row>
      <xdr:rowOff>0</xdr:rowOff>
    </xdr:to>
    <xdr:pic>
      <xdr:nvPicPr>
        <xdr:cNvPr id="2" name="Picture 1" descr="딜로이트 하나회계법인.컨설팅.FA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4294" r="23500"/>
        <a:stretch>
          <a:fillRect/>
        </a:stretch>
      </xdr:blipFill>
      <xdr:spPr bwMode="auto">
        <a:xfrm>
          <a:off x="285750" y="0"/>
          <a:ext cx="590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3276600</xdr:colOff>
      <xdr:row>0</xdr:row>
      <xdr:rowOff>200025</xdr:rowOff>
    </xdr:from>
    <xdr:to>
      <xdr:col>8</xdr:col>
      <xdr:colOff>4095750</xdr:colOff>
      <xdr:row>2</xdr:row>
      <xdr:rowOff>19050</xdr:rowOff>
    </xdr:to>
    <xdr:sp macro="" textlink="">
      <xdr:nvSpPr>
        <xdr:cNvPr id="3" name="AutoShape 12">
          <a:hlinkClick xmlns:r="http://schemas.openxmlformats.org/officeDocument/2006/relationships" r:id="rId2"/>
        </xdr:cNvPr>
        <xdr:cNvSpPr>
          <a:spLocks noChangeArrowheads="1"/>
        </xdr:cNvSpPr>
      </xdr:nvSpPr>
      <xdr:spPr bwMode="auto">
        <a:xfrm>
          <a:off x="10391775" y="190500"/>
          <a:ext cx="819150" cy="257175"/>
        </a:xfrm>
        <a:prstGeom prst="bevel">
          <a:avLst>
            <a:gd name="adj" fmla="val 12500"/>
          </a:avLst>
        </a:prstGeom>
        <a:gradFill rotWithShape="0">
          <a:gsLst>
            <a:gs pos="0">
              <a:srgbClr val="A4AAB8"/>
            </a:gs>
            <a:gs pos="50000">
              <a:srgbClr val="A4AAB8">
                <a:gamma/>
                <a:tint val="0"/>
                <a:invGamma/>
              </a:srgbClr>
            </a:gs>
            <a:gs pos="100000">
              <a:srgbClr val="A4AAB8"/>
            </a:gs>
          </a:gsLst>
          <a:lin ang="2700000" scaled="1"/>
        </a:gradFill>
        <a:ln w="6350">
          <a:solidFill>
            <a:srgbClr val="FFFFFF"/>
          </a:solidFill>
          <a:miter lim="800000"/>
          <a:headEnd/>
          <a:tailEnd/>
        </a:ln>
        <a:effectLst/>
      </xdr:spPr>
      <xdr:txBody>
        <a:bodyPr vertOverflow="clip" wrap="square" lIns="91440" tIns="45720" rIns="91440" bIns="45720" anchor="t" upright="1"/>
        <a:lstStyle/>
        <a:p>
          <a:pPr algn="ctr" rtl="1">
            <a:defRPr sz="1000"/>
          </a:pPr>
          <a:r>
            <a:rPr lang="en-US" altLang="ko-KR" sz="1100" b="0" i="0" strike="noStrike">
              <a:solidFill>
                <a:srgbClr val="000000"/>
              </a:solidFill>
              <a:latin typeface="돋움"/>
              <a:ea typeface="돋움"/>
            </a:rPr>
            <a:t>To List</a:t>
          </a:r>
          <a:endParaRPr lang="ko-KR" altLang="en-US" sz="1100" b="0" i="0" strike="noStrike">
            <a:solidFill>
              <a:srgbClr val="000000"/>
            </a:solidFill>
            <a:latin typeface="돋움"/>
            <a:ea typeface="돋움"/>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C5:P36"/>
  <sheetViews>
    <sheetView view="pageBreakPreview" zoomScale="85" zoomScaleNormal="85" zoomScaleSheetLayoutView="85" workbookViewId="0">
      <selection activeCell="H17" sqref="H17:I17"/>
    </sheetView>
  </sheetViews>
  <sheetFormatPr defaultColWidth="8.875" defaultRowHeight="15"/>
  <cols>
    <col min="1" max="2" width="7.25" style="7" customWidth="1"/>
    <col min="3" max="3" width="5.5" style="7" customWidth="1"/>
    <col min="4" max="4" width="6" style="7" customWidth="1"/>
    <col min="5" max="5" width="5" style="7" customWidth="1"/>
    <col min="6" max="6" width="6.375" style="7" customWidth="1"/>
    <col min="7" max="7" width="7" style="7" customWidth="1"/>
    <col min="8" max="8" width="6.125" style="7" customWidth="1"/>
    <col min="9" max="9" width="5.875" style="7" customWidth="1"/>
    <col min="10" max="10" width="5.5" style="7" customWidth="1"/>
    <col min="11" max="11" width="5.75" style="7" customWidth="1"/>
    <col min="12" max="12" width="6.5" style="7" customWidth="1"/>
    <col min="13" max="15" width="6.75" style="7" customWidth="1"/>
    <col min="16" max="16" width="8.75" style="7" customWidth="1"/>
    <col min="17" max="16384" width="8.875" style="7"/>
  </cols>
  <sheetData>
    <row r="5" spans="3:16">
      <c r="C5" s="5"/>
      <c r="D5" s="6"/>
      <c r="E5" s="5"/>
      <c r="F5" s="5"/>
      <c r="G5" s="5"/>
      <c r="H5" s="5"/>
      <c r="I5" s="5"/>
      <c r="J5" s="5"/>
      <c r="K5" s="5"/>
      <c r="L5" s="5"/>
      <c r="M5" s="5"/>
      <c r="N5" s="5"/>
      <c r="O5" s="5"/>
      <c r="P5" s="5"/>
    </row>
    <row r="6" spans="3:16">
      <c r="C6" s="5"/>
      <c r="D6" s="6"/>
      <c r="E6" s="5"/>
      <c r="F6" s="5"/>
      <c r="G6" s="5"/>
      <c r="H6" s="5"/>
      <c r="I6" s="5"/>
      <c r="J6" s="5"/>
      <c r="K6" s="5"/>
      <c r="L6" s="5"/>
      <c r="M6" s="5"/>
      <c r="N6" s="5"/>
      <c r="O6" s="5"/>
      <c r="P6" s="5"/>
    </row>
    <row r="7" spans="3:16">
      <c r="C7" s="5"/>
      <c r="D7" s="6"/>
      <c r="E7" s="5"/>
      <c r="F7" s="5"/>
      <c r="G7" s="5"/>
      <c r="H7" s="5"/>
      <c r="I7" s="5"/>
      <c r="J7" s="5"/>
      <c r="K7" s="5"/>
      <c r="L7" s="5"/>
      <c r="M7" s="5"/>
      <c r="N7" s="5"/>
      <c r="O7" s="5"/>
      <c r="P7" s="5"/>
    </row>
    <row r="8" spans="3:16">
      <c r="C8" s="5"/>
      <c r="D8" s="6"/>
      <c r="E8" s="5"/>
      <c r="F8" s="5"/>
      <c r="G8" s="5"/>
      <c r="H8" s="5"/>
      <c r="I8" s="5"/>
      <c r="J8" s="5"/>
      <c r="K8" s="5"/>
      <c r="L8" s="5"/>
      <c r="M8" s="5"/>
      <c r="N8" s="5"/>
      <c r="O8" s="5"/>
      <c r="P8" s="5"/>
    </row>
    <row r="9" spans="3:16" ht="32.25" customHeight="1">
      <c r="C9" s="5"/>
      <c r="D9" s="218" t="s">
        <v>255</v>
      </c>
      <c r="E9" s="219"/>
      <c r="F9" s="219"/>
      <c r="G9" s="219"/>
      <c r="H9" s="219"/>
      <c r="I9" s="219"/>
      <c r="J9" s="219"/>
      <c r="K9" s="219"/>
      <c r="L9" s="219"/>
      <c r="M9" s="219"/>
      <c r="N9" s="8"/>
      <c r="O9" s="8"/>
      <c r="P9" s="5"/>
    </row>
    <row r="10" spans="3:16" ht="27.75" customHeight="1">
      <c r="C10" s="5"/>
      <c r="D10" s="220"/>
      <c r="E10" s="220"/>
      <c r="F10" s="220"/>
      <c r="G10" s="220"/>
      <c r="H10" s="220"/>
      <c r="I10" s="220"/>
      <c r="J10" s="220"/>
      <c r="K10" s="220"/>
      <c r="L10" s="220"/>
      <c r="M10" s="220"/>
      <c r="N10" s="8"/>
      <c r="O10" s="8"/>
      <c r="P10" s="5"/>
    </row>
    <row r="11" spans="3:16" ht="63.75" customHeight="1">
      <c r="C11" s="5"/>
      <c r="D11" s="221"/>
      <c r="E11" s="221"/>
      <c r="F11" s="221"/>
      <c r="G11" s="221"/>
      <c r="H11" s="221"/>
      <c r="I11" s="221"/>
      <c r="J11" s="221"/>
      <c r="K11" s="221"/>
      <c r="L11" s="221"/>
      <c r="M11" s="221"/>
      <c r="N11" s="8"/>
      <c r="O11" s="8"/>
      <c r="P11" s="5"/>
    </row>
    <row r="12" spans="3:16" ht="25.5">
      <c r="C12" s="5"/>
      <c r="D12" s="6"/>
      <c r="E12" s="5"/>
      <c r="F12" s="5"/>
      <c r="G12" s="1"/>
      <c r="H12" s="1"/>
      <c r="I12" s="1"/>
      <c r="J12" s="1"/>
      <c r="K12" s="9" t="s">
        <v>96</v>
      </c>
      <c r="L12" s="10"/>
      <c r="M12" s="10"/>
      <c r="N12" s="10"/>
      <c r="O12" s="10"/>
      <c r="P12" s="11"/>
    </row>
    <row r="13" spans="3:16" ht="25.5">
      <c r="C13" s="5"/>
      <c r="D13" s="6"/>
      <c r="E13" s="5"/>
      <c r="F13" s="5"/>
      <c r="G13" s="12"/>
      <c r="H13" s="12"/>
      <c r="I13" s="12"/>
      <c r="J13" s="12"/>
      <c r="K13" s="9"/>
      <c r="L13" s="10"/>
      <c r="M13" s="10"/>
      <c r="N13" s="10"/>
      <c r="O13" s="10"/>
      <c r="P13" s="11"/>
    </row>
    <row r="14" spans="3:16" ht="25.5">
      <c r="C14" s="5"/>
      <c r="D14" s="6"/>
      <c r="E14" s="5"/>
      <c r="F14" s="5"/>
      <c r="G14" s="12"/>
      <c r="H14" s="12"/>
      <c r="I14" s="12"/>
      <c r="J14" s="12"/>
      <c r="K14" s="9"/>
      <c r="L14" s="10"/>
      <c r="M14" s="10"/>
      <c r="N14" s="10"/>
      <c r="O14" s="10"/>
      <c r="P14" s="11"/>
    </row>
    <row r="15" spans="3:16" ht="25.5">
      <c r="C15" s="5"/>
      <c r="D15" s="6"/>
      <c r="E15" s="5"/>
      <c r="F15" s="5"/>
      <c r="G15" s="12"/>
      <c r="H15" s="12"/>
      <c r="I15" s="12"/>
      <c r="J15" s="12"/>
      <c r="K15" s="9"/>
      <c r="L15" s="10"/>
      <c r="M15" s="10"/>
      <c r="N15" s="10"/>
      <c r="O15" s="10"/>
      <c r="P15" s="11"/>
    </row>
    <row r="16" spans="3:16" ht="25.5">
      <c r="C16" s="5"/>
      <c r="D16" s="6"/>
      <c r="E16" s="5"/>
      <c r="F16" s="5"/>
      <c r="G16" s="12"/>
      <c r="H16" s="12"/>
      <c r="I16" s="12"/>
      <c r="J16" s="12"/>
      <c r="K16" s="9"/>
      <c r="L16" s="10"/>
      <c r="M16" s="10"/>
      <c r="N16" s="10"/>
      <c r="O16" s="10"/>
      <c r="P16" s="11"/>
    </row>
    <row r="17" spans="3:16" ht="20.25">
      <c r="C17" s="5"/>
      <c r="D17" s="6"/>
      <c r="E17" s="5"/>
      <c r="F17" s="5"/>
      <c r="G17" s="13"/>
      <c r="H17" s="222">
        <v>2019</v>
      </c>
      <c r="I17" s="222"/>
      <c r="J17" s="5"/>
      <c r="K17" s="5"/>
      <c r="L17" s="5"/>
      <c r="M17" s="5"/>
      <c r="N17" s="5"/>
      <c r="O17" s="5"/>
      <c r="P17" s="5"/>
    </row>
    <row r="18" spans="3:16" ht="20.25">
      <c r="C18" s="5"/>
      <c r="D18" s="6"/>
      <c r="E18" s="5"/>
      <c r="F18" s="5"/>
      <c r="G18" s="13"/>
      <c r="H18" s="14"/>
      <c r="I18" s="14"/>
      <c r="J18" s="5"/>
      <c r="K18" s="5"/>
      <c r="L18" s="5"/>
      <c r="M18" s="5"/>
      <c r="N18" s="5"/>
      <c r="O18" s="5"/>
      <c r="P18" s="5"/>
    </row>
    <row r="19" spans="3:16" ht="20.25">
      <c r="C19" s="5"/>
      <c r="D19" s="6"/>
      <c r="E19" s="5"/>
      <c r="F19" s="5"/>
      <c r="G19" s="13"/>
      <c r="H19" s="14"/>
      <c r="I19" s="14"/>
      <c r="J19" s="5"/>
      <c r="K19" s="5"/>
      <c r="L19" s="5"/>
      <c r="M19" s="5"/>
      <c r="N19" s="5"/>
      <c r="O19" s="5"/>
      <c r="P19" s="5"/>
    </row>
    <row r="20" spans="3:16" ht="20.25">
      <c r="C20" s="5"/>
      <c r="D20" s="6"/>
      <c r="E20" s="5"/>
      <c r="F20" s="5"/>
      <c r="G20" s="13"/>
      <c r="H20" s="14"/>
      <c r="I20" s="14"/>
      <c r="J20" s="5"/>
      <c r="K20" s="5"/>
      <c r="L20" s="5"/>
      <c r="M20" s="5"/>
      <c r="N20" s="5"/>
      <c r="O20" s="5"/>
      <c r="P20" s="5"/>
    </row>
    <row r="21" spans="3:16" ht="20.25">
      <c r="C21" s="5"/>
      <c r="D21" s="6"/>
      <c r="E21" s="5"/>
      <c r="F21" s="5"/>
      <c r="G21" s="13"/>
      <c r="H21" s="14"/>
      <c r="I21" s="14"/>
      <c r="J21" s="5"/>
      <c r="K21" s="5"/>
      <c r="L21" s="5"/>
      <c r="M21" s="5"/>
      <c r="N21" s="5"/>
      <c r="O21" s="5"/>
      <c r="P21" s="5"/>
    </row>
    <row r="22" spans="3:16" ht="20.25">
      <c r="C22" s="5"/>
      <c r="D22" s="6"/>
      <c r="E22" s="5"/>
      <c r="F22" s="5"/>
      <c r="G22" s="13"/>
      <c r="H22" s="5"/>
      <c r="I22" s="5"/>
      <c r="J22" s="5"/>
      <c r="K22" s="5"/>
      <c r="L22" s="5"/>
      <c r="M22" s="5"/>
      <c r="N22" s="5"/>
      <c r="O22" s="5"/>
      <c r="P22" s="5"/>
    </row>
    <row r="23" spans="3:16" ht="20.25">
      <c r="C23" s="5"/>
      <c r="D23" s="6"/>
      <c r="E23" s="5"/>
      <c r="F23" s="5"/>
      <c r="G23" s="13"/>
      <c r="H23" s="5"/>
      <c r="I23" s="5"/>
      <c r="J23" s="5"/>
      <c r="K23" s="5"/>
      <c r="L23" s="5"/>
      <c r="M23" s="5"/>
      <c r="N23" s="5"/>
      <c r="O23" s="5"/>
      <c r="P23" s="5"/>
    </row>
    <row r="24" spans="3:16" ht="20.25">
      <c r="C24" s="5"/>
      <c r="D24" s="6"/>
      <c r="E24" s="5"/>
      <c r="F24" s="5"/>
      <c r="G24" s="13"/>
      <c r="H24" s="5"/>
      <c r="I24" s="5"/>
      <c r="J24" s="5"/>
      <c r="K24" s="5"/>
      <c r="L24" s="5"/>
      <c r="M24" s="5"/>
      <c r="N24" s="5"/>
      <c r="O24" s="5"/>
      <c r="P24" s="5"/>
    </row>
    <row r="25" spans="3:16" ht="20.25">
      <c r="C25" s="5"/>
      <c r="D25" s="6"/>
      <c r="E25" s="5"/>
      <c r="F25" s="5"/>
      <c r="G25" s="5"/>
      <c r="H25" s="15"/>
      <c r="I25" s="5"/>
      <c r="J25" s="5"/>
      <c r="K25" s="5"/>
      <c r="L25" s="5"/>
      <c r="M25" s="5"/>
      <c r="N25" s="5"/>
      <c r="O25" s="5"/>
      <c r="P25" s="5"/>
    </row>
    <row r="26" spans="3:16" ht="20.25">
      <c r="C26" s="5"/>
      <c r="D26" s="6"/>
      <c r="E26" s="5"/>
      <c r="F26" s="5"/>
      <c r="G26" s="5"/>
      <c r="H26" s="16"/>
      <c r="I26" s="5"/>
      <c r="J26" s="5"/>
      <c r="K26" s="5"/>
      <c r="L26" s="5"/>
      <c r="M26" s="5"/>
      <c r="N26" s="5"/>
      <c r="O26" s="5"/>
      <c r="P26" s="5"/>
    </row>
    <row r="27" spans="3:16">
      <c r="C27" s="5"/>
      <c r="D27" s="6"/>
      <c r="E27" s="5"/>
      <c r="F27" s="5"/>
      <c r="G27" s="5"/>
      <c r="H27" s="5"/>
      <c r="I27" s="5"/>
      <c r="J27" s="5"/>
      <c r="K27" s="5"/>
      <c r="L27" s="5"/>
      <c r="M27" s="5"/>
      <c r="N27" s="5"/>
      <c r="O27" s="5"/>
      <c r="P27" s="5"/>
    </row>
    <row r="28" spans="3:16">
      <c r="C28" s="5"/>
      <c r="D28" s="6"/>
      <c r="E28" s="5"/>
      <c r="F28" s="5"/>
      <c r="G28" s="5"/>
      <c r="H28" s="5"/>
      <c r="I28" s="5"/>
      <c r="J28" s="5"/>
      <c r="K28" s="5"/>
      <c r="L28" s="5"/>
      <c r="M28" s="5"/>
      <c r="N28" s="5"/>
      <c r="O28" s="5"/>
      <c r="P28" s="5"/>
    </row>
    <row r="29" spans="3:16">
      <c r="C29" s="5"/>
      <c r="D29" s="6"/>
      <c r="E29" s="5"/>
      <c r="F29" s="5"/>
      <c r="G29" s="5"/>
      <c r="H29" s="5"/>
      <c r="I29" s="5"/>
      <c r="J29" s="5"/>
      <c r="K29" s="5"/>
      <c r="L29" s="5"/>
      <c r="M29" s="5"/>
      <c r="N29" s="5"/>
      <c r="O29" s="5"/>
      <c r="P29" s="5"/>
    </row>
    <row r="30" spans="3:16">
      <c r="C30" s="5"/>
      <c r="D30" s="6"/>
      <c r="E30" s="5"/>
      <c r="F30" s="5"/>
      <c r="G30" s="5"/>
      <c r="H30" s="5"/>
      <c r="I30" s="5"/>
      <c r="J30" s="5"/>
      <c r="K30" s="5"/>
      <c r="L30" s="5"/>
      <c r="M30" s="5"/>
      <c r="N30" s="5"/>
      <c r="O30" s="5"/>
      <c r="P30" s="5"/>
    </row>
    <row r="31" spans="3:16" ht="20.25">
      <c r="C31" s="5"/>
      <c r="D31" s="6"/>
      <c r="E31" s="5"/>
      <c r="F31" s="5"/>
      <c r="G31" s="5"/>
      <c r="H31" s="5"/>
      <c r="I31" s="5"/>
      <c r="J31" s="17"/>
      <c r="K31" s="18"/>
      <c r="L31" s="18"/>
      <c r="M31" s="18"/>
      <c r="N31" s="18"/>
      <c r="O31" s="18"/>
      <c r="P31" s="11"/>
    </row>
    <row r="32" spans="3:16" ht="20.25">
      <c r="C32" s="5"/>
      <c r="D32" s="6"/>
      <c r="E32" s="5"/>
      <c r="F32" s="5"/>
      <c r="G32" s="5"/>
      <c r="H32" s="5"/>
      <c r="I32" s="5"/>
      <c r="J32" s="17"/>
      <c r="K32" s="18"/>
      <c r="L32" s="18"/>
      <c r="M32" s="18"/>
      <c r="N32" s="18"/>
      <c r="O32" s="18"/>
    </row>
    <row r="33" spans="3:16" ht="20.25">
      <c r="C33" s="5"/>
      <c r="D33" s="6"/>
      <c r="E33" s="5"/>
      <c r="F33" s="5"/>
      <c r="G33" s="19"/>
      <c r="H33" s="5"/>
      <c r="I33" s="5"/>
      <c r="J33" s="5"/>
      <c r="K33" s="20"/>
      <c r="L33" s="5"/>
      <c r="M33" s="5"/>
      <c r="N33" s="5"/>
      <c r="O33" s="5"/>
      <c r="P33" s="11"/>
    </row>
    <row r="34" spans="3:16">
      <c r="C34" s="5"/>
      <c r="D34" s="6"/>
      <c r="E34" s="5"/>
      <c r="F34" s="5"/>
      <c r="G34" s="5"/>
      <c r="H34" s="5"/>
      <c r="I34" s="5"/>
      <c r="J34" s="5"/>
      <c r="K34" s="5"/>
      <c r="L34" s="21"/>
      <c r="M34" s="5"/>
      <c r="N34" s="5"/>
      <c r="O34" s="5"/>
      <c r="P34" s="5"/>
    </row>
    <row r="35" spans="3:16" ht="18.75">
      <c r="C35" s="5"/>
      <c r="D35" s="6"/>
      <c r="E35" s="5"/>
      <c r="F35" s="5"/>
      <c r="G35" s="5"/>
      <c r="H35" s="5"/>
      <c r="I35" s="5"/>
      <c r="J35" s="5"/>
      <c r="K35" s="5"/>
      <c r="L35" s="22"/>
      <c r="M35" s="5"/>
      <c r="N35" s="5"/>
      <c r="O35" s="5"/>
      <c r="P35" s="5"/>
    </row>
    <row r="36" spans="3:16">
      <c r="C36" s="5"/>
      <c r="D36" s="6"/>
      <c r="E36" s="5"/>
      <c r="F36" s="5"/>
      <c r="G36" s="5"/>
      <c r="H36" s="5"/>
      <c r="I36" s="5"/>
      <c r="J36" s="5"/>
      <c r="K36" s="5"/>
      <c r="L36" s="23"/>
      <c r="M36" s="5"/>
      <c r="N36" s="5"/>
      <c r="O36" s="5"/>
      <c r="P36" s="5"/>
    </row>
  </sheetData>
  <mergeCells count="3">
    <mergeCell ref="G12:J12"/>
    <mergeCell ref="D9:M11"/>
    <mergeCell ref="H17:I17"/>
  </mergeCells>
  <phoneticPr fontId="8" type="noConversion"/>
  <printOptions horizontalCentered="1"/>
  <pageMargins left="0.19685039370078741" right="0.19685039370078741" top="0.78740157480314965" bottom="0.70866141732283472" header="0.31496062992125984" footer="0.19685039370078741"/>
  <pageSetup paperSize="9" scale="99" orientation="portrait" blackAndWhite="1" r:id="rId1"/>
  <headerFooter alignWithMargins="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2:E46"/>
  <sheetViews>
    <sheetView view="pageBreakPreview" topLeftCell="B43" zoomScale="175" zoomScaleSheetLayoutView="175" workbookViewId="0">
      <selection activeCell="D46" sqref="D46"/>
    </sheetView>
  </sheetViews>
  <sheetFormatPr defaultColWidth="8.875" defaultRowHeight="15"/>
  <cols>
    <col min="1" max="1" width="4.125" style="7" bestFit="1" customWidth="1"/>
    <col min="2" max="2" width="8.875" style="48"/>
    <col min="3" max="3" width="13.5" style="7" customWidth="1"/>
    <col min="4" max="4" width="62.125" style="7" customWidth="1"/>
    <col min="5" max="5" width="18.5" style="7" customWidth="1"/>
    <col min="6" max="16384" width="8.875" style="7"/>
  </cols>
  <sheetData>
    <row r="2" spans="1:5" ht="23.25" customHeight="1">
      <c r="A2" s="223" t="s">
        <v>97</v>
      </c>
      <c r="B2" s="223"/>
      <c r="C2" s="223"/>
      <c r="D2" s="223"/>
      <c r="E2" s="223"/>
    </row>
    <row r="4" spans="1:5" ht="16.5" customHeight="1">
      <c r="A4" s="24" t="s">
        <v>91</v>
      </c>
      <c r="B4" s="44" t="s">
        <v>92</v>
      </c>
      <c r="C4" s="25" t="s">
        <v>93</v>
      </c>
      <c r="D4" s="26" t="s">
        <v>94</v>
      </c>
      <c r="E4" s="26" t="s">
        <v>95</v>
      </c>
    </row>
    <row r="5" spans="1:5" ht="14.25" customHeight="1">
      <c r="A5" s="27">
        <v>1</v>
      </c>
      <c r="B5" s="45">
        <v>0.9</v>
      </c>
      <c r="C5" s="28" t="s">
        <v>237</v>
      </c>
      <c r="D5" s="29" t="s">
        <v>238</v>
      </c>
      <c r="E5" s="29" t="s">
        <v>239</v>
      </c>
    </row>
    <row r="6" spans="1:5" ht="14.25" customHeight="1">
      <c r="A6" s="27">
        <v>2</v>
      </c>
      <c r="B6" s="45">
        <v>0.91</v>
      </c>
      <c r="C6" s="28" t="s">
        <v>240</v>
      </c>
      <c r="D6" s="29" t="s">
        <v>241</v>
      </c>
      <c r="E6" s="29" t="s">
        <v>239</v>
      </c>
    </row>
    <row r="7" spans="1:5" ht="14.25" customHeight="1">
      <c r="A7" s="27">
        <v>3</v>
      </c>
      <c r="B7" s="45">
        <v>0.92</v>
      </c>
      <c r="C7" s="28" t="s">
        <v>242</v>
      </c>
      <c r="D7" s="29" t="s">
        <v>243</v>
      </c>
      <c r="E7" s="29" t="s">
        <v>239</v>
      </c>
    </row>
    <row r="8" spans="1:5" ht="14.25" customHeight="1">
      <c r="A8" s="27">
        <v>4</v>
      </c>
      <c r="B8" s="45">
        <v>0.97</v>
      </c>
      <c r="C8" s="28" t="s">
        <v>244</v>
      </c>
      <c r="D8" s="29" t="s">
        <v>245</v>
      </c>
      <c r="E8" s="29" t="s">
        <v>239</v>
      </c>
    </row>
    <row r="9" spans="1:5" ht="25.5">
      <c r="A9" s="46">
        <v>5</v>
      </c>
      <c r="B9" s="45">
        <v>0.99</v>
      </c>
      <c r="C9" s="28" t="s">
        <v>246</v>
      </c>
      <c r="D9" s="47" t="s">
        <v>247</v>
      </c>
      <c r="E9" s="47" t="s">
        <v>239</v>
      </c>
    </row>
    <row r="10" spans="1:5" ht="25.5">
      <c r="A10" s="46">
        <v>6</v>
      </c>
      <c r="B10" s="45" t="s">
        <v>248</v>
      </c>
      <c r="C10" s="28" t="s">
        <v>249</v>
      </c>
      <c r="D10" s="47" t="s">
        <v>250</v>
      </c>
      <c r="E10" s="47" t="s">
        <v>239</v>
      </c>
    </row>
    <row r="11" spans="1:5">
      <c r="A11" s="46">
        <v>7</v>
      </c>
      <c r="B11" s="45" t="s">
        <v>251</v>
      </c>
      <c r="C11" s="28" t="s">
        <v>252</v>
      </c>
      <c r="D11" s="29" t="s">
        <v>253</v>
      </c>
      <c r="E11" s="47" t="s">
        <v>239</v>
      </c>
    </row>
    <row r="12" spans="1:5" ht="27" customHeight="1">
      <c r="A12" s="46">
        <v>8</v>
      </c>
      <c r="B12" s="45" t="s">
        <v>254</v>
      </c>
      <c r="C12" s="28" t="s">
        <v>575</v>
      </c>
      <c r="D12" s="29" t="s">
        <v>577</v>
      </c>
      <c r="E12" s="47" t="s">
        <v>239</v>
      </c>
    </row>
    <row r="13" spans="1:5" ht="114.75">
      <c r="A13" s="46">
        <v>9</v>
      </c>
      <c r="B13" s="45" t="s">
        <v>574</v>
      </c>
      <c r="C13" s="28" t="s">
        <v>578</v>
      </c>
      <c r="D13" s="112" t="s">
        <v>576</v>
      </c>
      <c r="E13" s="47" t="s">
        <v>239</v>
      </c>
    </row>
    <row r="14" spans="1:5" ht="63.75">
      <c r="A14" s="46">
        <v>10</v>
      </c>
      <c r="B14" s="45" t="s">
        <v>579</v>
      </c>
      <c r="C14" s="28" t="s">
        <v>608</v>
      </c>
      <c r="D14" s="127" t="s">
        <v>609</v>
      </c>
      <c r="E14" s="47" t="s">
        <v>239</v>
      </c>
    </row>
    <row r="15" spans="1:5" ht="216.75">
      <c r="A15" s="46">
        <v>11</v>
      </c>
      <c r="B15" s="45" t="s">
        <v>610</v>
      </c>
      <c r="C15" s="28" t="s">
        <v>611</v>
      </c>
      <c r="D15" s="127" t="s">
        <v>1059</v>
      </c>
      <c r="E15" s="47" t="s">
        <v>239</v>
      </c>
    </row>
    <row r="16" spans="1:5" ht="78">
      <c r="A16" s="46">
        <v>12</v>
      </c>
      <c r="B16" s="45" t="s">
        <v>670</v>
      </c>
      <c r="C16" s="28" t="s">
        <v>671</v>
      </c>
      <c r="D16" s="127" t="s">
        <v>676</v>
      </c>
      <c r="E16" s="47" t="s">
        <v>239</v>
      </c>
    </row>
    <row r="17" spans="1:5" ht="269.25">
      <c r="A17" s="46">
        <v>13</v>
      </c>
      <c r="B17" s="147" t="s">
        <v>739</v>
      </c>
      <c r="C17" s="148" t="s">
        <v>705</v>
      </c>
      <c r="D17" s="112" t="s">
        <v>885</v>
      </c>
      <c r="E17" s="47" t="s">
        <v>239</v>
      </c>
    </row>
    <row r="18" spans="1:5" ht="63.75">
      <c r="A18" s="46">
        <v>14</v>
      </c>
      <c r="B18" s="45" t="s">
        <v>713</v>
      </c>
      <c r="C18" s="28" t="s">
        <v>714</v>
      </c>
      <c r="D18" s="127" t="s">
        <v>712</v>
      </c>
      <c r="E18" s="47" t="s">
        <v>239</v>
      </c>
    </row>
    <row r="19" spans="1:5" ht="76.5">
      <c r="A19" s="46">
        <v>15</v>
      </c>
      <c r="B19" s="45" t="s">
        <v>716</v>
      </c>
      <c r="C19" s="28" t="s">
        <v>717</v>
      </c>
      <c r="D19" s="144" t="s">
        <v>726</v>
      </c>
      <c r="E19" s="47" t="s">
        <v>239</v>
      </c>
    </row>
    <row r="20" spans="1:5" ht="233.25" customHeight="1">
      <c r="A20" s="46">
        <v>16</v>
      </c>
      <c r="B20" s="45" t="s">
        <v>727</v>
      </c>
      <c r="C20" s="28" t="s">
        <v>740</v>
      </c>
      <c r="D20" s="144" t="s">
        <v>903</v>
      </c>
      <c r="E20" s="47" t="s">
        <v>239</v>
      </c>
    </row>
    <row r="21" spans="1:5" ht="200.25" customHeight="1">
      <c r="A21" s="46">
        <v>17</v>
      </c>
      <c r="B21" s="45" t="s">
        <v>745</v>
      </c>
      <c r="C21" s="28" t="s">
        <v>768</v>
      </c>
      <c r="D21" s="144" t="s">
        <v>959</v>
      </c>
      <c r="E21" s="47" t="s">
        <v>239</v>
      </c>
    </row>
    <row r="22" spans="1:5" ht="204">
      <c r="A22" s="46">
        <v>18</v>
      </c>
      <c r="B22" s="45" t="s">
        <v>782</v>
      </c>
      <c r="C22" s="28" t="s">
        <v>801</v>
      </c>
      <c r="D22" s="144" t="s">
        <v>802</v>
      </c>
      <c r="E22" s="47" t="s">
        <v>239</v>
      </c>
    </row>
    <row r="23" spans="1:5" ht="165.75">
      <c r="A23" s="46">
        <v>19</v>
      </c>
      <c r="B23" s="45" t="s">
        <v>803</v>
      </c>
      <c r="C23" s="28" t="s">
        <v>804</v>
      </c>
      <c r="D23" s="144" t="s">
        <v>960</v>
      </c>
      <c r="E23" s="47" t="s">
        <v>239</v>
      </c>
    </row>
    <row r="24" spans="1:5" ht="76.5">
      <c r="A24" s="46">
        <v>20</v>
      </c>
      <c r="B24" s="45" t="s">
        <v>817</v>
      </c>
      <c r="C24" s="28" t="s">
        <v>829</v>
      </c>
      <c r="D24" s="144" t="s">
        <v>840</v>
      </c>
      <c r="E24" s="47" t="s">
        <v>239</v>
      </c>
    </row>
    <row r="25" spans="1:5">
      <c r="A25" s="46">
        <v>21</v>
      </c>
      <c r="B25" s="45" t="s">
        <v>830</v>
      </c>
      <c r="C25" s="28" t="s">
        <v>831</v>
      </c>
      <c r="D25" s="144" t="s">
        <v>832</v>
      </c>
      <c r="E25" s="47" t="s">
        <v>239</v>
      </c>
    </row>
    <row r="26" spans="1:5" ht="63.75">
      <c r="A26" s="46">
        <v>22</v>
      </c>
      <c r="B26" s="45" t="s">
        <v>835</v>
      </c>
      <c r="C26" s="28" t="s">
        <v>842</v>
      </c>
      <c r="D26" s="144" t="s">
        <v>841</v>
      </c>
      <c r="E26" s="47" t="s">
        <v>239</v>
      </c>
    </row>
    <row r="27" spans="1:5" ht="38.25">
      <c r="A27" s="46">
        <v>23</v>
      </c>
      <c r="B27" s="45" t="s">
        <v>843</v>
      </c>
      <c r="C27" s="28" t="s">
        <v>844</v>
      </c>
      <c r="D27" s="144" t="s">
        <v>854</v>
      </c>
      <c r="E27" s="47" t="s">
        <v>239</v>
      </c>
    </row>
    <row r="28" spans="1:5" ht="191.25">
      <c r="A28" s="46">
        <v>24</v>
      </c>
      <c r="B28" s="45" t="s">
        <v>856</v>
      </c>
      <c r="C28" s="28" t="s">
        <v>863</v>
      </c>
      <c r="D28" s="144" t="s">
        <v>919</v>
      </c>
      <c r="E28" s="47" t="s">
        <v>239</v>
      </c>
    </row>
    <row r="29" spans="1:5" ht="38.25">
      <c r="A29" s="46">
        <v>25</v>
      </c>
      <c r="B29" s="45" t="s">
        <v>877</v>
      </c>
      <c r="C29" s="28" t="s">
        <v>878</v>
      </c>
      <c r="D29" s="144" t="s">
        <v>916</v>
      </c>
      <c r="E29" s="47" t="s">
        <v>239</v>
      </c>
    </row>
    <row r="30" spans="1:5">
      <c r="A30" s="194">
        <v>26</v>
      </c>
      <c r="B30" s="147" t="s">
        <v>881</v>
      </c>
      <c r="C30" s="148" t="s">
        <v>915</v>
      </c>
      <c r="D30" s="195" t="s">
        <v>971</v>
      </c>
      <c r="E30" s="196" t="s">
        <v>884</v>
      </c>
    </row>
    <row r="31" spans="1:5" ht="76.5">
      <c r="A31" s="194">
        <v>27</v>
      </c>
      <c r="B31" s="147" t="s">
        <v>914</v>
      </c>
      <c r="C31" s="209" t="s">
        <v>920</v>
      </c>
      <c r="D31" s="195" t="s">
        <v>988</v>
      </c>
      <c r="E31" s="196" t="s">
        <v>884</v>
      </c>
    </row>
    <row r="32" spans="1:5" ht="38.25">
      <c r="A32" s="194">
        <v>28</v>
      </c>
      <c r="B32" s="147" t="s">
        <v>912</v>
      </c>
      <c r="C32" s="148" t="s">
        <v>913</v>
      </c>
      <c r="D32" s="195" t="s">
        <v>904</v>
      </c>
      <c r="E32" s="196" t="s">
        <v>884</v>
      </c>
    </row>
    <row r="33" spans="1:5" ht="38.25">
      <c r="A33" s="46">
        <v>29</v>
      </c>
      <c r="B33" s="147" t="s">
        <v>921</v>
      </c>
      <c r="C33" s="148" t="s">
        <v>922</v>
      </c>
      <c r="D33" s="144" t="s">
        <v>966</v>
      </c>
      <c r="E33" s="47" t="s">
        <v>884</v>
      </c>
    </row>
    <row r="34" spans="1:5" ht="25.5">
      <c r="A34" s="194">
        <v>30</v>
      </c>
      <c r="B34" s="147" t="s">
        <v>957</v>
      </c>
      <c r="C34" s="209" t="s">
        <v>958</v>
      </c>
      <c r="D34" s="195" t="s">
        <v>961</v>
      </c>
      <c r="E34" s="196" t="s">
        <v>884</v>
      </c>
    </row>
    <row r="35" spans="1:5">
      <c r="A35" s="194">
        <v>32</v>
      </c>
      <c r="B35" s="147" t="s">
        <v>962</v>
      </c>
      <c r="C35" s="209" t="s">
        <v>963</v>
      </c>
      <c r="D35" s="195" t="s">
        <v>967</v>
      </c>
      <c r="E35" s="196" t="s">
        <v>884</v>
      </c>
    </row>
    <row r="36" spans="1:5" ht="51">
      <c r="A36" s="194">
        <v>31</v>
      </c>
      <c r="B36" s="147" t="s">
        <v>968</v>
      </c>
      <c r="C36" s="209" t="s">
        <v>972</v>
      </c>
      <c r="D36" s="195" t="s">
        <v>977</v>
      </c>
      <c r="E36" s="196" t="s">
        <v>884</v>
      </c>
    </row>
    <row r="37" spans="1:5">
      <c r="A37" s="194">
        <v>32</v>
      </c>
      <c r="B37" s="147" t="s">
        <v>975</v>
      </c>
      <c r="C37" s="209" t="s">
        <v>976</v>
      </c>
      <c r="D37" s="195" t="s">
        <v>980</v>
      </c>
      <c r="E37" s="196" t="s">
        <v>884</v>
      </c>
    </row>
    <row r="38" spans="1:5">
      <c r="A38" s="194">
        <v>33</v>
      </c>
      <c r="B38" s="147" t="s">
        <v>978</v>
      </c>
      <c r="C38" s="209" t="s">
        <v>979</v>
      </c>
      <c r="D38" s="195" t="s">
        <v>1015</v>
      </c>
      <c r="E38" s="196" t="s">
        <v>884</v>
      </c>
    </row>
    <row r="39" spans="1:5">
      <c r="A39" s="194">
        <v>34</v>
      </c>
      <c r="B39" s="147" t="s">
        <v>981</v>
      </c>
      <c r="C39" s="209" t="s">
        <v>982</v>
      </c>
      <c r="D39" s="195" t="s">
        <v>983</v>
      </c>
      <c r="E39" s="196" t="s">
        <v>884</v>
      </c>
    </row>
    <row r="40" spans="1:5" ht="38.25">
      <c r="A40" s="194">
        <v>35</v>
      </c>
      <c r="B40" s="147" t="s">
        <v>984</v>
      </c>
      <c r="C40" s="209" t="s">
        <v>985</v>
      </c>
      <c r="D40" s="195" t="s">
        <v>1012</v>
      </c>
      <c r="E40" s="196" t="s">
        <v>986</v>
      </c>
    </row>
    <row r="41" spans="1:5" ht="25.5">
      <c r="A41" s="194">
        <v>36</v>
      </c>
      <c r="B41" s="147" t="s">
        <v>994</v>
      </c>
      <c r="C41" s="209" t="s">
        <v>995</v>
      </c>
      <c r="D41" s="195" t="s">
        <v>996</v>
      </c>
      <c r="E41" s="196" t="s">
        <v>986</v>
      </c>
    </row>
    <row r="42" spans="1:5" ht="25.5">
      <c r="A42" s="194">
        <v>37</v>
      </c>
      <c r="B42" s="147" t="s">
        <v>1002</v>
      </c>
      <c r="C42" s="209" t="s">
        <v>1003</v>
      </c>
      <c r="D42" s="195" t="s">
        <v>1021</v>
      </c>
      <c r="E42" s="196" t="s">
        <v>884</v>
      </c>
    </row>
    <row r="43" spans="1:5" ht="25.5">
      <c r="A43" s="194">
        <v>38</v>
      </c>
      <c r="B43" s="147" t="s">
        <v>1006</v>
      </c>
      <c r="C43" s="209" t="s">
        <v>1007</v>
      </c>
      <c r="D43" s="195" t="s">
        <v>1020</v>
      </c>
      <c r="E43" s="196" t="s">
        <v>986</v>
      </c>
    </row>
    <row r="44" spans="1:5">
      <c r="A44" s="194">
        <v>39</v>
      </c>
      <c r="B44" s="147" t="s">
        <v>1013</v>
      </c>
      <c r="C44" s="209" t="s">
        <v>1014</v>
      </c>
      <c r="D44" s="195" t="s">
        <v>1017</v>
      </c>
      <c r="E44" s="196" t="s">
        <v>986</v>
      </c>
    </row>
    <row r="45" spans="1:5" ht="25.5">
      <c r="A45" s="194">
        <v>40</v>
      </c>
      <c r="B45" s="147" t="s">
        <v>1018</v>
      </c>
      <c r="C45" s="209" t="s">
        <v>1019</v>
      </c>
      <c r="D45" s="195" t="s">
        <v>1022</v>
      </c>
      <c r="E45" s="196" t="s">
        <v>986</v>
      </c>
    </row>
    <row r="46" spans="1:5" ht="76.5">
      <c r="A46" s="202">
        <v>41</v>
      </c>
      <c r="B46" s="201" t="s">
        <v>1026</v>
      </c>
      <c r="C46" s="212" t="s">
        <v>1058</v>
      </c>
      <c r="D46" s="200" t="s">
        <v>1060</v>
      </c>
      <c r="E46" s="199" t="s">
        <v>986</v>
      </c>
    </row>
  </sheetData>
  <mergeCells count="1">
    <mergeCell ref="A2:E2"/>
  </mergeCells>
  <phoneticPr fontId="8" type="noConversion"/>
  <printOptions horizontalCentered="1"/>
  <pageMargins left="0.19685039370078741" right="0.19685039370078741" top="0.43307086614173229" bottom="0.70866141732283472" header="0.39370078740157483" footer="0.19685039370078741"/>
  <pageSetup paperSize="9" scale="29" orientation="portrait" r:id="rId1"/>
  <headerFooter alignWithMargins="0">
    <oddFooter>&amp;C&amp;10&amp;P/&amp;N&amp; Information Technology Service Agreement&amp;R&amp;G</oddFooter>
  </headerFooter>
  <ignoredErrors>
    <ignoredError sqref="B10 B12:B31" numberStoredAsText="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2:E25"/>
  <sheetViews>
    <sheetView view="pageBreakPreview" zoomScaleNormal="75" zoomScaleSheetLayoutView="100" workbookViewId="0">
      <pane xSplit="5" ySplit="4" topLeftCell="F7" activePane="bottomRight" state="frozen"/>
      <selection pane="topRight" activeCell="N1" sqref="N1"/>
      <selection pane="bottomLeft" activeCell="A6" sqref="A6"/>
      <selection pane="bottomRight" activeCell="E11" sqref="E11"/>
    </sheetView>
  </sheetViews>
  <sheetFormatPr defaultColWidth="8.875" defaultRowHeight="15"/>
  <cols>
    <col min="1" max="1" width="1.75" style="7" customWidth="1"/>
    <col min="2" max="2" width="3.625" style="32" bestFit="1" customWidth="1"/>
    <col min="3" max="3" width="13.25" style="32" bestFit="1" customWidth="1"/>
    <col min="4" max="4" width="19.875" style="7" customWidth="1"/>
    <col min="5" max="5" width="77" style="7" customWidth="1"/>
    <col min="6" max="16384" width="8.875" style="2"/>
  </cols>
  <sheetData>
    <row r="2" spans="1:5" ht="24.95" customHeight="1">
      <c r="B2" s="224" t="s">
        <v>103</v>
      </c>
      <c r="C2" s="224"/>
      <c r="D2" s="224"/>
      <c r="E2" s="224"/>
    </row>
    <row r="3" spans="1:5" s="3" customFormat="1">
      <c r="A3" s="5"/>
      <c r="B3" s="33"/>
      <c r="C3" s="33"/>
      <c r="D3" s="33"/>
      <c r="E3" s="33"/>
    </row>
    <row r="4" spans="1:5" s="4" customFormat="1" ht="16.5" customHeight="1">
      <c r="A4" s="7"/>
      <c r="B4" s="210" t="s">
        <v>923</v>
      </c>
      <c r="C4" s="211" t="s">
        <v>924</v>
      </c>
      <c r="D4" s="211" t="s">
        <v>925</v>
      </c>
      <c r="E4" s="211" t="s">
        <v>926</v>
      </c>
    </row>
    <row r="5" spans="1:5">
      <c r="B5" s="203">
        <v>1</v>
      </c>
      <c r="C5" s="203" t="s">
        <v>927</v>
      </c>
      <c r="D5" s="204" t="s">
        <v>928</v>
      </c>
      <c r="E5" s="205" t="s">
        <v>929</v>
      </c>
    </row>
    <row r="6" spans="1:5" ht="63.75">
      <c r="B6" s="203">
        <v>2</v>
      </c>
      <c r="C6" s="203" t="s">
        <v>927</v>
      </c>
      <c r="D6" s="204" t="s">
        <v>930</v>
      </c>
      <c r="E6" s="206" t="s">
        <v>931</v>
      </c>
    </row>
    <row r="7" spans="1:5" ht="25.5">
      <c r="B7" s="203">
        <v>3</v>
      </c>
      <c r="C7" s="203" t="s">
        <v>927</v>
      </c>
      <c r="D7" s="204" t="s">
        <v>932</v>
      </c>
      <c r="E7" s="205" t="s">
        <v>933</v>
      </c>
    </row>
    <row r="8" spans="1:5">
      <c r="B8" s="203">
        <v>4</v>
      </c>
      <c r="C8" s="203" t="s">
        <v>927</v>
      </c>
      <c r="D8" s="204" t="s">
        <v>1</v>
      </c>
      <c r="E8" s="205" t="s">
        <v>934</v>
      </c>
    </row>
    <row r="9" spans="1:5" ht="25.5">
      <c r="B9" s="203">
        <v>5</v>
      </c>
      <c r="C9" s="203" t="s">
        <v>927</v>
      </c>
      <c r="D9" s="213" t="s">
        <v>935</v>
      </c>
      <c r="E9" s="205" t="s">
        <v>936</v>
      </c>
    </row>
    <row r="10" spans="1:5" ht="114.75">
      <c r="B10" s="203">
        <v>6</v>
      </c>
      <c r="C10" s="215" t="s">
        <v>927</v>
      </c>
      <c r="D10" s="213" t="s">
        <v>937</v>
      </c>
      <c r="E10" s="208" t="s">
        <v>938</v>
      </c>
    </row>
    <row r="11" spans="1:5" ht="25.5">
      <c r="B11" s="203">
        <v>7</v>
      </c>
      <c r="C11" s="203" t="s">
        <v>927</v>
      </c>
      <c r="D11" s="204" t="s">
        <v>939</v>
      </c>
      <c r="E11" s="208" t="s">
        <v>940</v>
      </c>
    </row>
    <row r="12" spans="1:5">
      <c r="B12" s="203">
        <v>8</v>
      </c>
      <c r="C12" s="203" t="s">
        <v>927</v>
      </c>
      <c r="D12" s="204" t="s">
        <v>941</v>
      </c>
      <c r="E12" s="205" t="s">
        <v>942</v>
      </c>
    </row>
    <row r="13" spans="1:5" ht="27">
      <c r="B13" s="203">
        <v>9</v>
      </c>
      <c r="C13" s="203" t="s">
        <v>927</v>
      </c>
      <c r="D13" s="204" t="s">
        <v>943</v>
      </c>
      <c r="E13" s="205" t="s">
        <v>944</v>
      </c>
    </row>
    <row r="14" spans="1:5">
      <c r="B14" s="203">
        <v>10</v>
      </c>
      <c r="C14" s="203" t="s">
        <v>927</v>
      </c>
      <c r="D14" s="204" t="s">
        <v>945</v>
      </c>
      <c r="E14" s="205" t="s">
        <v>946</v>
      </c>
    </row>
    <row r="15" spans="1:5" ht="6.75" customHeight="1">
      <c r="B15" s="225"/>
      <c r="C15" s="226"/>
      <c r="D15" s="226"/>
      <c r="E15" s="227"/>
    </row>
    <row r="16" spans="1:5" ht="51">
      <c r="B16" s="203"/>
      <c r="C16" s="203" t="s">
        <v>947</v>
      </c>
      <c r="D16" s="204"/>
      <c r="E16" s="206" t="s">
        <v>948</v>
      </c>
    </row>
    <row r="17" spans="2:5">
      <c r="B17" s="203">
        <v>1</v>
      </c>
      <c r="C17" s="203" t="s">
        <v>947</v>
      </c>
      <c r="D17" s="204" t="s">
        <v>930</v>
      </c>
      <c r="E17" s="207" t="s">
        <v>949</v>
      </c>
    </row>
    <row r="18" spans="2:5">
      <c r="B18" s="203">
        <v>2</v>
      </c>
      <c r="C18" s="203" t="s">
        <v>947</v>
      </c>
      <c r="D18" s="204" t="s">
        <v>932</v>
      </c>
      <c r="E18" s="207" t="s">
        <v>949</v>
      </c>
    </row>
    <row r="19" spans="2:5">
      <c r="B19" s="203">
        <v>3</v>
      </c>
      <c r="C19" s="203" t="s">
        <v>947</v>
      </c>
      <c r="D19" s="204" t="s">
        <v>124</v>
      </c>
      <c r="E19" s="207" t="s">
        <v>950</v>
      </c>
    </row>
    <row r="20" spans="2:5">
      <c r="B20" s="203">
        <v>4</v>
      </c>
      <c r="C20" s="203" t="s">
        <v>947</v>
      </c>
      <c r="D20" s="207" t="s">
        <v>125</v>
      </c>
      <c r="E20" s="205" t="s">
        <v>951</v>
      </c>
    </row>
    <row r="21" spans="2:5">
      <c r="B21" s="203">
        <v>5</v>
      </c>
      <c r="C21" s="203" t="s">
        <v>947</v>
      </c>
      <c r="D21" s="207" t="s">
        <v>126</v>
      </c>
      <c r="E21" s="205" t="s">
        <v>952</v>
      </c>
    </row>
    <row r="22" spans="2:5">
      <c r="B22" s="203">
        <v>6</v>
      </c>
      <c r="C22" s="203" t="s">
        <v>947</v>
      </c>
      <c r="D22" s="207" t="s">
        <v>127</v>
      </c>
      <c r="E22" s="205" t="s">
        <v>953</v>
      </c>
    </row>
    <row r="23" spans="2:5">
      <c r="B23" s="203">
        <v>7</v>
      </c>
      <c r="C23" s="203" t="s">
        <v>947</v>
      </c>
      <c r="D23" s="207" t="s">
        <v>128</v>
      </c>
      <c r="E23" s="207" t="s">
        <v>954</v>
      </c>
    </row>
    <row r="24" spans="2:5">
      <c r="B24" s="203">
        <v>8</v>
      </c>
      <c r="C24" s="203" t="s">
        <v>947</v>
      </c>
      <c r="D24" s="207" t="s">
        <v>955</v>
      </c>
      <c r="E24" s="207" t="s">
        <v>956</v>
      </c>
    </row>
    <row r="25" spans="2:5">
      <c r="B25" s="30"/>
      <c r="C25" s="30"/>
      <c r="D25" s="31"/>
      <c r="E25" s="31"/>
    </row>
  </sheetData>
  <mergeCells count="2">
    <mergeCell ref="B2:E2"/>
    <mergeCell ref="B15:E15"/>
  </mergeCells>
  <phoneticPr fontId="8" type="noConversion"/>
  <printOptions horizontalCentered="1"/>
  <pageMargins left="0.35433070866141736" right="0.27559055118110237" top="0.43307086614173229" bottom="0.51181102362204722" header="0.27559055118110237" footer="0.19685039370078741"/>
  <pageSetup paperSize="9" scale="87" orientation="portrait" r:id="rId1"/>
  <headerFooter alignWithMargins="0">
    <oddFooter>&amp;C&amp;10&amp;P/&amp;N&amp; Information Technology Service Agreement&amp;R&amp;G</oddFoot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B2:AK43"/>
  <sheetViews>
    <sheetView view="pageBreakPreview" topLeftCell="B16" zoomScale="115" zoomScaleNormal="75" zoomScaleSheetLayoutView="115" workbookViewId="0">
      <selection activeCell="E21" sqref="E21"/>
    </sheetView>
  </sheetViews>
  <sheetFormatPr defaultColWidth="8.875" defaultRowHeight="15"/>
  <cols>
    <col min="1" max="1" width="1" style="7" customWidth="1"/>
    <col min="2" max="2" width="4.875" style="7" customWidth="1"/>
    <col min="3" max="3" width="11" style="7" bestFit="1" customWidth="1"/>
    <col min="4" max="4" width="9.75" style="32" bestFit="1" customWidth="1"/>
    <col min="5" max="5" width="31.125" style="35" bestFit="1" customWidth="1"/>
    <col min="6" max="6" width="7.5" style="32" customWidth="1"/>
    <col min="7" max="7" width="10.375" style="32" bestFit="1" customWidth="1"/>
    <col min="8" max="9" width="10.375" style="32" customWidth="1"/>
    <col min="10" max="35" width="2.375" style="32" customWidth="1"/>
    <col min="36" max="36" width="42.25" style="32" customWidth="1"/>
    <col min="37" max="37" width="27.375" style="32" customWidth="1"/>
    <col min="38" max="16384" width="8.875" style="7"/>
  </cols>
  <sheetData>
    <row r="2" spans="2:37" ht="18.75">
      <c r="B2" s="224" t="s">
        <v>259</v>
      </c>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row>
    <row r="3" spans="2:37" s="5" customFormat="1">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row>
    <row r="4" spans="2:37">
      <c r="B4" s="233" t="s">
        <v>260</v>
      </c>
      <c r="C4" s="228" t="s">
        <v>261</v>
      </c>
      <c r="D4" s="228" t="s">
        <v>262</v>
      </c>
      <c r="E4" s="228" t="s">
        <v>263</v>
      </c>
      <c r="F4" s="228" t="s">
        <v>264</v>
      </c>
      <c r="G4" s="236" t="s">
        <v>905</v>
      </c>
      <c r="H4" s="228" t="s">
        <v>895</v>
      </c>
      <c r="I4" s="236" t="s">
        <v>265</v>
      </c>
      <c r="J4" s="239" t="s">
        <v>87</v>
      </c>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28" t="s">
        <v>266</v>
      </c>
      <c r="AK4" s="228" t="s">
        <v>267</v>
      </c>
    </row>
    <row r="5" spans="2:37">
      <c r="B5" s="234"/>
      <c r="C5" s="229"/>
      <c r="D5" s="229"/>
      <c r="E5" s="229"/>
      <c r="F5" s="229"/>
      <c r="G5" s="229"/>
      <c r="H5" s="229"/>
      <c r="I5" s="237"/>
      <c r="J5" s="231" t="s">
        <v>268</v>
      </c>
      <c r="K5" s="231"/>
      <c r="L5" s="231"/>
      <c r="M5" s="231"/>
      <c r="N5" s="231"/>
      <c r="O5" s="231"/>
      <c r="P5" s="231"/>
      <c r="Q5" s="231"/>
      <c r="R5" s="231"/>
      <c r="S5" s="231"/>
      <c r="T5" s="231"/>
      <c r="U5" s="231"/>
      <c r="V5" s="231"/>
      <c r="W5" s="232" t="s">
        <v>88</v>
      </c>
      <c r="X5" s="232"/>
      <c r="Y5" s="232"/>
      <c r="Z5" s="232"/>
      <c r="AA5" s="232"/>
      <c r="AB5" s="232"/>
      <c r="AC5" s="232"/>
      <c r="AD5" s="232"/>
      <c r="AE5" s="232"/>
      <c r="AF5" s="232"/>
      <c r="AG5" s="232"/>
      <c r="AH5" s="232"/>
      <c r="AI5" s="232"/>
      <c r="AJ5" s="229"/>
      <c r="AK5" s="229"/>
    </row>
    <row r="6" spans="2:37" ht="51">
      <c r="B6" s="235"/>
      <c r="C6" s="230"/>
      <c r="D6" s="230"/>
      <c r="E6" s="230"/>
      <c r="F6" s="230"/>
      <c r="G6" s="230"/>
      <c r="H6" s="230"/>
      <c r="I6" s="238"/>
      <c r="J6" s="51" t="s">
        <v>269</v>
      </c>
      <c r="K6" s="51" t="s">
        <v>270</v>
      </c>
      <c r="L6" s="51" t="s">
        <v>271</v>
      </c>
      <c r="M6" s="51" t="s">
        <v>272</v>
      </c>
      <c r="N6" s="51" t="s">
        <v>273</v>
      </c>
      <c r="O6" s="51" t="s">
        <v>274</v>
      </c>
      <c r="P6" s="51" t="s">
        <v>275</v>
      </c>
      <c r="Q6" s="51" t="s">
        <v>89</v>
      </c>
      <c r="R6" s="51" t="s">
        <v>276</v>
      </c>
      <c r="S6" s="51" t="s">
        <v>277</v>
      </c>
      <c r="T6" s="51" t="s">
        <v>278</v>
      </c>
      <c r="U6" s="51" t="s">
        <v>279</v>
      </c>
      <c r="V6" s="51" t="s">
        <v>280</v>
      </c>
      <c r="W6" s="52" t="s">
        <v>111</v>
      </c>
      <c r="X6" s="52" t="s">
        <v>112</v>
      </c>
      <c r="Y6" s="52" t="s">
        <v>113</v>
      </c>
      <c r="Z6" s="52" t="s">
        <v>114</v>
      </c>
      <c r="AA6" s="52" t="s">
        <v>115</v>
      </c>
      <c r="AB6" s="52" t="s">
        <v>116</v>
      </c>
      <c r="AC6" s="52" t="s">
        <v>117</v>
      </c>
      <c r="AD6" s="52" t="s">
        <v>89</v>
      </c>
      <c r="AE6" s="52" t="s">
        <v>118</v>
      </c>
      <c r="AF6" s="52" t="s">
        <v>119</v>
      </c>
      <c r="AG6" s="52" t="s">
        <v>120</v>
      </c>
      <c r="AH6" s="52" t="s">
        <v>121</v>
      </c>
      <c r="AI6" s="52" t="s">
        <v>122</v>
      </c>
      <c r="AJ6" s="230"/>
      <c r="AK6" s="230"/>
    </row>
    <row r="7" spans="2:37">
      <c r="B7" s="53">
        <v>1</v>
      </c>
      <c r="C7" s="34" t="s">
        <v>281</v>
      </c>
      <c r="D7" s="54" t="s">
        <v>282</v>
      </c>
      <c r="E7" s="55" t="s">
        <v>283</v>
      </c>
      <c r="F7" s="50"/>
      <c r="G7" s="50"/>
      <c r="H7" s="50" t="s">
        <v>896</v>
      </c>
      <c r="I7" s="50"/>
      <c r="J7" s="56"/>
      <c r="K7" s="56"/>
      <c r="L7" s="56"/>
      <c r="M7" s="56"/>
      <c r="N7" s="56"/>
      <c r="O7" s="56"/>
      <c r="P7" s="56"/>
      <c r="Q7" s="56"/>
      <c r="R7" s="56"/>
      <c r="S7" s="56"/>
      <c r="T7" s="56"/>
      <c r="U7" s="56"/>
      <c r="V7" s="56"/>
      <c r="W7" s="56"/>
      <c r="X7" s="56"/>
      <c r="Y7" s="56"/>
      <c r="Z7" s="56"/>
      <c r="AA7" s="56"/>
      <c r="AB7" s="56"/>
      <c r="AC7" s="56"/>
      <c r="AD7" s="56"/>
      <c r="AE7" s="56"/>
      <c r="AF7" s="56"/>
      <c r="AG7" s="56"/>
      <c r="AH7" s="56"/>
      <c r="AI7" s="56"/>
      <c r="AJ7" s="50"/>
      <c r="AK7" s="50"/>
    </row>
    <row r="8" spans="2:37">
      <c r="B8" s="53">
        <v>2</v>
      </c>
      <c r="C8" s="57" t="s">
        <v>284</v>
      </c>
      <c r="D8" s="54" t="s">
        <v>282</v>
      </c>
      <c r="E8" s="55" t="s">
        <v>285</v>
      </c>
      <c r="F8" s="50"/>
      <c r="G8" s="50"/>
      <c r="H8" s="50" t="s">
        <v>897</v>
      </c>
      <c r="I8" s="50"/>
      <c r="J8" s="56"/>
      <c r="K8" s="56"/>
      <c r="L8" s="56"/>
      <c r="M8" s="56"/>
      <c r="N8" s="56"/>
      <c r="O8" s="56"/>
      <c r="P8" s="56"/>
      <c r="Q8" s="56"/>
      <c r="R8" s="56"/>
      <c r="S8" s="56"/>
      <c r="T8" s="56"/>
      <c r="U8" s="56"/>
      <c r="V8" s="56"/>
      <c r="W8" s="56"/>
      <c r="X8" s="56"/>
      <c r="Y8" s="56"/>
      <c r="Z8" s="56"/>
      <c r="AA8" s="56"/>
      <c r="AB8" s="56"/>
      <c r="AC8" s="56"/>
      <c r="AD8" s="56"/>
      <c r="AE8" s="56"/>
      <c r="AF8" s="56"/>
      <c r="AG8" s="56"/>
      <c r="AH8" s="56"/>
      <c r="AI8" s="56"/>
      <c r="AJ8" s="50"/>
      <c r="AK8" s="50"/>
    </row>
    <row r="9" spans="2:37">
      <c r="B9" s="53">
        <v>3</v>
      </c>
      <c r="C9" s="57" t="s">
        <v>286</v>
      </c>
      <c r="D9" s="54" t="s">
        <v>282</v>
      </c>
      <c r="E9" s="55" t="s">
        <v>287</v>
      </c>
      <c r="F9" s="50"/>
      <c r="G9" s="50"/>
      <c r="H9" s="50" t="s">
        <v>897</v>
      </c>
      <c r="I9" s="50"/>
      <c r="J9" s="56"/>
      <c r="K9" s="56"/>
      <c r="L9" s="56"/>
      <c r="M9" s="56"/>
      <c r="N9" s="56"/>
      <c r="O9" s="56"/>
      <c r="P9" s="56"/>
      <c r="Q9" s="56"/>
      <c r="R9" s="56"/>
      <c r="S9" s="56"/>
      <c r="T9" s="56"/>
      <c r="U9" s="56"/>
      <c r="V9" s="56"/>
      <c r="W9" s="56"/>
      <c r="X9" s="56"/>
      <c r="Y9" s="56"/>
      <c r="Z9" s="56"/>
      <c r="AA9" s="56"/>
      <c r="AB9" s="56"/>
      <c r="AC9" s="56"/>
      <c r="AD9" s="56"/>
      <c r="AE9" s="56"/>
      <c r="AF9" s="56"/>
      <c r="AG9" s="56"/>
      <c r="AH9" s="56"/>
      <c r="AI9" s="56"/>
      <c r="AJ9" s="50"/>
      <c r="AK9" s="50"/>
    </row>
    <row r="10" spans="2:37" ht="25.5">
      <c r="B10" s="65">
        <v>4</v>
      </c>
      <c r="C10" s="66" t="s">
        <v>288</v>
      </c>
      <c r="D10" s="67" t="s">
        <v>289</v>
      </c>
      <c r="E10" s="55" t="s">
        <v>538</v>
      </c>
      <c r="F10" s="58" t="s">
        <v>290</v>
      </c>
      <c r="G10" s="58" t="s">
        <v>906</v>
      </c>
      <c r="H10" s="58" t="s">
        <v>907</v>
      </c>
      <c r="I10" s="58" t="s">
        <v>291</v>
      </c>
      <c r="J10" s="68"/>
      <c r="K10" s="68"/>
      <c r="L10" s="68"/>
      <c r="M10" s="68"/>
      <c r="N10" s="68"/>
      <c r="O10" s="68" t="s">
        <v>107</v>
      </c>
      <c r="P10" s="68"/>
      <c r="Q10" s="68"/>
      <c r="R10" s="68"/>
      <c r="S10" s="68"/>
      <c r="T10" s="68"/>
      <c r="U10" s="68"/>
      <c r="V10" s="68"/>
      <c r="W10" s="68"/>
      <c r="X10" s="68"/>
      <c r="Y10" s="68"/>
      <c r="Z10" s="68"/>
      <c r="AA10" s="68"/>
      <c r="AB10" s="68"/>
      <c r="AC10" s="68"/>
      <c r="AD10" s="68"/>
      <c r="AE10" s="68"/>
      <c r="AF10" s="68"/>
      <c r="AG10" s="68"/>
      <c r="AH10" s="68" t="s">
        <v>108</v>
      </c>
      <c r="AI10" s="68"/>
      <c r="AJ10" s="114" t="s">
        <v>292</v>
      </c>
      <c r="AK10" s="56"/>
    </row>
    <row r="11" spans="2:37" ht="25.5">
      <c r="B11" s="65">
        <v>5</v>
      </c>
      <c r="C11" s="66"/>
      <c r="D11" s="67" t="s">
        <v>293</v>
      </c>
      <c r="E11" s="55" t="s">
        <v>294</v>
      </c>
      <c r="F11" s="58" t="s">
        <v>295</v>
      </c>
      <c r="G11" s="58" t="s">
        <v>908</v>
      </c>
      <c r="H11" s="58" t="s">
        <v>898</v>
      </c>
      <c r="I11" s="58" t="s">
        <v>291</v>
      </c>
      <c r="J11" s="68"/>
      <c r="K11" s="68"/>
      <c r="L11" s="68"/>
      <c r="M11" s="68"/>
      <c r="N11" s="68"/>
      <c r="O11" s="68" t="s">
        <v>107</v>
      </c>
      <c r="P11" s="68"/>
      <c r="Q11" s="68"/>
      <c r="R11" s="68"/>
      <c r="S11" s="68"/>
      <c r="T11" s="68"/>
      <c r="U11" s="68"/>
      <c r="V11" s="68"/>
      <c r="W11" s="68"/>
      <c r="X11" s="68"/>
      <c r="Y11" s="68"/>
      <c r="Z11" s="68"/>
      <c r="AA11" s="68"/>
      <c r="AB11" s="68"/>
      <c r="AC11" s="68"/>
      <c r="AD11" s="68"/>
      <c r="AE11" s="68"/>
      <c r="AF11" s="68"/>
      <c r="AG11" s="68"/>
      <c r="AH11" s="68" t="s">
        <v>108</v>
      </c>
      <c r="AI11" s="68"/>
      <c r="AJ11" s="114" t="s">
        <v>296</v>
      </c>
      <c r="AK11" s="56"/>
    </row>
    <row r="12" spans="2:37" ht="25.5">
      <c r="B12" s="65">
        <v>7</v>
      </c>
      <c r="C12" s="66"/>
      <c r="D12" s="67" t="s">
        <v>703</v>
      </c>
      <c r="E12" s="55" t="s">
        <v>620</v>
      </c>
      <c r="F12" s="58" t="s">
        <v>298</v>
      </c>
      <c r="G12" s="58" t="s">
        <v>908</v>
      </c>
      <c r="H12" s="58" t="s">
        <v>898</v>
      </c>
      <c r="I12" s="58" t="s">
        <v>291</v>
      </c>
      <c r="J12" s="68"/>
      <c r="K12" s="68"/>
      <c r="L12" s="68"/>
      <c r="M12" s="68"/>
      <c r="N12" s="68"/>
      <c r="O12" s="68" t="s">
        <v>107</v>
      </c>
      <c r="P12" s="68"/>
      <c r="Q12" s="68"/>
      <c r="R12" s="68"/>
      <c r="S12" s="68"/>
      <c r="T12" s="68"/>
      <c r="U12" s="68"/>
      <c r="V12" s="68"/>
      <c r="W12" s="68"/>
      <c r="X12" s="68"/>
      <c r="Y12" s="68"/>
      <c r="Z12" s="68"/>
      <c r="AA12" s="68"/>
      <c r="AB12" s="68"/>
      <c r="AC12" s="68"/>
      <c r="AD12" s="68"/>
      <c r="AE12" s="68"/>
      <c r="AF12" s="68"/>
      <c r="AG12" s="68"/>
      <c r="AH12" s="68" t="s">
        <v>108</v>
      </c>
      <c r="AI12" s="68"/>
      <c r="AJ12" s="114" t="s">
        <v>621</v>
      </c>
      <c r="AK12" s="50"/>
    </row>
    <row r="13" spans="2:37" ht="25.5">
      <c r="B13" s="65">
        <v>8</v>
      </c>
      <c r="C13" s="66"/>
      <c r="D13" s="67" t="s">
        <v>297</v>
      </c>
      <c r="E13" s="55" t="s">
        <v>300</v>
      </c>
      <c r="F13" s="58" t="s">
        <v>301</v>
      </c>
      <c r="G13" s="58" t="s">
        <v>906</v>
      </c>
      <c r="H13" s="58" t="s">
        <v>899</v>
      </c>
      <c r="I13" s="58" t="s">
        <v>291</v>
      </c>
      <c r="J13" s="68"/>
      <c r="K13" s="68"/>
      <c r="L13" s="68"/>
      <c r="M13" s="68"/>
      <c r="N13" s="68"/>
      <c r="O13" s="68" t="s">
        <v>107</v>
      </c>
      <c r="P13" s="68"/>
      <c r="Q13" s="68"/>
      <c r="R13" s="68"/>
      <c r="S13" s="68"/>
      <c r="T13" s="68"/>
      <c r="U13" s="68"/>
      <c r="V13" s="68"/>
      <c r="W13" s="68"/>
      <c r="X13" s="68"/>
      <c r="Y13" s="68"/>
      <c r="Z13" s="68"/>
      <c r="AA13" s="68"/>
      <c r="AB13" s="68"/>
      <c r="AC13" s="68"/>
      <c r="AD13" s="68"/>
      <c r="AE13" s="68"/>
      <c r="AF13" s="68"/>
      <c r="AG13" s="68"/>
      <c r="AH13" s="68" t="s">
        <v>108</v>
      </c>
      <c r="AI13" s="68"/>
      <c r="AJ13" s="114" t="s">
        <v>302</v>
      </c>
      <c r="AK13" s="50"/>
    </row>
    <row r="14" spans="2:37" ht="25.5">
      <c r="B14" s="65">
        <v>9</v>
      </c>
      <c r="C14" s="66"/>
      <c r="D14" s="67" t="s">
        <v>299</v>
      </c>
      <c r="E14" s="55" t="s">
        <v>304</v>
      </c>
      <c r="F14" s="58" t="s">
        <v>305</v>
      </c>
      <c r="G14" s="58" t="s">
        <v>908</v>
      </c>
      <c r="H14" s="58" t="s">
        <v>898</v>
      </c>
      <c r="I14" s="58" t="s">
        <v>291</v>
      </c>
      <c r="J14" s="68"/>
      <c r="K14" s="68"/>
      <c r="L14" s="68"/>
      <c r="M14" s="68"/>
      <c r="N14" s="68"/>
      <c r="O14" s="68" t="s">
        <v>107</v>
      </c>
      <c r="P14" s="68"/>
      <c r="Q14" s="68"/>
      <c r="R14" s="68"/>
      <c r="S14" s="68"/>
      <c r="T14" s="68"/>
      <c r="U14" s="68"/>
      <c r="V14" s="68"/>
      <c r="W14" s="68"/>
      <c r="X14" s="68"/>
      <c r="Y14" s="68"/>
      <c r="Z14" s="68"/>
      <c r="AA14" s="68"/>
      <c r="AB14" s="68"/>
      <c r="AC14" s="68"/>
      <c r="AD14" s="68"/>
      <c r="AE14" s="68"/>
      <c r="AF14" s="68"/>
      <c r="AG14" s="68"/>
      <c r="AH14" s="68" t="s">
        <v>108</v>
      </c>
      <c r="AI14" s="68"/>
      <c r="AJ14" s="114" t="s">
        <v>306</v>
      </c>
      <c r="AK14" s="50"/>
    </row>
    <row r="15" spans="2:37" ht="38.25">
      <c r="B15" s="65">
        <v>10</v>
      </c>
      <c r="C15" s="66"/>
      <c r="D15" s="67" t="s">
        <v>303</v>
      </c>
      <c r="E15" s="55" t="s">
        <v>308</v>
      </c>
      <c r="F15" s="58" t="s">
        <v>309</v>
      </c>
      <c r="G15" s="58" t="s">
        <v>906</v>
      </c>
      <c r="H15" s="58" t="s">
        <v>907</v>
      </c>
      <c r="I15" s="58" t="s">
        <v>291</v>
      </c>
      <c r="J15" s="68"/>
      <c r="K15" s="68"/>
      <c r="L15" s="68"/>
      <c r="M15" s="68"/>
      <c r="N15" s="68"/>
      <c r="O15" s="68" t="s">
        <v>107</v>
      </c>
      <c r="P15" s="68"/>
      <c r="Q15" s="68"/>
      <c r="R15" s="68"/>
      <c r="S15" s="68"/>
      <c r="T15" s="68"/>
      <c r="U15" s="68"/>
      <c r="V15" s="68"/>
      <c r="W15" s="68"/>
      <c r="X15" s="68"/>
      <c r="Y15" s="68"/>
      <c r="Z15" s="68"/>
      <c r="AA15" s="68"/>
      <c r="AB15" s="68"/>
      <c r="AC15" s="68"/>
      <c r="AD15" s="68"/>
      <c r="AE15" s="68"/>
      <c r="AF15" s="68"/>
      <c r="AG15" s="68"/>
      <c r="AH15" s="68" t="s">
        <v>108</v>
      </c>
      <c r="AI15" s="68"/>
      <c r="AJ15" s="114" t="s">
        <v>540</v>
      </c>
      <c r="AK15" s="50"/>
    </row>
    <row r="16" spans="2:37" ht="25.5">
      <c r="B16" s="65">
        <v>11</v>
      </c>
      <c r="C16" s="66"/>
      <c r="D16" s="67" t="s">
        <v>307</v>
      </c>
      <c r="E16" s="55" t="s">
        <v>311</v>
      </c>
      <c r="F16" s="58" t="s">
        <v>312</v>
      </c>
      <c r="G16" s="58" t="s">
        <v>906</v>
      </c>
      <c r="H16" s="58" t="s">
        <v>907</v>
      </c>
      <c r="I16" s="58" t="s">
        <v>291</v>
      </c>
      <c r="J16" s="68"/>
      <c r="K16" s="68"/>
      <c r="L16" s="68"/>
      <c r="M16" s="68"/>
      <c r="N16" s="68"/>
      <c r="O16" s="68" t="s">
        <v>107</v>
      </c>
      <c r="P16" s="68"/>
      <c r="Q16" s="68"/>
      <c r="R16" s="68"/>
      <c r="S16" s="68"/>
      <c r="T16" s="68"/>
      <c r="U16" s="68"/>
      <c r="V16" s="68"/>
      <c r="W16" s="68"/>
      <c r="X16" s="68"/>
      <c r="Y16" s="68"/>
      <c r="Z16" s="68"/>
      <c r="AA16" s="68"/>
      <c r="AB16" s="68"/>
      <c r="AC16" s="68"/>
      <c r="AD16" s="68"/>
      <c r="AE16" s="68"/>
      <c r="AF16" s="68"/>
      <c r="AG16" s="68"/>
      <c r="AH16" s="68" t="s">
        <v>108</v>
      </c>
      <c r="AI16" s="68"/>
      <c r="AJ16" s="114" t="s">
        <v>541</v>
      </c>
      <c r="AK16" s="59"/>
    </row>
    <row r="17" spans="2:37" ht="25.5">
      <c r="B17" s="65">
        <v>14</v>
      </c>
      <c r="C17" s="66"/>
      <c r="D17" s="67" t="s">
        <v>310</v>
      </c>
      <c r="E17" s="55" t="s">
        <v>315</v>
      </c>
      <c r="F17" s="58" t="s">
        <v>316</v>
      </c>
      <c r="G17" s="58" t="s">
        <v>906</v>
      </c>
      <c r="H17" s="58" t="s">
        <v>907</v>
      </c>
      <c r="I17" s="58" t="s">
        <v>291</v>
      </c>
      <c r="J17" s="68"/>
      <c r="K17" s="68"/>
      <c r="L17" s="68"/>
      <c r="M17" s="68"/>
      <c r="N17" s="68"/>
      <c r="O17" s="68" t="s">
        <v>107</v>
      </c>
      <c r="P17" s="68"/>
      <c r="Q17" s="68"/>
      <c r="R17" s="68"/>
      <c r="S17" s="68"/>
      <c r="T17" s="68"/>
      <c r="U17" s="68"/>
      <c r="V17" s="68"/>
      <c r="W17" s="68"/>
      <c r="X17" s="68"/>
      <c r="Y17" s="68"/>
      <c r="Z17" s="68"/>
      <c r="AA17" s="68"/>
      <c r="AB17" s="68"/>
      <c r="AC17" s="68"/>
      <c r="AD17" s="68"/>
      <c r="AE17" s="68"/>
      <c r="AF17" s="68"/>
      <c r="AG17" s="68"/>
      <c r="AH17" s="68" t="s">
        <v>108</v>
      </c>
      <c r="AI17" s="68"/>
      <c r="AJ17" s="114" t="s">
        <v>542</v>
      </c>
      <c r="AK17" s="69"/>
    </row>
    <row r="18" spans="2:37" ht="51">
      <c r="B18" s="65">
        <v>17</v>
      </c>
      <c r="C18" s="66" t="s">
        <v>317</v>
      </c>
      <c r="D18" s="67" t="s">
        <v>313</v>
      </c>
      <c r="E18" s="55" t="s">
        <v>318</v>
      </c>
      <c r="F18" s="58" t="s">
        <v>319</v>
      </c>
      <c r="G18" s="58" t="s">
        <v>908</v>
      </c>
      <c r="H18" s="58" t="s">
        <v>898</v>
      </c>
      <c r="I18" s="58" t="s">
        <v>291</v>
      </c>
      <c r="J18" s="68"/>
      <c r="K18" s="68"/>
      <c r="L18" s="68"/>
      <c r="M18" s="68"/>
      <c r="N18" s="68"/>
      <c r="O18" s="68" t="s">
        <v>107</v>
      </c>
      <c r="P18" s="68"/>
      <c r="Q18" s="68"/>
      <c r="R18" s="68"/>
      <c r="S18" s="68"/>
      <c r="T18" s="68"/>
      <c r="U18" s="68"/>
      <c r="V18" s="68"/>
      <c r="W18" s="68"/>
      <c r="X18" s="68"/>
      <c r="Y18" s="68"/>
      <c r="Z18" s="68"/>
      <c r="AA18" s="68"/>
      <c r="AB18" s="68"/>
      <c r="AC18" s="68"/>
      <c r="AD18" s="68"/>
      <c r="AE18" s="68"/>
      <c r="AF18" s="68"/>
      <c r="AG18" s="68"/>
      <c r="AH18" s="68" t="s">
        <v>108</v>
      </c>
      <c r="AI18" s="68"/>
      <c r="AJ18" s="114" t="s">
        <v>702</v>
      </c>
      <c r="AK18" s="58"/>
    </row>
    <row r="19" spans="2:37" ht="25.5">
      <c r="B19" s="65">
        <v>18</v>
      </c>
      <c r="C19" s="66"/>
      <c r="D19" s="67" t="s">
        <v>704</v>
      </c>
      <c r="E19" s="55" t="s">
        <v>320</v>
      </c>
      <c r="F19" s="58" t="s">
        <v>321</v>
      </c>
      <c r="G19" s="58" t="s">
        <v>908</v>
      </c>
      <c r="H19" s="58" t="s">
        <v>898</v>
      </c>
      <c r="I19" s="58" t="s">
        <v>291</v>
      </c>
      <c r="J19" s="68"/>
      <c r="K19" s="68"/>
      <c r="L19" s="68"/>
      <c r="M19" s="68"/>
      <c r="N19" s="68"/>
      <c r="O19" s="68" t="s">
        <v>107</v>
      </c>
      <c r="P19" s="68"/>
      <c r="Q19" s="68"/>
      <c r="R19" s="68"/>
      <c r="S19" s="68"/>
      <c r="T19" s="68"/>
      <c r="U19" s="68"/>
      <c r="V19" s="68"/>
      <c r="W19" s="68"/>
      <c r="X19" s="68"/>
      <c r="Y19" s="68"/>
      <c r="Z19" s="68"/>
      <c r="AA19" s="68"/>
      <c r="AB19" s="68"/>
      <c r="AC19" s="68"/>
      <c r="AD19" s="68"/>
      <c r="AE19" s="68"/>
      <c r="AF19" s="68"/>
      <c r="AG19" s="68"/>
      <c r="AH19" s="68" t="s">
        <v>108</v>
      </c>
      <c r="AI19" s="68"/>
      <c r="AJ19" s="114" t="s">
        <v>543</v>
      </c>
      <c r="AK19" s="58"/>
    </row>
    <row r="20" spans="2:37" ht="25.5">
      <c r="B20" s="65">
        <v>19</v>
      </c>
      <c r="C20" s="66"/>
      <c r="D20" s="67" t="s">
        <v>314</v>
      </c>
      <c r="E20" s="55" t="s">
        <v>322</v>
      </c>
      <c r="F20" s="58" t="s">
        <v>321</v>
      </c>
      <c r="G20" s="58" t="s">
        <v>908</v>
      </c>
      <c r="H20" s="58" t="s">
        <v>898</v>
      </c>
      <c r="I20" s="58" t="s">
        <v>291</v>
      </c>
      <c r="J20" s="68"/>
      <c r="K20" s="68"/>
      <c r="L20" s="68"/>
      <c r="M20" s="68"/>
      <c r="N20" s="68"/>
      <c r="O20" s="68" t="s">
        <v>107</v>
      </c>
      <c r="P20" s="68"/>
      <c r="Q20" s="68"/>
      <c r="R20" s="68"/>
      <c r="S20" s="68"/>
      <c r="T20" s="68"/>
      <c r="U20" s="68"/>
      <c r="V20" s="68"/>
      <c r="W20" s="68"/>
      <c r="X20" s="68"/>
      <c r="Y20" s="68"/>
      <c r="Z20" s="68"/>
      <c r="AA20" s="68"/>
      <c r="AB20" s="68"/>
      <c r="AC20" s="68"/>
      <c r="AD20" s="68"/>
      <c r="AE20" s="68"/>
      <c r="AF20" s="68"/>
      <c r="AG20" s="68"/>
      <c r="AH20" s="68" t="s">
        <v>108</v>
      </c>
      <c r="AI20" s="68"/>
      <c r="AJ20" s="114" t="s">
        <v>544</v>
      </c>
      <c r="AK20" s="58"/>
    </row>
    <row r="21" spans="2:37" ht="25.5">
      <c r="B21" s="65">
        <v>20</v>
      </c>
      <c r="C21" s="66"/>
      <c r="D21" s="67" t="s">
        <v>1032</v>
      </c>
      <c r="E21" s="55" t="s">
        <v>1055</v>
      </c>
      <c r="F21" s="58" t="s">
        <v>321</v>
      </c>
      <c r="G21" s="58" t="s">
        <v>908</v>
      </c>
      <c r="H21" s="58" t="s">
        <v>898</v>
      </c>
      <c r="I21" s="58" t="s">
        <v>291</v>
      </c>
      <c r="J21" s="68"/>
      <c r="K21" s="68"/>
      <c r="L21" s="68"/>
      <c r="M21" s="68"/>
      <c r="N21" s="68"/>
      <c r="O21" s="68" t="s">
        <v>107</v>
      </c>
      <c r="P21" s="68"/>
      <c r="Q21" s="68"/>
      <c r="R21" s="68"/>
      <c r="S21" s="68"/>
      <c r="T21" s="68"/>
      <c r="U21" s="68"/>
      <c r="V21" s="68"/>
      <c r="W21" s="68"/>
      <c r="X21" s="68"/>
      <c r="Y21" s="68"/>
      <c r="Z21" s="68"/>
      <c r="AA21" s="68"/>
      <c r="AB21" s="68"/>
      <c r="AC21" s="68"/>
      <c r="AD21" s="68"/>
      <c r="AE21" s="68"/>
      <c r="AF21" s="68"/>
      <c r="AG21" s="68"/>
      <c r="AH21" s="68" t="s">
        <v>108</v>
      </c>
      <c r="AI21" s="68"/>
      <c r="AJ21" s="114" t="s">
        <v>543</v>
      </c>
      <c r="AK21" s="58"/>
    </row>
    <row r="22" spans="2:37" ht="25.5">
      <c r="B22" s="65">
        <v>21</v>
      </c>
      <c r="C22" s="66"/>
      <c r="D22" s="67" t="s">
        <v>1033</v>
      </c>
      <c r="E22" s="55" t="s">
        <v>1031</v>
      </c>
      <c r="F22" s="58" t="s">
        <v>321</v>
      </c>
      <c r="G22" s="58" t="s">
        <v>908</v>
      </c>
      <c r="H22" s="58" t="s">
        <v>898</v>
      </c>
      <c r="I22" s="58" t="s">
        <v>291</v>
      </c>
      <c r="J22" s="68"/>
      <c r="K22" s="68"/>
      <c r="L22" s="68"/>
      <c r="M22" s="68"/>
      <c r="N22" s="68"/>
      <c r="O22" s="68" t="s">
        <v>107</v>
      </c>
      <c r="P22" s="68"/>
      <c r="Q22" s="68"/>
      <c r="R22" s="68"/>
      <c r="S22" s="68"/>
      <c r="T22" s="68"/>
      <c r="U22" s="68"/>
      <c r="V22" s="68"/>
      <c r="W22" s="68"/>
      <c r="X22" s="68"/>
      <c r="Y22" s="68"/>
      <c r="Z22" s="68"/>
      <c r="AA22" s="68"/>
      <c r="AB22" s="68"/>
      <c r="AC22" s="68"/>
      <c r="AD22" s="68"/>
      <c r="AE22" s="68"/>
      <c r="AF22" s="68"/>
      <c r="AG22" s="68"/>
      <c r="AH22" s="68" t="s">
        <v>108</v>
      </c>
      <c r="AI22" s="68"/>
      <c r="AJ22" s="114" t="s">
        <v>544</v>
      </c>
      <c r="AK22" s="58"/>
    </row>
    <row r="23" spans="2:37" ht="51">
      <c r="B23" s="65">
        <v>22</v>
      </c>
      <c r="C23" s="66"/>
      <c r="D23" s="67" t="s">
        <v>1034</v>
      </c>
      <c r="E23" s="55" t="s">
        <v>323</v>
      </c>
      <c r="F23" s="58" t="s">
        <v>324</v>
      </c>
      <c r="G23" s="58" t="s">
        <v>908</v>
      </c>
      <c r="H23" s="58" t="s">
        <v>898</v>
      </c>
      <c r="I23" s="58" t="s">
        <v>291</v>
      </c>
      <c r="J23" s="68"/>
      <c r="K23" s="68"/>
      <c r="L23" s="68"/>
      <c r="M23" s="68"/>
      <c r="N23" s="68"/>
      <c r="O23" s="68" t="s">
        <v>107</v>
      </c>
      <c r="P23" s="68"/>
      <c r="Q23" s="68"/>
      <c r="R23" s="68"/>
      <c r="S23" s="68"/>
      <c r="T23" s="68"/>
      <c r="U23" s="68"/>
      <c r="V23" s="68"/>
      <c r="W23" s="68"/>
      <c r="X23" s="68"/>
      <c r="Y23" s="68"/>
      <c r="Z23" s="68"/>
      <c r="AA23" s="68"/>
      <c r="AB23" s="68"/>
      <c r="AC23" s="68"/>
      <c r="AD23" s="68"/>
      <c r="AE23" s="68"/>
      <c r="AF23" s="68"/>
      <c r="AG23" s="68"/>
      <c r="AH23" s="68" t="s">
        <v>108</v>
      </c>
      <c r="AI23" s="68"/>
      <c r="AJ23" s="114" t="s">
        <v>545</v>
      </c>
      <c r="AK23" s="58"/>
    </row>
    <row r="24" spans="2:37" ht="25.5">
      <c r="B24" s="65">
        <v>23</v>
      </c>
      <c r="C24" s="66"/>
      <c r="D24" s="67" t="s">
        <v>1035</v>
      </c>
      <c r="E24" s="55" t="s">
        <v>325</v>
      </c>
      <c r="F24" s="58" t="s">
        <v>326</v>
      </c>
      <c r="G24" s="58" t="s">
        <v>908</v>
      </c>
      <c r="H24" s="58" t="s">
        <v>898</v>
      </c>
      <c r="I24" s="58" t="s">
        <v>291</v>
      </c>
      <c r="J24" s="68"/>
      <c r="K24" s="68"/>
      <c r="L24" s="68"/>
      <c r="M24" s="68"/>
      <c r="N24" s="68"/>
      <c r="O24" s="68" t="s">
        <v>107</v>
      </c>
      <c r="P24" s="68"/>
      <c r="Q24" s="68"/>
      <c r="R24" s="68"/>
      <c r="S24" s="68"/>
      <c r="T24" s="68"/>
      <c r="U24" s="68"/>
      <c r="V24" s="68"/>
      <c r="W24" s="68"/>
      <c r="X24" s="68"/>
      <c r="Y24" s="68"/>
      <c r="Z24" s="68"/>
      <c r="AA24" s="68"/>
      <c r="AB24" s="68"/>
      <c r="AC24" s="68"/>
      <c r="AD24" s="68"/>
      <c r="AE24" s="68"/>
      <c r="AF24" s="68"/>
      <c r="AG24" s="68"/>
      <c r="AH24" s="68" t="s">
        <v>108</v>
      </c>
      <c r="AI24" s="68"/>
      <c r="AJ24" s="114" t="s">
        <v>546</v>
      </c>
      <c r="AK24" s="58"/>
    </row>
    <row r="25" spans="2:37" ht="25.5">
      <c r="B25" s="65">
        <v>24</v>
      </c>
      <c r="C25" s="66"/>
      <c r="D25" s="67" t="s">
        <v>1036</v>
      </c>
      <c r="E25" s="55" t="s">
        <v>327</v>
      </c>
      <c r="F25" s="58" t="s">
        <v>326</v>
      </c>
      <c r="G25" s="58" t="s">
        <v>908</v>
      </c>
      <c r="H25" s="58" t="s">
        <v>909</v>
      </c>
      <c r="I25" s="58" t="s">
        <v>291</v>
      </c>
      <c r="J25" s="68"/>
      <c r="K25" s="68"/>
      <c r="L25" s="68"/>
      <c r="M25" s="68"/>
      <c r="N25" s="68"/>
      <c r="O25" s="68" t="s">
        <v>107</v>
      </c>
      <c r="P25" s="68"/>
      <c r="Q25" s="68"/>
      <c r="R25" s="68"/>
      <c r="S25" s="68"/>
      <c r="T25" s="68"/>
      <c r="U25" s="68"/>
      <c r="V25" s="68"/>
      <c r="W25" s="68"/>
      <c r="X25" s="68"/>
      <c r="Y25" s="68"/>
      <c r="Z25" s="68"/>
      <c r="AA25" s="68"/>
      <c r="AB25" s="68"/>
      <c r="AC25" s="68"/>
      <c r="AD25" s="68"/>
      <c r="AE25" s="68"/>
      <c r="AF25" s="68"/>
      <c r="AG25" s="68"/>
      <c r="AH25" s="68" t="s">
        <v>108</v>
      </c>
      <c r="AI25" s="68"/>
      <c r="AJ25" s="114" t="s">
        <v>547</v>
      </c>
      <c r="AK25" s="58"/>
    </row>
    <row r="26" spans="2:37" ht="25.5">
      <c r="B26" s="65">
        <v>25</v>
      </c>
      <c r="C26" s="66"/>
      <c r="D26" s="67" t="s">
        <v>1037</v>
      </c>
      <c r="E26" s="55" t="s">
        <v>328</v>
      </c>
      <c r="F26" s="58" t="s">
        <v>326</v>
      </c>
      <c r="G26" s="58" t="s">
        <v>908</v>
      </c>
      <c r="H26" s="58" t="s">
        <v>909</v>
      </c>
      <c r="I26" s="58" t="s">
        <v>291</v>
      </c>
      <c r="J26" s="68"/>
      <c r="K26" s="68"/>
      <c r="L26" s="68"/>
      <c r="M26" s="68"/>
      <c r="N26" s="68"/>
      <c r="O26" s="68" t="s">
        <v>107</v>
      </c>
      <c r="P26" s="68"/>
      <c r="Q26" s="68"/>
      <c r="R26" s="68"/>
      <c r="S26" s="68"/>
      <c r="T26" s="68"/>
      <c r="U26" s="68"/>
      <c r="V26" s="68"/>
      <c r="W26" s="68"/>
      <c r="X26" s="68"/>
      <c r="Y26" s="68"/>
      <c r="Z26" s="68"/>
      <c r="AA26" s="68"/>
      <c r="AB26" s="68"/>
      <c r="AC26" s="68"/>
      <c r="AD26" s="68"/>
      <c r="AE26" s="68"/>
      <c r="AF26" s="68"/>
      <c r="AG26" s="68"/>
      <c r="AH26" s="68" t="s">
        <v>108</v>
      </c>
      <c r="AI26" s="68"/>
      <c r="AJ26" s="114" t="s">
        <v>548</v>
      </c>
      <c r="AK26" s="58"/>
    </row>
    <row r="27" spans="2:37" ht="25.5">
      <c r="B27" s="65">
        <v>26</v>
      </c>
      <c r="C27" s="66"/>
      <c r="D27" s="67" t="s">
        <v>1038</v>
      </c>
      <c r="E27" s="60" t="s">
        <v>329</v>
      </c>
      <c r="F27" s="58" t="s">
        <v>330</v>
      </c>
      <c r="G27" s="58" t="s">
        <v>906</v>
      </c>
      <c r="H27" s="58" t="s">
        <v>899</v>
      </c>
      <c r="I27" s="58" t="s">
        <v>291</v>
      </c>
      <c r="J27" s="68"/>
      <c r="K27" s="68"/>
      <c r="L27" s="68"/>
      <c r="M27" s="68"/>
      <c r="N27" s="68"/>
      <c r="O27" s="68" t="s">
        <v>107</v>
      </c>
      <c r="P27" s="68"/>
      <c r="Q27" s="68"/>
      <c r="R27" s="68"/>
      <c r="S27" s="68"/>
      <c r="T27" s="68"/>
      <c r="U27" s="68"/>
      <c r="V27" s="68"/>
      <c r="W27" s="68"/>
      <c r="X27" s="68"/>
      <c r="Y27" s="68"/>
      <c r="Z27" s="68"/>
      <c r="AA27" s="68"/>
      <c r="AB27" s="68"/>
      <c r="AC27" s="68"/>
      <c r="AD27" s="68"/>
      <c r="AE27" s="68"/>
      <c r="AF27" s="68"/>
      <c r="AG27" s="68"/>
      <c r="AH27" s="68" t="s">
        <v>108</v>
      </c>
      <c r="AI27" s="68"/>
      <c r="AJ27" s="114" t="s">
        <v>549</v>
      </c>
      <c r="AK27" s="70"/>
    </row>
    <row r="28" spans="2:37" ht="25.5">
      <c r="B28" s="65">
        <v>27</v>
      </c>
      <c r="C28" s="66"/>
      <c r="D28" s="67" t="s">
        <v>1039</v>
      </c>
      <c r="E28" s="55" t="s">
        <v>539</v>
      </c>
      <c r="F28" s="58" t="s">
        <v>332</v>
      </c>
      <c r="G28" s="58" t="s">
        <v>908</v>
      </c>
      <c r="H28" s="58" t="s">
        <v>900</v>
      </c>
      <c r="I28" s="58" t="s">
        <v>291</v>
      </c>
      <c r="J28" s="68"/>
      <c r="K28" s="68"/>
      <c r="L28" s="68"/>
      <c r="M28" s="68"/>
      <c r="N28" s="68"/>
      <c r="O28" s="68" t="s">
        <v>107</v>
      </c>
      <c r="P28" s="68"/>
      <c r="Q28" s="68"/>
      <c r="R28" s="68"/>
      <c r="S28" s="68"/>
      <c r="T28" s="68"/>
      <c r="U28" s="68"/>
      <c r="V28" s="68"/>
      <c r="W28" s="68"/>
      <c r="X28" s="68"/>
      <c r="Y28" s="68"/>
      <c r="Z28" s="68"/>
      <c r="AA28" s="68"/>
      <c r="AB28" s="68"/>
      <c r="AC28" s="68"/>
      <c r="AD28" s="68"/>
      <c r="AE28" s="68"/>
      <c r="AF28" s="68"/>
      <c r="AG28" s="68"/>
      <c r="AH28" s="68" t="s">
        <v>108</v>
      </c>
      <c r="AI28" s="68"/>
      <c r="AJ28" s="114" t="s">
        <v>550</v>
      </c>
      <c r="AK28" s="58"/>
    </row>
    <row r="29" spans="2:37" ht="25.5">
      <c r="B29" s="65">
        <v>28</v>
      </c>
      <c r="C29" s="66"/>
      <c r="D29" s="67" t="s">
        <v>1040</v>
      </c>
      <c r="E29" s="55" t="s">
        <v>769</v>
      </c>
      <c r="F29" s="58" t="s">
        <v>770</v>
      </c>
      <c r="G29" s="58" t="s">
        <v>906</v>
      </c>
      <c r="H29" s="58" t="s">
        <v>902</v>
      </c>
      <c r="I29" s="58" t="s">
        <v>771</v>
      </c>
      <c r="J29" s="68"/>
      <c r="K29" s="68"/>
      <c r="L29" s="68"/>
      <c r="M29" s="68"/>
      <c r="N29" s="68"/>
      <c r="O29" s="68" t="s">
        <v>107</v>
      </c>
      <c r="P29" s="68"/>
      <c r="Q29" s="68"/>
      <c r="R29" s="68"/>
      <c r="S29" s="68"/>
      <c r="T29" s="68"/>
      <c r="U29" s="68"/>
      <c r="V29" s="68"/>
      <c r="W29" s="68"/>
      <c r="X29" s="68"/>
      <c r="Y29" s="68"/>
      <c r="Z29" s="68"/>
      <c r="AA29" s="68"/>
      <c r="AB29" s="68"/>
      <c r="AC29" s="68"/>
      <c r="AD29" s="68"/>
      <c r="AE29" s="68"/>
      <c r="AF29" s="68"/>
      <c r="AG29" s="68"/>
      <c r="AH29" s="68" t="s">
        <v>108</v>
      </c>
      <c r="AI29" s="68"/>
      <c r="AJ29" s="114" t="s">
        <v>772</v>
      </c>
      <c r="AK29" s="58"/>
    </row>
    <row r="30" spans="2:37" ht="25.5">
      <c r="B30" s="65">
        <v>29</v>
      </c>
      <c r="C30" s="66"/>
      <c r="D30" s="67" t="s">
        <v>1041</v>
      </c>
      <c r="E30" s="55" t="s">
        <v>711</v>
      </c>
      <c r="F30" s="58" t="s">
        <v>113</v>
      </c>
      <c r="G30" s="58" t="s">
        <v>908</v>
      </c>
      <c r="H30" s="58" t="s">
        <v>898</v>
      </c>
      <c r="I30" s="58" t="s">
        <v>291</v>
      </c>
      <c r="J30" s="68"/>
      <c r="K30" s="68"/>
      <c r="L30" s="68"/>
      <c r="M30" s="68"/>
      <c r="N30" s="68"/>
      <c r="O30" s="68" t="s">
        <v>107</v>
      </c>
      <c r="P30" s="68"/>
      <c r="Q30" s="68"/>
      <c r="R30" s="68"/>
      <c r="S30" s="68"/>
      <c r="T30" s="68"/>
      <c r="U30" s="68"/>
      <c r="V30" s="68"/>
      <c r="W30" s="68"/>
      <c r="X30" s="68"/>
      <c r="Y30" s="68"/>
      <c r="Z30" s="68"/>
      <c r="AA30" s="68"/>
      <c r="AB30" s="68"/>
      <c r="AC30" s="68"/>
      <c r="AD30" s="68"/>
      <c r="AE30" s="68"/>
      <c r="AF30" s="68"/>
      <c r="AG30" s="68"/>
      <c r="AH30" s="68" t="s">
        <v>108</v>
      </c>
      <c r="AI30" s="68"/>
      <c r="AJ30" s="114" t="s">
        <v>551</v>
      </c>
      <c r="AK30" s="58"/>
    </row>
    <row r="31" spans="2:37" ht="25.5">
      <c r="B31" s="65">
        <v>30</v>
      </c>
      <c r="C31" s="66"/>
      <c r="D31" s="67" t="s">
        <v>1042</v>
      </c>
      <c r="E31" s="55" t="s">
        <v>333</v>
      </c>
      <c r="F31" s="58" t="s">
        <v>334</v>
      </c>
      <c r="G31" s="58" t="s">
        <v>910</v>
      </c>
      <c r="H31" s="58" t="s">
        <v>911</v>
      </c>
      <c r="I31" s="58" t="s">
        <v>291</v>
      </c>
      <c r="J31" s="68"/>
      <c r="K31" s="68"/>
      <c r="L31" s="68"/>
      <c r="M31" s="68"/>
      <c r="N31" s="68"/>
      <c r="O31" s="68" t="s">
        <v>107</v>
      </c>
      <c r="P31" s="68"/>
      <c r="Q31" s="68"/>
      <c r="R31" s="68"/>
      <c r="S31" s="68"/>
      <c r="T31" s="68"/>
      <c r="U31" s="68"/>
      <c r="V31" s="68"/>
      <c r="W31" s="68"/>
      <c r="X31" s="68"/>
      <c r="Y31" s="68"/>
      <c r="Z31" s="68"/>
      <c r="AA31" s="68"/>
      <c r="AB31" s="68"/>
      <c r="AC31" s="68"/>
      <c r="AD31" s="68"/>
      <c r="AE31" s="68"/>
      <c r="AF31" s="68"/>
      <c r="AG31" s="68"/>
      <c r="AH31" s="68" t="s">
        <v>108</v>
      </c>
      <c r="AI31" s="68"/>
      <c r="AJ31" s="114" t="s">
        <v>552</v>
      </c>
      <c r="AK31" s="58"/>
    </row>
    <row r="32" spans="2:37" ht="25.5">
      <c r="B32" s="65">
        <v>31</v>
      </c>
      <c r="C32" s="66"/>
      <c r="D32" s="67" t="s">
        <v>1043</v>
      </c>
      <c r="E32" s="55" t="s">
        <v>571</v>
      </c>
      <c r="F32" s="58" t="s">
        <v>566</v>
      </c>
      <c r="G32" s="58" t="s">
        <v>908</v>
      </c>
      <c r="H32" s="58" t="s">
        <v>898</v>
      </c>
      <c r="I32" s="58" t="s">
        <v>567</v>
      </c>
      <c r="J32" s="68"/>
      <c r="K32" s="68"/>
      <c r="L32" s="68"/>
      <c r="M32" s="68"/>
      <c r="N32" s="68"/>
      <c r="O32" s="68" t="s">
        <v>107</v>
      </c>
      <c r="P32" s="68"/>
      <c r="Q32" s="68"/>
      <c r="R32" s="68"/>
      <c r="S32" s="68"/>
      <c r="T32" s="68"/>
      <c r="U32" s="68"/>
      <c r="V32" s="68"/>
      <c r="W32" s="68"/>
      <c r="X32" s="68"/>
      <c r="Y32" s="68"/>
      <c r="Z32" s="68"/>
      <c r="AA32" s="68"/>
      <c r="AB32" s="68"/>
      <c r="AC32" s="68"/>
      <c r="AD32" s="68"/>
      <c r="AE32" s="68"/>
      <c r="AF32" s="68"/>
      <c r="AG32" s="68"/>
      <c r="AH32" s="68" t="s">
        <v>108</v>
      </c>
      <c r="AI32" s="68"/>
      <c r="AJ32" s="114" t="s">
        <v>570</v>
      </c>
      <c r="AK32" s="69"/>
    </row>
    <row r="33" spans="2:37" ht="25.5">
      <c r="B33" s="65">
        <v>32</v>
      </c>
      <c r="C33" s="66"/>
      <c r="D33" s="67" t="s">
        <v>1044</v>
      </c>
      <c r="E33" s="55" t="s">
        <v>613</v>
      </c>
      <c r="F33" s="58" t="s">
        <v>612</v>
      </c>
      <c r="G33" s="58" t="s">
        <v>908</v>
      </c>
      <c r="H33" s="58" t="s">
        <v>898</v>
      </c>
      <c r="I33" s="58" t="s">
        <v>291</v>
      </c>
      <c r="J33" s="68"/>
      <c r="K33" s="68"/>
      <c r="L33" s="68"/>
      <c r="M33" s="68"/>
      <c r="N33" s="68"/>
      <c r="O33" s="68" t="s">
        <v>107</v>
      </c>
      <c r="P33" s="68"/>
      <c r="Q33" s="68"/>
      <c r="R33" s="68"/>
      <c r="S33" s="68"/>
      <c r="T33" s="68"/>
      <c r="U33" s="68"/>
      <c r="V33" s="68"/>
      <c r="W33" s="68"/>
      <c r="X33" s="68"/>
      <c r="Y33" s="68"/>
      <c r="Z33" s="68"/>
      <c r="AA33" s="68"/>
      <c r="AB33" s="68"/>
      <c r="AC33" s="68"/>
      <c r="AD33" s="68"/>
      <c r="AE33" s="68"/>
      <c r="AF33" s="68"/>
      <c r="AG33" s="68"/>
      <c r="AH33" s="68" t="s">
        <v>108</v>
      </c>
      <c r="AI33" s="68"/>
      <c r="AJ33" s="114" t="s">
        <v>614</v>
      </c>
      <c r="AK33" s="58"/>
    </row>
    <row r="34" spans="2:37" ht="25.5">
      <c r="B34" s="65">
        <v>33</v>
      </c>
      <c r="C34" s="66"/>
      <c r="D34" s="67" t="s">
        <v>1045</v>
      </c>
      <c r="E34" s="55" t="s">
        <v>335</v>
      </c>
      <c r="F34" s="58" t="s">
        <v>336</v>
      </c>
      <c r="G34" s="58" t="s">
        <v>908</v>
      </c>
      <c r="H34" s="58" t="s">
        <v>909</v>
      </c>
      <c r="I34" s="58" t="s">
        <v>291</v>
      </c>
      <c r="J34" s="68"/>
      <c r="K34" s="68"/>
      <c r="L34" s="68"/>
      <c r="M34" s="68"/>
      <c r="N34" s="68"/>
      <c r="O34" s="68" t="s">
        <v>107</v>
      </c>
      <c r="P34" s="68"/>
      <c r="Q34" s="68"/>
      <c r="R34" s="68"/>
      <c r="S34" s="68"/>
      <c r="T34" s="68"/>
      <c r="U34" s="68"/>
      <c r="V34" s="68"/>
      <c r="W34" s="68"/>
      <c r="X34" s="68"/>
      <c r="Y34" s="68"/>
      <c r="Z34" s="68"/>
      <c r="AA34" s="68"/>
      <c r="AB34" s="68"/>
      <c r="AC34" s="68"/>
      <c r="AD34" s="68"/>
      <c r="AE34" s="68"/>
      <c r="AF34" s="68"/>
      <c r="AG34" s="68"/>
      <c r="AH34" s="68" t="s">
        <v>108</v>
      </c>
      <c r="AI34" s="68"/>
      <c r="AJ34" s="114" t="s">
        <v>554</v>
      </c>
      <c r="AK34" s="69"/>
    </row>
    <row r="35" spans="2:37" ht="25.5">
      <c r="B35" s="65">
        <v>34</v>
      </c>
      <c r="C35" s="66"/>
      <c r="D35" s="67" t="s">
        <v>1046</v>
      </c>
      <c r="E35" s="55" t="s">
        <v>337</v>
      </c>
      <c r="F35" s="58" t="s">
        <v>338</v>
      </c>
      <c r="G35" s="58" t="s">
        <v>908</v>
      </c>
      <c r="H35" s="58" t="s">
        <v>909</v>
      </c>
      <c r="I35" s="58" t="s">
        <v>291</v>
      </c>
      <c r="J35" s="68"/>
      <c r="K35" s="68"/>
      <c r="L35" s="68"/>
      <c r="M35" s="68"/>
      <c r="N35" s="68"/>
      <c r="O35" s="68" t="s">
        <v>107</v>
      </c>
      <c r="P35" s="68"/>
      <c r="Q35" s="68"/>
      <c r="R35" s="68"/>
      <c r="S35" s="68"/>
      <c r="T35" s="68"/>
      <c r="U35" s="68"/>
      <c r="V35" s="68"/>
      <c r="W35" s="68"/>
      <c r="X35" s="68"/>
      <c r="Y35" s="68"/>
      <c r="Z35" s="68"/>
      <c r="AA35" s="68"/>
      <c r="AB35" s="68"/>
      <c r="AC35" s="68"/>
      <c r="AD35" s="68"/>
      <c r="AE35" s="68"/>
      <c r="AF35" s="68"/>
      <c r="AG35" s="68"/>
      <c r="AH35" s="68" t="s">
        <v>108</v>
      </c>
      <c r="AI35" s="68"/>
      <c r="AJ35" s="114" t="s">
        <v>555</v>
      </c>
      <c r="AK35" s="59"/>
    </row>
    <row r="36" spans="2:37" ht="25.5">
      <c r="B36" s="65">
        <v>35</v>
      </c>
      <c r="C36" s="66"/>
      <c r="D36" s="67" t="s">
        <v>1047</v>
      </c>
      <c r="E36" s="61" t="s">
        <v>339</v>
      </c>
      <c r="F36" s="58" t="s">
        <v>340</v>
      </c>
      <c r="G36" s="58" t="s">
        <v>906</v>
      </c>
      <c r="H36" s="58" t="s">
        <v>907</v>
      </c>
      <c r="I36" s="58" t="s">
        <v>291</v>
      </c>
      <c r="J36" s="68"/>
      <c r="K36" s="68"/>
      <c r="L36" s="68"/>
      <c r="M36" s="68"/>
      <c r="N36" s="68"/>
      <c r="O36" s="68" t="s">
        <v>107</v>
      </c>
      <c r="P36" s="68"/>
      <c r="Q36" s="68"/>
      <c r="R36" s="68"/>
      <c r="S36" s="68"/>
      <c r="T36" s="68"/>
      <c r="U36" s="68"/>
      <c r="V36" s="68"/>
      <c r="W36" s="68"/>
      <c r="X36" s="68"/>
      <c r="Y36" s="68"/>
      <c r="Z36" s="68"/>
      <c r="AA36" s="68"/>
      <c r="AB36" s="68"/>
      <c r="AC36" s="68"/>
      <c r="AD36" s="68"/>
      <c r="AE36" s="68"/>
      <c r="AF36" s="68"/>
      <c r="AG36" s="68"/>
      <c r="AH36" s="68" t="s">
        <v>108</v>
      </c>
      <c r="AI36" s="68"/>
      <c r="AJ36" s="114" t="s">
        <v>553</v>
      </c>
      <c r="AK36" s="59"/>
    </row>
    <row r="37" spans="2:37" ht="25.5">
      <c r="B37" s="65">
        <v>36</v>
      </c>
      <c r="C37" s="66"/>
      <c r="D37" s="67" t="s">
        <v>1048</v>
      </c>
      <c r="E37" s="62" t="s">
        <v>341</v>
      </c>
      <c r="F37" s="58" t="s">
        <v>342</v>
      </c>
      <c r="G37" s="58" t="s">
        <v>908</v>
      </c>
      <c r="H37" s="58" t="s">
        <v>909</v>
      </c>
      <c r="I37" s="58" t="s">
        <v>291</v>
      </c>
      <c r="J37" s="68"/>
      <c r="K37" s="68"/>
      <c r="L37" s="68"/>
      <c r="M37" s="68"/>
      <c r="N37" s="68"/>
      <c r="O37" s="68" t="s">
        <v>107</v>
      </c>
      <c r="P37" s="68"/>
      <c r="Q37" s="68"/>
      <c r="R37" s="68"/>
      <c r="S37" s="68"/>
      <c r="T37" s="68"/>
      <c r="U37" s="68"/>
      <c r="V37" s="68"/>
      <c r="W37" s="68"/>
      <c r="X37" s="68"/>
      <c r="Y37" s="68"/>
      <c r="Z37" s="68"/>
      <c r="AA37" s="68"/>
      <c r="AB37" s="68"/>
      <c r="AC37" s="68"/>
      <c r="AD37" s="68"/>
      <c r="AE37" s="68"/>
      <c r="AF37" s="68"/>
      <c r="AG37" s="68"/>
      <c r="AH37" s="68" t="s">
        <v>108</v>
      </c>
      <c r="AI37" s="68"/>
      <c r="AJ37" s="114" t="s">
        <v>556</v>
      </c>
      <c r="AK37" s="50"/>
    </row>
    <row r="38" spans="2:37" ht="25.5">
      <c r="B38" s="65">
        <v>37</v>
      </c>
      <c r="C38" s="66"/>
      <c r="D38" s="67" t="s">
        <v>1049</v>
      </c>
      <c r="E38" s="63" t="s">
        <v>343</v>
      </c>
      <c r="F38" s="58" t="s">
        <v>344</v>
      </c>
      <c r="G38" s="58" t="s">
        <v>908</v>
      </c>
      <c r="H38" s="58" t="s">
        <v>909</v>
      </c>
      <c r="I38" s="58" t="s">
        <v>291</v>
      </c>
      <c r="J38" s="68"/>
      <c r="K38" s="68"/>
      <c r="L38" s="68"/>
      <c r="M38" s="68"/>
      <c r="N38" s="68"/>
      <c r="O38" s="68" t="s">
        <v>107</v>
      </c>
      <c r="P38" s="68"/>
      <c r="Q38" s="68"/>
      <c r="R38" s="68"/>
      <c r="S38" s="68"/>
      <c r="T38" s="68"/>
      <c r="U38" s="68"/>
      <c r="V38" s="68"/>
      <c r="W38" s="68"/>
      <c r="X38" s="68"/>
      <c r="Y38" s="68"/>
      <c r="Z38" s="68"/>
      <c r="AA38" s="68"/>
      <c r="AB38" s="68"/>
      <c r="AC38" s="68"/>
      <c r="AD38" s="68"/>
      <c r="AE38" s="68"/>
      <c r="AF38" s="68"/>
      <c r="AG38" s="68"/>
      <c r="AH38" s="68" t="s">
        <v>108</v>
      </c>
      <c r="AI38" s="68"/>
      <c r="AJ38" s="114" t="s">
        <v>557</v>
      </c>
      <c r="AK38" s="50"/>
    </row>
    <row r="39" spans="2:37" ht="25.5">
      <c r="B39" s="65">
        <v>38</v>
      </c>
      <c r="C39" s="66"/>
      <c r="D39" s="67" t="s">
        <v>1050</v>
      </c>
      <c r="E39" s="63" t="s">
        <v>345</v>
      </c>
      <c r="F39" s="58" t="s">
        <v>346</v>
      </c>
      <c r="G39" s="58" t="s">
        <v>908</v>
      </c>
      <c r="H39" s="58" t="s">
        <v>909</v>
      </c>
      <c r="I39" s="58" t="s">
        <v>291</v>
      </c>
      <c r="J39" s="68"/>
      <c r="K39" s="68"/>
      <c r="L39" s="68"/>
      <c r="M39" s="68"/>
      <c r="N39" s="68"/>
      <c r="O39" s="68" t="s">
        <v>107</v>
      </c>
      <c r="P39" s="68"/>
      <c r="Q39" s="68"/>
      <c r="R39" s="68"/>
      <c r="S39" s="68"/>
      <c r="T39" s="68"/>
      <c r="U39" s="68"/>
      <c r="V39" s="68"/>
      <c r="W39" s="68"/>
      <c r="X39" s="68"/>
      <c r="Y39" s="68"/>
      <c r="Z39" s="68"/>
      <c r="AA39" s="68"/>
      <c r="AB39" s="68"/>
      <c r="AC39" s="68"/>
      <c r="AD39" s="68"/>
      <c r="AE39" s="68"/>
      <c r="AF39" s="68"/>
      <c r="AG39" s="68"/>
      <c r="AH39" s="68" t="s">
        <v>108</v>
      </c>
      <c r="AI39" s="68"/>
      <c r="AJ39" s="114" t="s">
        <v>558</v>
      </c>
      <c r="AK39" s="50"/>
    </row>
    <row r="40" spans="2:37" ht="25.5">
      <c r="B40" s="65">
        <v>39</v>
      </c>
      <c r="C40" s="66"/>
      <c r="D40" s="67" t="s">
        <v>1051</v>
      </c>
      <c r="E40" s="63" t="s">
        <v>347</v>
      </c>
      <c r="F40" s="58" t="s">
        <v>348</v>
      </c>
      <c r="G40" s="58" t="s">
        <v>908</v>
      </c>
      <c r="H40" s="58" t="s">
        <v>909</v>
      </c>
      <c r="I40" s="58" t="s">
        <v>291</v>
      </c>
      <c r="J40" s="68"/>
      <c r="K40" s="68"/>
      <c r="L40" s="68"/>
      <c r="M40" s="68"/>
      <c r="N40" s="68"/>
      <c r="O40" s="68" t="s">
        <v>107</v>
      </c>
      <c r="P40" s="68"/>
      <c r="Q40" s="68"/>
      <c r="R40" s="68"/>
      <c r="S40" s="68"/>
      <c r="T40" s="68"/>
      <c r="U40" s="68"/>
      <c r="V40" s="68"/>
      <c r="W40" s="68"/>
      <c r="X40" s="68"/>
      <c r="Y40" s="68"/>
      <c r="Z40" s="68"/>
      <c r="AA40" s="68"/>
      <c r="AB40" s="68"/>
      <c r="AC40" s="68"/>
      <c r="AD40" s="68"/>
      <c r="AE40" s="68"/>
      <c r="AF40" s="68"/>
      <c r="AG40" s="68"/>
      <c r="AH40" s="68" t="s">
        <v>108</v>
      </c>
      <c r="AI40" s="68"/>
      <c r="AJ40" s="114" t="s">
        <v>559</v>
      </c>
      <c r="AK40" s="50"/>
    </row>
    <row r="41" spans="2:37" ht="25.5">
      <c r="B41" s="65">
        <v>40</v>
      </c>
      <c r="C41" s="66"/>
      <c r="D41" s="67" t="s">
        <v>1052</v>
      </c>
      <c r="E41" s="55" t="s">
        <v>349</v>
      </c>
      <c r="F41" s="58" t="s">
        <v>350</v>
      </c>
      <c r="G41" s="58" t="s">
        <v>908</v>
      </c>
      <c r="H41" s="58" t="s">
        <v>909</v>
      </c>
      <c r="I41" s="58" t="s">
        <v>291</v>
      </c>
      <c r="J41" s="68"/>
      <c r="K41" s="68"/>
      <c r="L41" s="68"/>
      <c r="M41" s="68"/>
      <c r="N41" s="68"/>
      <c r="O41" s="68" t="s">
        <v>107</v>
      </c>
      <c r="P41" s="68"/>
      <c r="Q41" s="68"/>
      <c r="R41" s="68"/>
      <c r="S41" s="68"/>
      <c r="T41" s="68"/>
      <c r="U41" s="68"/>
      <c r="V41" s="68"/>
      <c r="W41" s="68"/>
      <c r="X41" s="68"/>
      <c r="Y41" s="68"/>
      <c r="Z41" s="68"/>
      <c r="AA41" s="68"/>
      <c r="AB41" s="68"/>
      <c r="AC41" s="68"/>
      <c r="AD41" s="68"/>
      <c r="AE41" s="68"/>
      <c r="AF41" s="68"/>
      <c r="AG41" s="68"/>
      <c r="AH41" s="68" t="s">
        <v>108</v>
      </c>
      <c r="AI41" s="68"/>
      <c r="AJ41" s="114" t="s">
        <v>560</v>
      </c>
      <c r="AK41" s="50"/>
    </row>
    <row r="42" spans="2:37" ht="25.5">
      <c r="B42" s="65">
        <v>41</v>
      </c>
      <c r="C42" s="66"/>
      <c r="D42" s="67" t="s">
        <v>1053</v>
      </c>
      <c r="E42" s="61" t="s">
        <v>351</v>
      </c>
      <c r="F42" s="58" t="s">
        <v>352</v>
      </c>
      <c r="G42" s="58" t="s">
        <v>908</v>
      </c>
      <c r="H42" s="58" t="s">
        <v>900</v>
      </c>
      <c r="I42" s="58" t="s">
        <v>291</v>
      </c>
      <c r="J42" s="68"/>
      <c r="K42" s="68"/>
      <c r="L42" s="68"/>
      <c r="M42" s="68"/>
      <c r="N42" s="68"/>
      <c r="O42" s="68" t="s">
        <v>107</v>
      </c>
      <c r="P42" s="68"/>
      <c r="Q42" s="68"/>
      <c r="R42" s="68"/>
      <c r="S42" s="68"/>
      <c r="T42" s="68"/>
      <c r="U42" s="68"/>
      <c r="V42" s="68"/>
      <c r="W42" s="68"/>
      <c r="X42" s="68"/>
      <c r="Y42" s="68"/>
      <c r="Z42" s="68"/>
      <c r="AA42" s="68"/>
      <c r="AB42" s="68"/>
      <c r="AC42" s="68"/>
      <c r="AD42" s="68"/>
      <c r="AE42" s="68"/>
      <c r="AF42" s="68"/>
      <c r="AG42" s="68"/>
      <c r="AH42" s="68" t="s">
        <v>108</v>
      </c>
      <c r="AI42" s="68"/>
      <c r="AJ42" s="114" t="s">
        <v>561</v>
      </c>
      <c r="AK42" s="59"/>
    </row>
    <row r="43" spans="2:37" ht="25.5">
      <c r="B43" s="65">
        <v>42</v>
      </c>
      <c r="C43" s="115"/>
      <c r="D43" s="67" t="s">
        <v>1054</v>
      </c>
      <c r="E43" s="64" t="s">
        <v>353</v>
      </c>
      <c r="F43" s="58" t="s">
        <v>354</v>
      </c>
      <c r="G43" s="58" t="s">
        <v>908</v>
      </c>
      <c r="H43" s="58" t="s">
        <v>901</v>
      </c>
      <c r="I43" s="58" t="s">
        <v>291</v>
      </c>
      <c r="J43" s="68"/>
      <c r="K43" s="68"/>
      <c r="L43" s="68"/>
      <c r="M43" s="68"/>
      <c r="N43" s="68"/>
      <c r="O43" s="68" t="s">
        <v>107</v>
      </c>
      <c r="P43" s="68"/>
      <c r="Q43" s="68"/>
      <c r="R43" s="68"/>
      <c r="S43" s="68"/>
      <c r="T43" s="68"/>
      <c r="U43" s="68"/>
      <c r="V43" s="68"/>
      <c r="W43" s="68"/>
      <c r="X43" s="68"/>
      <c r="Y43" s="68"/>
      <c r="Z43" s="68"/>
      <c r="AA43" s="68"/>
      <c r="AB43" s="68"/>
      <c r="AC43" s="68"/>
      <c r="AD43" s="68"/>
      <c r="AE43" s="68"/>
      <c r="AF43" s="68"/>
      <c r="AG43" s="68"/>
      <c r="AH43" s="68" t="s">
        <v>108</v>
      </c>
      <c r="AI43" s="68"/>
      <c r="AJ43" s="114" t="s">
        <v>562</v>
      </c>
      <c r="AK43" s="59"/>
    </row>
  </sheetData>
  <autoFilter ref="B4:AK6">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14">
    <mergeCell ref="AK4:AK6"/>
    <mergeCell ref="J5:V5"/>
    <mergeCell ref="W5:AI5"/>
    <mergeCell ref="B2:AK2"/>
    <mergeCell ref="B4:B6"/>
    <mergeCell ref="C4:C6"/>
    <mergeCell ref="D4:D6"/>
    <mergeCell ref="E4:E6"/>
    <mergeCell ref="F4:F6"/>
    <mergeCell ref="G4:G6"/>
    <mergeCell ref="I4:I6"/>
    <mergeCell ref="J4:AI4"/>
    <mergeCell ref="AJ4:AJ6"/>
    <mergeCell ref="H4:H6"/>
  </mergeCells>
  <phoneticPr fontId="8" type="noConversion"/>
  <dataValidations disablePrompts="1" count="2">
    <dataValidation type="list" allowBlank="1" showInputMessage="1" showErrorMessage="1" sqref="AI36:AI41 AH42:AI43 AG23 AG34 AG32:AH32 AG17 AH33:AH41 AG29 AH10:AH31">
      <formula1>"□, ■"</formula1>
    </dataValidation>
    <dataValidation type="list" allowBlank="1" showInputMessage="1" showErrorMessage="1" sqref="N10:O43">
      <formula1>"○"</formula1>
    </dataValidation>
  </dataValidations>
  <hyperlinks>
    <hyperlink ref="E34" location="'ETF iNav'!Print_Area" display="ETF iNav"/>
    <hyperlink ref="E36" location="'ETF TrackingError'!Print_Area" display="ETF TrackingError"/>
    <hyperlink ref="E37" location="'Top N Symbols with Quantity'!Print_Area" display="Top N Symbols with Trading Quantity"/>
    <hyperlink ref="E38" location="'Top N Symbols with Price'!Print_Area" display="Top N Symbols with Current Price"/>
    <hyperlink ref="E39" location="'Top N Symbols with High Ratio'!Print_Area" display="Top N Symbols with High Ratio of  Price"/>
    <hyperlink ref="E40" location="'Top N Symbols with Low Ratio'!Print_Titles" display="Top N Symbols with Low Ratio of Price"/>
    <hyperlink ref="E42" location="Disclosure!Print_Area" display="Disclosure"/>
    <hyperlink ref="E43" location="'Time Stamp (Polling)'!Print_Titles" display="Time Stamp (Polling)"/>
    <hyperlink ref="E35" location="'ETF iIndex'!Print_Area" display="ETF iIndex"/>
    <hyperlink ref="E25" location="'Investor by Industry(Bond)'!Print_Area" display="Investor by Industry(Bond)"/>
    <hyperlink ref="E26" location="'Investor by Industry(Drv)'!Print_Area" display="Investor by Industry(Drv)"/>
    <hyperlink ref="E17" location="'Index Constituents Information'!Print_Area" display="Index Constituents Information"/>
    <hyperlink ref="E16" location="'Symbol Event'!Print_Area" display="Symbol Event"/>
    <hyperlink ref="E15" location="'Market Maker Information'!Print_Area" display="Market Maker Information"/>
    <hyperlink ref="E30" location="'Deem Trade Price'!Print_Titles" display="Deem Trade Price"/>
    <hyperlink ref="E31" location="'Foreigner Order Limit'!Print_Area" display="Foreigner Order Limit"/>
    <hyperlink ref="E19" location="PriceRecovery!Print_Area" display="Price Recovery"/>
    <hyperlink ref="E20" location="'PriceRecovery(Bond)'!Print_Area" display="Price Recovery(Bond)"/>
    <hyperlink ref="E23" location="Index!Print_Area" display="Index"/>
    <hyperlink ref="E24" location="'Investor by Industry'!Print_Area" display="Investor by Industry"/>
    <hyperlink ref="E27" location="'Investor per Symbol'!Print_Area" display="Investor per Symbol"/>
    <hyperlink ref="E12" location="'Security Info Notification'!Print_Area" display="Security Information Notification"/>
    <hyperlink ref="E13" location="'Symbol Closing Info'!Print_Titles" display="Symbol Closing Info"/>
    <hyperlink ref="E14" location="'Volatility Interruption'!Print_Titles" display="Volatility Interruption"/>
    <hyperlink ref="E33" location="'Price Limit Expansion'!Print_Area" display="Price Limit Expasion"/>
    <hyperlink ref="E9" location="Trailer!Print_Area" display="FIX Trailer"/>
    <hyperlink ref="E8" location="Header!Print_Area" display="FIX Header"/>
    <hyperlink ref="E41" location="'Trading Result of Foreigners'!Print_Titles" display="Trading Result of Foreign Investors"/>
    <hyperlink ref="E11" location="'Security Status'!Print_Area" display="Security Status"/>
    <hyperlink ref="E10" location="'Security Definition'!Print_Area" display="Security Definition"/>
    <hyperlink ref="E7" location="'Tag(Glossary)'!Print_Titles" display="FIX Tag"/>
    <hyperlink ref="E28" location="'Top N Members per Symbol'!Print_Area" display="Top N Members per Symbol"/>
    <hyperlink ref="E18" location="Price!Print_Area" display="Price"/>
    <hyperlink ref="E32" location="'Random End'!Print_Area" display="Random End"/>
    <hyperlink ref="E29" location="'Open Interest'!Print_Titles" display="Open Interest"/>
    <hyperlink ref="E22" location="'(Block Trade) PriceRecovery(B) '!Print_Area" display="(Block Trade) Price Recovery(Bond)"/>
    <hyperlink ref="E21" location="'(Block Trade) PriceRecovery'!Print_Area" display="(Block Trade) Price Recovery"/>
  </hyperlinks>
  <printOptions horizontalCentered="1"/>
  <pageMargins left="0.35433070866141736" right="0.27559055118110237" top="0.43307086614173229" bottom="0.51181102362204722" header="0.27559055118110237" footer="0.19685039370078741"/>
  <pageSetup paperSize="9" scale="43" orientation="portrait" r:id="rId1"/>
  <headerFooter alignWithMargins="0">
    <oddFooter>&amp;C&amp;10&amp;P/&amp;N&amp; Information Technology Service Agreement&amp;R&amp;G</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H170"/>
  <sheetViews>
    <sheetView view="pageBreakPreview" zoomScale="115" zoomScaleNormal="75" zoomScaleSheetLayoutView="115" workbookViewId="0">
      <pane xSplit="7" ySplit="4" topLeftCell="H20" activePane="bottomRight" state="frozen"/>
      <selection sqref="A1:XFD1048576"/>
      <selection pane="topRight" sqref="A1:XFD1048576"/>
      <selection pane="bottomLeft" sqref="A1:XFD1048576"/>
      <selection pane="bottomRight" activeCell="I30" sqref="I30"/>
    </sheetView>
  </sheetViews>
  <sheetFormatPr defaultColWidth="8.875" defaultRowHeight="15"/>
  <cols>
    <col min="1" max="1" width="1.75" style="7" customWidth="1"/>
    <col min="2" max="2" width="5.75" style="32" bestFit="1" customWidth="1"/>
    <col min="3" max="3" width="25.375" style="7" customWidth="1"/>
    <col min="4" max="4" width="5.375" style="32" bestFit="1" customWidth="1"/>
    <col min="5" max="5" width="7.75" style="32" bestFit="1" customWidth="1"/>
    <col min="6" max="6" width="6.125" style="32" bestFit="1" customWidth="1"/>
    <col min="7" max="7" width="50.25" style="35" customWidth="1"/>
    <col min="8" max="8" width="50.125" style="2" customWidth="1"/>
    <col min="9" max="16384" width="8.875" style="2"/>
  </cols>
  <sheetData>
    <row r="2" spans="1:8" ht="24.95" customHeight="1">
      <c r="B2" s="224" t="s">
        <v>123</v>
      </c>
      <c r="C2" s="224"/>
      <c r="D2" s="224"/>
      <c r="E2" s="224"/>
      <c r="F2" s="224"/>
      <c r="G2" s="224"/>
      <c r="H2" s="224"/>
    </row>
    <row r="3" spans="1:8" s="3" customFormat="1">
      <c r="A3" s="5"/>
      <c r="B3" s="33"/>
      <c r="C3" s="33"/>
      <c r="D3" s="33"/>
      <c r="E3" s="33"/>
      <c r="F3" s="33"/>
      <c r="G3" s="33"/>
    </row>
    <row r="4" spans="1:8" s="4" customFormat="1">
      <c r="A4" s="7"/>
      <c r="B4" s="163" t="s">
        <v>124</v>
      </c>
      <c r="C4" s="163" t="s">
        <v>125</v>
      </c>
      <c r="D4" s="163" t="s">
        <v>126</v>
      </c>
      <c r="E4" s="163" t="s">
        <v>127</v>
      </c>
      <c r="F4" s="163" t="s">
        <v>128</v>
      </c>
      <c r="G4" s="163" t="s">
        <v>129</v>
      </c>
      <c r="H4" s="163" t="s">
        <v>130</v>
      </c>
    </row>
    <row r="5" spans="1:8" s="146" customFormat="1">
      <c r="A5" s="99"/>
      <c r="B5" s="161">
        <v>8</v>
      </c>
      <c r="C5" s="162" t="s">
        <v>4</v>
      </c>
      <c r="D5" s="161"/>
      <c r="E5" s="161" t="s">
        <v>0</v>
      </c>
      <c r="F5" s="161">
        <v>7</v>
      </c>
      <c r="G5" s="162" t="s">
        <v>864</v>
      </c>
      <c r="H5" s="162"/>
    </row>
    <row r="6" spans="1:8" s="146" customFormat="1">
      <c r="A6" s="99"/>
      <c r="B6" s="39">
        <v>9</v>
      </c>
      <c r="C6" s="38" t="s">
        <v>5</v>
      </c>
      <c r="D6" s="39"/>
      <c r="E6" s="39" t="s">
        <v>3</v>
      </c>
      <c r="F6" s="39">
        <v>6</v>
      </c>
      <c r="G6" s="38" t="s">
        <v>6</v>
      </c>
      <c r="H6" s="38"/>
    </row>
    <row r="7" spans="1:8" s="146" customFormat="1">
      <c r="A7" s="99"/>
      <c r="B7" s="39">
        <v>10</v>
      </c>
      <c r="C7" s="38" t="s">
        <v>7</v>
      </c>
      <c r="D7" s="39"/>
      <c r="E7" s="39" t="s">
        <v>0</v>
      </c>
      <c r="F7" s="39">
        <v>3</v>
      </c>
      <c r="G7" s="38" t="s">
        <v>8</v>
      </c>
      <c r="H7" s="38"/>
    </row>
    <row r="8" spans="1:8" s="146" customFormat="1" ht="38.25">
      <c r="A8" s="99"/>
      <c r="B8" s="39">
        <v>15</v>
      </c>
      <c r="C8" s="38" t="s">
        <v>9</v>
      </c>
      <c r="D8" s="39"/>
      <c r="E8" s="39" t="s">
        <v>0</v>
      </c>
      <c r="F8" s="39">
        <v>3</v>
      </c>
      <c r="G8" s="38" t="s">
        <v>870</v>
      </c>
      <c r="H8" s="38" t="s">
        <v>871</v>
      </c>
    </row>
    <row r="9" spans="1:8" s="146" customFormat="1">
      <c r="A9" s="99"/>
      <c r="B9" s="39">
        <v>34</v>
      </c>
      <c r="C9" s="38" t="s">
        <v>10</v>
      </c>
      <c r="D9" s="39"/>
      <c r="E9" s="39" t="s">
        <v>3</v>
      </c>
      <c r="F9" s="39">
        <v>11</v>
      </c>
      <c r="G9" s="38" t="s">
        <v>11</v>
      </c>
      <c r="H9" s="38"/>
    </row>
    <row r="10" spans="1:8" s="146" customFormat="1" ht="25.5">
      <c r="A10" s="99"/>
      <c r="B10" s="39">
        <v>35</v>
      </c>
      <c r="C10" s="38" t="s">
        <v>1</v>
      </c>
      <c r="D10" s="39"/>
      <c r="E10" s="39" t="s">
        <v>0</v>
      </c>
      <c r="F10" s="39">
        <v>3</v>
      </c>
      <c r="G10" s="38" t="s">
        <v>131</v>
      </c>
      <c r="H10" s="38"/>
    </row>
    <row r="11" spans="1:8" s="146" customFormat="1">
      <c r="A11" s="99"/>
      <c r="B11" s="39">
        <v>49</v>
      </c>
      <c r="C11" s="38" t="s">
        <v>13</v>
      </c>
      <c r="D11" s="39"/>
      <c r="E11" s="39" t="s">
        <v>0</v>
      </c>
      <c r="F11" s="39">
        <v>16</v>
      </c>
      <c r="G11" s="38" t="s">
        <v>865</v>
      </c>
      <c r="H11" s="38"/>
    </row>
    <row r="12" spans="1:8" s="146" customFormat="1">
      <c r="A12" s="99"/>
      <c r="B12" s="39">
        <v>52</v>
      </c>
      <c r="C12" s="38" t="s">
        <v>14</v>
      </c>
      <c r="D12" s="39"/>
      <c r="E12" s="39" t="s">
        <v>23</v>
      </c>
      <c r="F12" s="39">
        <v>21</v>
      </c>
      <c r="G12" s="38" t="s">
        <v>132</v>
      </c>
      <c r="H12" s="38" t="s">
        <v>133</v>
      </c>
    </row>
    <row r="13" spans="1:8" s="146" customFormat="1" ht="38.25">
      <c r="A13" s="99"/>
      <c r="B13" s="39">
        <v>55</v>
      </c>
      <c r="C13" s="38" t="s">
        <v>15</v>
      </c>
      <c r="D13" s="39"/>
      <c r="E13" s="39" t="s">
        <v>0</v>
      </c>
      <c r="F13" s="39">
        <v>12</v>
      </c>
      <c r="G13" s="145" t="s">
        <v>725</v>
      </c>
      <c r="H13" s="38"/>
    </row>
    <row r="14" spans="1:8" s="146" customFormat="1" ht="38.25">
      <c r="A14" s="99"/>
      <c r="B14" s="39">
        <v>56</v>
      </c>
      <c r="C14" s="38" t="s">
        <v>16</v>
      </c>
      <c r="D14" s="39"/>
      <c r="E14" s="39" t="s">
        <v>0</v>
      </c>
      <c r="F14" s="39">
        <v>16</v>
      </c>
      <c r="G14" s="38" t="s">
        <v>866</v>
      </c>
      <c r="H14" s="138" t="s">
        <v>623</v>
      </c>
    </row>
    <row r="15" spans="1:8" s="146" customFormat="1">
      <c r="A15" s="99"/>
      <c r="B15" s="128">
        <v>60</v>
      </c>
      <c r="C15" s="129" t="s">
        <v>17</v>
      </c>
      <c r="D15" s="128"/>
      <c r="E15" s="128" t="s">
        <v>23</v>
      </c>
      <c r="F15" s="128">
        <v>9</v>
      </c>
      <c r="G15" s="130" t="s">
        <v>134</v>
      </c>
      <c r="H15" s="130" t="s">
        <v>876</v>
      </c>
    </row>
    <row r="16" spans="1:8" s="146" customFormat="1" ht="25.5">
      <c r="A16" s="99"/>
      <c r="B16" s="128">
        <v>75</v>
      </c>
      <c r="C16" s="129" t="s">
        <v>18</v>
      </c>
      <c r="D16" s="128"/>
      <c r="E16" s="128" t="s">
        <v>19</v>
      </c>
      <c r="F16" s="128">
        <v>8</v>
      </c>
      <c r="G16" s="139" t="s">
        <v>624</v>
      </c>
      <c r="H16" s="130" t="s">
        <v>31</v>
      </c>
    </row>
    <row r="17" spans="1:8" s="146" customFormat="1">
      <c r="A17" s="99"/>
      <c r="B17" s="128">
        <v>83</v>
      </c>
      <c r="C17" s="129" t="s">
        <v>20</v>
      </c>
      <c r="D17" s="128"/>
      <c r="E17" s="128" t="s">
        <v>730</v>
      </c>
      <c r="F17" s="128">
        <v>9</v>
      </c>
      <c r="G17" s="130" t="s">
        <v>21</v>
      </c>
      <c r="H17" s="130"/>
    </row>
    <row r="18" spans="1:8" s="146" customFormat="1">
      <c r="A18" s="99"/>
      <c r="B18" s="128">
        <v>106</v>
      </c>
      <c r="C18" s="129" t="s">
        <v>22</v>
      </c>
      <c r="D18" s="128"/>
      <c r="E18" s="128" t="s">
        <v>0</v>
      </c>
      <c r="F18" s="128">
        <v>10</v>
      </c>
      <c r="G18" s="130" t="s">
        <v>581</v>
      </c>
      <c r="H18" s="130"/>
    </row>
    <row r="19" spans="1:8" s="146" customFormat="1">
      <c r="A19" s="99"/>
      <c r="B19" s="128">
        <v>140</v>
      </c>
      <c r="C19" s="129" t="s">
        <v>24</v>
      </c>
      <c r="D19" s="128"/>
      <c r="E19" s="128" t="s">
        <v>731</v>
      </c>
      <c r="F19" s="128" t="s">
        <v>681</v>
      </c>
      <c r="G19" s="130" t="s">
        <v>25</v>
      </c>
      <c r="H19" s="130"/>
    </row>
    <row r="20" spans="1:8" s="146" customFormat="1">
      <c r="A20" s="99"/>
      <c r="B20" s="128">
        <v>148</v>
      </c>
      <c r="C20" s="129" t="s">
        <v>135</v>
      </c>
      <c r="D20" s="128"/>
      <c r="E20" s="128" t="s">
        <v>0</v>
      </c>
      <c r="F20" s="128">
        <v>250</v>
      </c>
      <c r="G20" s="130" t="s">
        <v>136</v>
      </c>
      <c r="H20" s="130"/>
    </row>
    <row r="21" spans="1:8" s="146" customFormat="1">
      <c r="A21" s="99"/>
      <c r="B21" s="128">
        <v>200</v>
      </c>
      <c r="C21" s="129" t="s">
        <v>26</v>
      </c>
      <c r="D21" s="128"/>
      <c r="E21" s="128" t="s">
        <v>0</v>
      </c>
      <c r="F21" s="128">
        <v>6</v>
      </c>
      <c r="G21" s="130" t="s">
        <v>751</v>
      </c>
      <c r="H21" s="130"/>
    </row>
    <row r="22" spans="1:8" s="146" customFormat="1" ht="25.5">
      <c r="A22" s="99"/>
      <c r="B22" s="128">
        <v>201</v>
      </c>
      <c r="C22" s="129" t="s">
        <v>27</v>
      </c>
      <c r="D22" s="128"/>
      <c r="E22" s="128" t="s">
        <v>0</v>
      </c>
      <c r="F22" s="128">
        <v>1</v>
      </c>
      <c r="G22" s="130" t="s">
        <v>137</v>
      </c>
      <c r="H22" s="130" t="s">
        <v>867</v>
      </c>
    </row>
    <row r="23" spans="1:8" s="146" customFormat="1">
      <c r="A23" s="99"/>
      <c r="B23" s="128">
        <v>202</v>
      </c>
      <c r="C23" s="129" t="s">
        <v>28</v>
      </c>
      <c r="D23" s="128"/>
      <c r="E23" s="128" t="s">
        <v>398</v>
      </c>
      <c r="F23" s="128" t="s">
        <v>683</v>
      </c>
      <c r="G23" s="130" t="s">
        <v>590</v>
      </c>
      <c r="H23" s="130"/>
    </row>
    <row r="24" spans="1:8" s="146" customFormat="1" ht="25.5">
      <c r="A24" s="99"/>
      <c r="B24" s="128">
        <v>207</v>
      </c>
      <c r="C24" s="129" t="s">
        <v>29</v>
      </c>
      <c r="D24" s="128"/>
      <c r="E24" s="128" t="s">
        <v>0</v>
      </c>
      <c r="F24" s="128">
        <v>2</v>
      </c>
      <c r="G24" s="130" t="s">
        <v>582</v>
      </c>
      <c r="H24" s="130" t="s">
        <v>872</v>
      </c>
    </row>
    <row r="25" spans="1:8" s="146" customFormat="1" ht="25.5">
      <c r="A25" s="99"/>
      <c r="B25" s="128">
        <v>223</v>
      </c>
      <c r="C25" s="129" t="s">
        <v>30</v>
      </c>
      <c r="D25" s="128"/>
      <c r="E25" s="128" t="s">
        <v>732</v>
      </c>
      <c r="F25" s="128" t="s">
        <v>733</v>
      </c>
      <c r="G25" s="130" t="s">
        <v>588</v>
      </c>
      <c r="H25" s="130"/>
    </row>
    <row r="26" spans="1:8" s="146" customFormat="1">
      <c r="A26" s="99"/>
      <c r="B26" s="128">
        <v>225</v>
      </c>
      <c r="C26" s="129" t="s">
        <v>32</v>
      </c>
      <c r="D26" s="128"/>
      <c r="E26" s="128" t="s">
        <v>0</v>
      </c>
      <c r="F26" s="128">
        <v>8</v>
      </c>
      <c r="G26" s="130" t="s">
        <v>138</v>
      </c>
      <c r="H26" s="130" t="s">
        <v>31</v>
      </c>
    </row>
    <row r="27" spans="1:8" s="146" customFormat="1">
      <c r="A27" s="99"/>
      <c r="B27" s="128">
        <v>231</v>
      </c>
      <c r="C27" s="129" t="s">
        <v>33</v>
      </c>
      <c r="D27" s="128"/>
      <c r="E27" s="128" t="s">
        <v>732</v>
      </c>
      <c r="F27" s="128" t="s">
        <v>734</v>
      </c>
      <c r="G27" s="130" t="s">
        <v>747</v>
      </c>
      <c r="H27" s="130"/>
    </row>
    <row r="28" spans="1:8" s="146" customFormat="1">
      <c r="A28" s="99"/>
      <c r="B28" s="128">
        <v>236</v>
      </c>
      <c r="C28" s="129" t="s">
        <v>34</v>
      </c>
      <c r="D28" s="128"/>
      <c r="E28" s="128" t="s">
        <v>732</v>
      </c>
      <c r="F28" s="128" t="s">
        <v>680</v>
      </c>
      <c r="G28" s="130" t="s">
        <v>686</v>
      </c>
      <c r="H28" s="130"/>
    </row>
    <row r="29" spans="1:8" s="146" customFormat="1">
      <c r="A29" s="99"/>
      <c r="B29" s="128">
        <v>268</v>
      </c>
      <c r="C29" s="129" t="s">
        <v>35</v>
      </c>
      <c r="D29" s="128"/>
      <c r="E29" s="128" t="s">
        <v>730</v>
      </c>
      <c r="F29" s="128">
        <v>9</v>
      </c>
      <c r="G29" s="130" t="s">
        <v>625</v>
      </c>
      <c r="H29" s="130"/>
    </row>
    <row r="30" spans="1:8" s="146" customFormat="1" ht="165.75">
      <c r="A30" s="99"/>
      <c r="B30" s="128">
        <v>269</v>
      </c>
      <c r="C30" s="129" t="s">
        <v>893</v>
      </c>
      <c r="D30" s="128"/>
      <c r="E30" s="128" t="s">
        <v>0</v>
      </c>
      <c r="F30" s="128">
        <v>1</v>
      </c>
      <c r="G30" s="130" t="s">
        <v>139</v>
      </c>
      <c r="H30" s="130" t="s">
        <v>1030</v>
      </c>
    </row>
    <row r="31" spans="1:8" s="146" customFormat="1" ht="205.5" customHeight="1">
      <c r="A31" s="99"/>
      <c r="B31" s="128">
        <v>270</v>
      </c>
      <c r="C31" s="129" t="s">
        <v>36</v>
      </c>
      <c r="D31" s="128"/>
      <c r="E31" s="128" t="s">
        <v>731</v>
      </c>
      <c r="F31" s="128" t="s">
        <v>681</v>
      </c>
      <c r="G31" s="130" t="s">
        <v>140</v>
      </c>
      <c r="H31" s="130"/>
    </row>
    <row r="32" spans="1:8" s="146" customFormat="1">
      <c r="A32" s="99"/>
      <c r="B32" s="128">
        <v>271</v>
      </c>
      <c r="C32" s="129" t="s">
        <v>37</v>
      </c>
      <c r="D32" s="128"/>
      <c r="E32" s="128" t="s">
        <v>730</v>
      </c>
      <c r="F32" s="128">
        <v>12</v>
      </c>
      <c r="G32" s="130" t="s">
        <v>141</v>
      </c>
      <c r="H32" s="130"/>
    </row>
    <row r="33" spans="1:8" s="146" customFormat="1">
      <c r="A33" s="99"/>
      <c r="B33" s="128">
        <v>279</v>
      </c>
      <c r="C33" s="129" t="s">
        <v>38</v>
      </c>
      <c r="D33" s="128"/>
      <c r="E33" s="128" t="s">
        <v>0</v>
      </c>
      <c r="F33" s="128">
        <v>1</v>
      </c>
      <c r="G33" s="130" t="s">
        <v>142</v>
      </c>
      <c r="H33" s="130" t="s">
        <v>667</v>
      </c>
    </row>
    <row r="34" spans="1:8" s="146" customFormat="1">
      <c r="A34" s="99"/>
      <c r="B34" s="128">
        <v>290</v>
      </c>
      <c r="C34" s="129" t="s">
        <v>39</v>
      </c>
      <c r="D34" s="128"/>
      <c r="E34" s="128" t="s">
        <v>730</v>
      </c>
      <c r="F34" s="128">
        <v>2</v>
      </c>
      <c r="G34" s="130" t="s">
        <v>143</v>
      </c>
      <c r="H34" s="130"/>
    </row>
    <row r="35" spans="1:8" s="146" customFormat="1">
      <c r="A35" s="99"/>
      <c r="B35" s="128">
        <v>330</v>
      </c>
      <c r="C35" s="129" t="s">
        <v>40</v>
      </c>
      <c r="D35" s="128"/>
      <c r="E35" s="128" t="s">
        <v>730</v>
      </c>
      <c r="F35" s="128">
        <v>12</v>
      </c>
      <c r="G35" s="130" t="s">
        <v>144</v>
      </c>
      <c r="H35" s="130"/>
    </row>
    <row r="36" spans="1:8" s="146" customFormat="1">
      <c r="A36" s="99"/>
      <c r="B36" s="128">
        <v>331</v>
      </c>
      <c r="C36" s="129" t="s">
        <v>41</v>
      </c>
      <c r="D36" s="128"/>
      <c r="E36" s="128" t="s">
        <v>730</v>
      </c>
      <c r="F36" s="128">
        <v>12</v>
      </c>
      <c r="G36" s="130" t="s">
        <v>145</v>
      </c>
      <c r="H36" s="130"/>
    </row>
    <row r="37" spans="1:8" s="146" customFormat="1" ht="165.75">
      <c r="A37" s="99"/>
      <c r="B37" s="128">
        <v>336</v>
      </c>
      <c r="C37" s="129" t="s">
        <v>969</v>
      </c>
      <c r="D37" s="128"/>
      <c r="E37" s="128" t="s">
        <v>0</v>
      </c>
      <c r="F37" s="128">
        <v>2</v>
      </c>
      <c r="G37" s="139" t="s">
        <v>626</v>
      </c>
      <c r="H37" s="130" t="s">
        <v>873</v>
      </c>
    </row>
    <row r="38" spans="1:8" s="146" customFormat="1">
      <c r="A38" s="99"/>
      <c r="B38" s="128">
        <v>346</v>
      </c>
      <c r="C38" s="129" t="s">
        <v>42</v>
      </c>
      <c r="D38" s="128"/>
      <c r="E38" s="128" t="s">
        <v>730</v>
      </c>
      <c r="F38" s="128">
        <v>11</v>
      </c>
      <c r="G38" s="130" t="s">
        <v>146</v>
      </c>
      <c r="H38" s="130"/>
    </row>
    <row r="39" spans="1:8" s="146" customFormat="1">
      <c r="A39" s="99"/>
      <c r="B39" s="128">
        <v>381</v>
      </c>
      <c r="C39" s="129" t="s">
        <v>43</v>
      </c>
      <c r="D39" s="128"/>
      <c r="E39" s="128" t="s">
        <v>732</v>
      </c>
      <c r="F39" s="128" t="s">
        <v>735</v>
      </c>
      <c r="G39" s="130" t="s">
        <v>147</v>
      </c>
      <c r="H39" s="130"/>
    </row>
    <row r="40" spans="1:8" s="146" customFormat="1">
      <c r="A40" s="99"/>
      <c r="B40" s="128">
        <v>387</v>
      </c>
      <c r="C40" s="129" t="s">
        <v>44</v>
      </c>
      <c r="D40" s="128"/>
      <c r="E40" s="128" t="s">
        <v>730</v>
      </c>
      <c r="F40" s="128">
        <v>12</v>
      </c>
      <c r="G40" s="130" t="s">
        <v>148</v>
      </c>
      <c r="H40" s="130"/>
    </row>
    <row r="41" spans="1:8" s="146" customFormat="1">
      <c r="A41" s="99"/>
      <c r="B41" s="128">
        <v>541</v>
      </c>
      <c r="C41" s="129" t="s">
        <v>45</v>
      </c>
      <c r="D41" s="128"/>
      <c r="E41" s="128" t="s">
        <v>0</v>
      </c>
      <c r="F41" s="128">
        <v>8</v>
      </c>
      <c r="G41" s="130" t="s">
        <v>149</v>
      </c>
      <c r="H41" s="130" t="s">
        <v>31</v>
      </c>
    </row>
    <row r="42" spans="1:8" s="146" customFormat="1" ht="25.5">
      <c r="A42" s="99"/>
      <c r="B42" s="128">
        <v>911</v>
      </c>
      <c r="C42" s="129" t="s">
        <v>46</v>
      </c>
      <c r="D42" s="128"/>
      <c r="E42" s="128" t="s">
        <v>730</v>
      </c>
      <c r="F42" s="128">
        <v>16</v>
      </c>
      <c r="G42" s="130" t="s">
        <v>818</v>
      </c>
      <c r="H42" s="130"/>
    </row>
    <row r="43" spans="1:8" s="146" customFormat="1" ht="25.5">
      <c r="A43" s="99"/>
      <c r="B43" s="128">
        <v>965</v>
      </c>
      <c r="C43" s="129" t="s">
        <v>47</v>
      </c>
      <c r="D43" s="128"/>
      <c r="E43" s="128" t="s">
        <v>0</v>
      </c>
      <c r="F43" s="128">
        <v>1</v>
      </c>
      <c r="G43" s="130" t="s">
        <v>150</v>
      </c>
      <c r="H43" s="130" t="s">
        <v>672</v>
      </c>
    </row>
    <row r="44" spans="1:8" s="146" customFormat="1">
      <c r="A44" s="99"/>
      <c r="B44" s="128">
        <v>1148</v>
      </c>
      <c r="C44" s="129" t="s">
        <v>48</v>
      </c>
      <c r="D44" s="128"/>
      <c r="E44" s="128" t="s">
        <v>731</v>
      </c>
      <c r="F44" s="128" t="s">
        <v>681</v>
      </c>
      <c r="G44" s="130" t="s">
        <v>572</v>
      </c>
      <c r="H44" s="130"/>
    </row>
    <row r="45" spans="1:8" s="146" customFormat="1">
      <c r="A45" s="99"/>
      <c r="B45" s="128">
        <v>1149</v>
      </c>
      <c r="C45" s="129" t="s">
        <v>49</v>
      </c>
      <c r="D45" s="128"/>
      <c r="E45" s="128" t="s">
        <v>731</v>
      </c>
      <c r="F45" s="128" t="s">
        <v>681</v>
      </c>
      <c r="G45" s="130" t="s">
        <v>573</v>
      </c>
      <c r="H45" s="130"/>
    </row>
    <row r="46" spans="1:8" s="146" customFormat="1" ht="51">
      <c r="A46" s="99"/>
      <c r="B46" s="128">
        <v>1193</v>
      </c>
      <c r="C46" s="129" t="s">
        <v>50</v>
      </c>
      <c r="D46" s="128"/>
      <c r="E46" s="128" t="s">
        <v>0</v>
      </c>
      <c r="F46" s="128">
        <v>1</v>
      </c>
      <c r="G46" s="130" t="s">
        <v>754</v>
      </c>
      <c r="H46" s="130" t="s">
        <v>151</v>
      </c>
    </row>
    <row r="47" spans="1:8" s="146" customFormat="1" ht="51">
      <c r="A47" s="99"/>
      <c r="B47" s="128">
        <v>1194</v>
      </c>
      <c r="C47" s="129" t="s">
        <v>51</v>
      </c>
      <c r="D47" s="128"/>
      <c r="E47" s="128" t="s">
        <v>0</v>
      </c>
      <c r="F47" s="128">
        <v>1</v>
      </c>
      <c r="G47" s="130" t="s">
        <v>152</v>
      </c>
      <c r="H47" s="130" t="s">
        <v>153</v>
      </c>
    </row>
    <row r="48" spans="1:8" s="146" customFormat="1" ht="148.5" customHeight="1">
      <c r="A48" s="99"/>
      <c r="B48" s="128">
        <v>20000</v>
      </c>
      <c r="C48" s="129" t="s">
        <v>52</v>
      </c>
      <c r="D48" s="130"/>
      <c r="E48" s="128" t="s">
        <v>0</v>
      </c>
      <c r="F48" s="128">
        <v>4</v>
      </c>
      <c r="G48" s="130" t="s">
        <v>824</v>
      </c>
      <c r="H48" s="139" t="s">
        <v>964</v>
      </c>
    </row>
    <row r="49" spans="1:8" s="146" customFormat="1" ht="114.75">
      <c r="A49" s="99"/>
      <c r="B49" s="40">
        <v>20003</v>
      </c>
      <c r="C49" s="141" t="s">
        <v>53</v>
      </c>
      <c r="D49" s="139"/>
      <c r="E49" s="40" t="s">
        <v>0</v>
      </c>
      <c r="F49" s="40">
        <v>3</v>
      </c>
      <c r="G49" s="139" t="s">
        <v>685</v>
      </c>
      <c r="H49" s="139" t="s">
        <v>879</v>
      </c>
    </row>
    <row r="50" spans="1:8" s="146" customFormat="1" ht="171" customHeight="1">
      <c r="A50" s="99"/>
      <c r="B50" s="128">
        <v>20004</v>
      </c>
      <c r="C50" s="129" t="s">
        <v>675</v>
      </c>
      <c r="D50" s="130"/>
      <c r="E50" s="128" t="s">
        <v>0</v>
      </c>
      <c r="F50" s="128">
        <v>2</v>
      </c>
      <c r="G50" s="191" t="s">
        <v>746</v>
      </c>
      <c r="H50" s="191" t="s">
        <v>974</v>
      </c>
    </row>
    <row r="51" spans="1:8" s="146" customFormat="1" ht="388.5" customHeight="1">
      <c r="A51" s="99"/>
      <c r="B51" s="40">
        <v>20005</v>
      </c>
      <c r="C51" s="141" t="s">
        <v>861</v>
      </c>
      <c r="D51" s="139"/>
      <c r="E51" s="40" t="s">
        <v>0</v>
      </c>
      <c r="F51" s="40">
        <v>3</v>
      </c>
      <c r="G51" s="139" t="s">
        <v>970</v>
      </c>
      <c r="H51" s="139" t="s">
        <v>973</v>
      </c>
    </row>
    <row r="52" spans="1:8" s="146" customFormat="1" ht="76.5">
      <c r="A52" s="99"/>
      <c r="B52" s="128">
        <v>20008</v>
      </c>
      <c r="C52" s="129" t="s">
        <v>54</v>
      </c>
      <c r="D52" s="130"/>
      <c r="E52" s="128" t="s">
        <v>0</v>
      </c>
      <c r="F52" s="128">
        <v>2</v>
      </c>
      <c r="G52" s="130" t="s">
        <v>753</v>
      </c>
      <c r="H52" s="130" t="s">
        <v>564</v>
      </c>
    </row>
    <row r="53" spans="1:8" s="146" customFormat="1" ht="51">
      <c r="A53" s="99"/>
      <c r="B53" s="128">
        <v>20009</v>
      </c>
      <c r="C53" s="129" t="s">
        <v>616</v>
      </c>
      <c r="D53" s="130"/>
      <c r="E53" s="128" t="s">
        <v>0</v>
      </c>
      <c r="F53" s="128">
        <v>11</v>
      </c>
      <c r="G53" s="130" t="s">
        <v>615</v>
      </c>
      <c r="H53" s="139" t="s">
        <v>874</v>
      </c>
    </row>
    <row r="54" spans="1:8" s="146" customFormat="1" ht="27" customHeight="1">
      <c r="A54" s="99"/>
      <c r="B54" s="128">
        <v>20013</v>
      </c>
      <c r="C54" s="129" t="s">
        <v>55</v>
      </c>
      <c r="D54" s="130"/>
      <c r="E54" s="128" t="s">
        <v>2</v>
      </c>
      <c r="F54" s="128" t="s">
        <v>681</v>
      </c>
      <c r="G54" s="141" t="s">
        <v>687</v>
      </c>
      <c r="H54" s="130"/>
    </row>
    <row r="55" spans="1:8" s="146" customFormat="1" ht="51">
      <c r="A55" s="99"/>
      <c r="B55" s="128">
        <v>20014</v>
      </c>
      <c r="C55" s="129" t="s">
        <v>56</v>
      </c>
      <c r="D55" s="130"/>
      <c r="E55" s="128" t="s">
        <v>2</v>
      </c>
      <c r="F55" s="128" t="s">
        <v>681</v>
      </c>
      <c r="G55" s="129" t="s">
        <v>855</v>
      </c>
      <c r="H55" s="130"/>
    </row>
    <row r="56" spans="1:8" s="146" customFormat="1" ht="25.5">
      <c r="A56" s="99"/>
      <c r="B56" s="128">
        <v>20015</v>
      </c>
      <c r="C56" s="129" t="s">
        <v>57</v>
      </c>
      <c r="D56" s="130"/>
      <c r="E56" s="128" t="s">
        <v>2</v>
      </c>
      <c r="F56" s="128" t="s">
        <v>857</v>
      </c>
      <c r="G56" s="129" t="s">
        <v>858</v>
      </c>
      <c r="H56" s="130"/>
    </row>
    <row r="57" spans="1:8" s="146" customFormat="1" ht="25.5">
      <c r="A57" s="99"/>
      <c r="B57" s="128">
        <v>20016</v>
      </c>
      <c r="C57" s="129" t="s">
        <v>58</v>
      </c>
      <c r="D57" s="130"/>
      <c r="E57" s="128" t="s">
        <v>2</v>
      </c>
      <c r="F57" s="128" t="s">
        <v>857</v>
      </c>
      <c r="G57" s="129" t="s">
        <v>859</v>
      </c>
      <c r="H57" s="130"/>
    </row>
    <row r="58" spans="1:8" s="146" customFormat="1" ht="165.75">
      <c r="A58" s="40"/>
      <c r="B58" s="40">
        <v>20018</v>
      </c>
      <c r="C58" s="141" t="s">
        <v>59</v>
      </c>
      <c r="D58" s="139"/>
      <c r="E58" s="40" t="s">
        <v>0</v>
      </c>
      <c r="F58" s="40">
        <v>2</v>
      </c>
      <c r="G58" s="139" t="s">
        <v>783</v>
      </c>
      <c r="H58" s="139" t="s">
        <v>784</v>
      </c>
    </row>
    <row r="59" spans="1:8" s="146" customFormat="1">
      <c r="A59" s="99"/>
      <c r="B59" s="128">
        <v>20020</v>
      </c>
      <c r="C59" s="129" t="s">
        <v>60</v>
      </c>
      <c r="D59" s="130"/>
      <c r="E59" s="128" t="s">
        <v>3</v>
      </c>
      <c r="F59" s="128">
        <v>16</v>
      </c>
      <c r="G59" s="129" t="s">
        <v>154</v>
      </c>
      <c r="H59" s="130"/>
    </row>
    <row r="60" spans="1:8" s="146" customFormat="1" ht="25.5">
      <c r="A60" s="99"/>
      <c r="B60" s="128">
        <v>20023</v>
      </c>
      <c r="C60" s="129" t="s">
        <v>628</v>
      </c>
      <c r="D60" s="130"/>
      <c r="E60" s="128" t="s">
        <v>0</v>
      </c>
      <c r="F60" s="128">
        <v>5</v>
      </c>
      <c r="G60" s="129" t="s">
        <v>752</v>
      </c>
      <c r="H60" s="130"/>
    </row>
    <row r="61" spans="1:8" s="146" customFormat="1" ht="38.25">
      <c r="A61" s="99"/>
      <c r="B61" s="128">
        <v>20026</v>
      </c>
      <c r="C61" s="129" t="s">
        <v>61</v>
      </c>
      <c r="D61" s="130"/>
      <c r="E61" s="128" t="s">
        <v>2</v>
      </c>
      <c r="F61" s="128" t="s">
        <v>681</v>
      </c>
      <c r="G61" s="129" t="s">
        <v>759</v>
      </c>
      <c r="H61" s="130"/>
    </row>
    <row r="62" spans="1:8" s="146" customFormat="1" ht="51">
      <c r="A62" s="99"/>
      <c r="B62" s="128">
        <v>20027</v>
      </c>
      <c r="C62" s="129" t="s">
        <v>629</v>
      </c>
      <c r="D62" s="130"/>
      <c r="E62" s="128" t="s">
        <v>0</v>
      </c>
      <c r="F62" s="128">
        <v>1</v>
      </c>
      <c r="G62" s="130" t="s">
        <v>757</v>
      </c>
      <c r="H62" s="130" t="s">
        <v>758</v>
      </c>
    </row>
    <row r="63" spans="1:8" s="146" customFormat="1" ht="25.5">
      <c r="A63" s="99"/>
      <c r="B63" s="128">
        <v>20030</v>
      </c>
      <c r="C63" s="129" t="s">
        <v>62</v>
      </c>
      <c r="D63" s="130"/>
      <c r="E63" s="128" t="s">
        <v>0</v>
      </c>
      <c r="F63" s="128">
        <v>1</v>
      </c>
      <c r="G63" s="130" t="s">
        <v>761</v>
      </c>
      <c r="H63" s="130" t="s">
        <v>762</v>
      </c>
    </row>
    <row r="64" spans="1:8" s="146" customFormat="1" ht="38.25">
      <c r="A64" s="99"/>
      <c r="B64" s="128">
        <v>20031</v>
      </c>
      <c r="C64" s="129" t="s">
        <v>63</v>
      </c>
      <c r="D64" s="130"/>
      <c r="E64" s="128" t="s">
        <v>0</v>
      </c>
      <c r="F64" s="128">
        <v>1</v>
      </c>
      <c r="G64" s="130" t="s">
        <v>760</v>
      </c>
      <c r="H64" s="130" t="s">
        <v>630</v>
      </c>
    </row>
    <row r="65" spans="1:8" s="146" customFormat="1" ht="38.25">
      <c r="A65" s="99"/>
      <c r="B65" s="128">
        <v>20032</v>
      </c>
      <c r="C65" s="129" t="s">
        <v>563</v>
      </c>
      <c r="D65" s="130"/>
      <c r="E65" s="128" t="s">
        <v>2</v>
      </c>
      <c r="F65" s="40" t="s">
        <v>728</v>
      </c>
      <c r="G65" s="130" t="s">
        <v>755</v>
      </c>
      <c r="H65" s="130"/>
    </row>
    <row r="66" spans="1:8" s="146" customFormat="1">
      <c r="A66" s="99"/>
      <c r="B66" s="128">
        <v>20033</v>
      </c>
      <c r="C66" s="129" t="s">
        <v>64</v>
      </c>
      <c r="D66" s="130"/>
      <c r="E66" s="128" t="s">
        <v>2</v>
      </c>
      <c r="F66" s="40" t="s">
        <v>728</v>
      </c>
      <c r="G66" s="130" t="s">
        <v>155</v>
      </c>
      <c r="H66" s="130"/>
    </row>
    <row r="67" spans="1:8" s="146" customFormat="1" ht="51">
      <c r="A67" s="99"/>
      <c r="B67" s="128">
        <v>20034</v>
      </c>
      <c r="C67" s="129" t="s">
        <v>631</v>
      </c>
      <c r="D67" s="130"/>
      <c r="E67" s="128" t="s">
        <v>2</v>
      </c>
      <c r="F67" s="40" t="s">
        <v>779</v>
      </c>
      <c r="G67" s="130" t="s">
        <v>756</v>
      </c>
      <c r="H67" s="130"/>
    </row>
    <row r="68" spans="1:8" s="146" customFormat="1" ht="38.25">
      <c r="A68" s="99"/>
      <c r="B68" s="40">
        <v>20047</v>
      </c>
      <c r="C68" s="141" t="s">
        <v>157</v>
      </c>
      <c r="D68" s="139"/>
      <c r="E68" s="40" t="s">
        <v>2</v>
      </c>
      <c r="F68" s="40" t="s">
        <v>728</v>
      </c>
      <c r="G68" s="139" t="s">
        <v>688</v>
      </c>
      <c r="H68" s="139"/>
    </row>
    <row r="69" spans="1:8" s="146" customFormat="1" ht="51">
      <c r="A69" s="99"/>
      <c r="B69" s="40">
        <v>20048</v>
      </c>
      <c r="C69" s="141" t="s">
        <v>158</v>
      </c>
      <c r="D69" s="139"/>
      <c r="E69" s="40" t="s">
        <v>2</v>
      </c>
      <c r="F69" s="40" t="s">
        <v>779</v>
      </c>
      <c r="G69" s="139" t="s">
        <v>689</v>
      </c>
      <c r="H69" s="139"/>
    </row>
    <row r="70" spans="1:8" s="146" customFormat="1" ht="25.5">
      <c r="A70" s="99"/>
      <c r="B70" s="128">
        <v>20054</v>
      </c>
      <c r="C70" s="129" t="s">
        <v>159</v>
      </c>
      <c r="D70" s="130"/>
      <c r="E70" s="128" t="s">
        <v>813</v>
      </c>
      <c r="F70" s="128">
        <v>2</v>
      </c>
      <c r="G70" s="130" t="s">
        <v>833</v>
      </c>
      <c r="H70" s="130" t="s">
        <v>834</v>
      </c>
    </row>
    <row r="71" spans="1:8" s="146" customFormat="1" ht="127.5">
      <c r="A71" s="99"/>
      <c r="B71" s="128">
        <v>30001</v>
      </c>
      <c r="C71" s="129" t="s">
        <v>65</v>
      </c>
      <c r="D71" s="130"/>
      <c r="E71" s="128" t="s">
        <v>0</v>
      </c>
      <c r="F71" s="128">
        <v>3</v>
      </c>
      <c r="G71" s="130" t="s">
        <v>594</v>
      </c>
      <c r="H71" s="130" t="s">
        <v>880</v>
      </c>
    </row>
    <row r="72" spans="1:8" s="146" customFormat="1" ht="63.75">
      <c r="A72" s="99"/>
      <c r="B72" s="128">
        <v>30167</v>
      </c>
      <c r="C72" s="129" t="s">
        <v>66</v>
      </c>
      <c r="D72" s="130"/>
      <c r="E72" s="128" t="s">
        <v>0</v>
      </c>
      <c r="F72" s="128">
        <v>8</v>
      </c>
      <c r="G72" s="130" t="s">
        <v>837</v>
      </c>
      <c r="H72" s="130"/>
    </row>
    <row r="73" spans="1:8" s="146" customFormat="1">
      <c r="A73" s="99"/>
      <c r="B73" s="128">
        <v>30168</v>
      </c>
      <c r="C73" s="129" t="s">
        <v>67</v>
      </c>
      <c r="D73" s="130"/>
      <c r="E73" s="128" t="s">
        <v>732</v>
      </c>
      <c r="F73" s="128" t="s">
        <v>678</v>
      </c>
      <c r="G73" s="130" t="s">
        <v>595</v>
      </c>
      <c r="H73" s="130"/>
    </row>
    <row r="74" spans="1:8" s="146" customFormat="1">
      <c r="A74" s="99"/>
      <c r="B74" s="128">
        <v>30169</v>
      </c>
      <c r="C74" s="129" t="s">
        <v>68</v>
      </c>
      <c r="D74" s="130"/>
      <c r="E74" s="128" t="s">
        <v>732</v>
      </c>
      <c r="F74" s="128" t="s">
        <v>678</v>
      </c>
      <c r="G74" s="130" t="s">
        <v>596</v>
      </c>
      <c r="H74" s="130"/>
    </row>
    <row r="75" spans="1:8" s="146" customFormat="1">
      <c r="A75" s="99"/>
      <c r="B75" s="128">
        <v>30213</v>
      </c>
      <c r="C75" s="129" t="s">
        <v>580</v>
      </c>
      <c r="D75" s="130"/>
      <c r="E75" s="128" t="s">
        <v>0</v>
      </c>
      <c r="F75" s="128">
        <v>5</v>
      </c>
      <c r="G75" s="130" t="s">
        <v>160</v>
      </c>
      <c r="H75" s="130"/>
    </row>
    <row r="76" spans="1:8" s="146" customFormat="1">
      <c r="A76" s="99"/>
      <c r="B76" s="128">
        <v>30214</v>
      </c>
      <c r="C76" s="129" t="s">
        <v>633</v>
      </c>
      <c r="D76" s="130"/>
      <c r="E76" s="128" t="s">
        <v>0</v>
      </c>
      <c r="F76" s="128">
        <v>5</v>
      </c>
      <c r="G76" s="130" t="s">
        <v>161</v>
      </c>
      <c r="H76" s="130"/>
    </row>
    <row r="77" spans="1:8" s="146" customFormat="1">
      <c r="A77" s="99"/>
      <c r="B77" s="128">
        <v>30215</v>
      </c>
      <c r="C77" s="129" t="s">
        <v>634</v>
      </c>
      <c r="D77" s="130"/>
      <c r="E77" s="128" t="s">
        <v>778</v>
      </c>
      <c r="F77" s="128">
        <v>6</v>
      </c>
      <c r="G77" s="130" t="s">
        <v>162</v>
      </c>
      <c r="H77" s="130"/>
    </row>
    <row r="78" spans="1:8" s="146" customFormat="1">
      <c r="A78" s="99"/>
      <c r="B78" s="128">
        <v>30216</v>
      </c>
      <c r="C78" s="129" t="s">
        <v>635</v>
      </c>
      <c r="D78" s="130"/>
      <c r="E78" s="128" t="s">
        <v>778</v>
      </c>
      <c r="F78" s="128">
        <v>6</v>
      </c>
      <c r="G78" s="130" t="s">
        <v>163</v>
      </c>
      <c r="H78" s="130"/>
    </row>
    <row r="79" spans="1:8" s="146" customFormat="1">
      <c r="A79" s="99"/>
      <c r="B79" s="128">
        <v>30217</v>
      </c>
      <c r="C79" s="129" t="s">
        <v>69</v>
      </c>
      <c r="D79" s="130"/>
      <c r="E79" s="128" t="s">
        <v>732</v>
      </c>
      <c r="F79" s="128" t="s">
        <v>679</v>
      </c>
      <c r="G79" s="130" t="s">
        <v>164</v>
      </c>
      <c r="H79" s="130"/>
    </row>
    <row r="80" spans="1:8" s="146" customFormat="1">
      <c r="A80" s="99"/>
      <c r="B80" s="128">
        <v>30270</v>
      </c>
      <c r="C80" s="129" t="s">
        <v>677</v>
      </c>
      <c r="D80" s="130"/>
      <c r="E80" s="128" t="s">
        <v>732</v>
      </c>
      <c r="F80" s="128" t="s">
        <v>680</v>
      </c>
      <c r="G80" s="130" t="s">
        <v>701</v>
      </c>
      <c r="H80" s="130"/>
    </row>
    <row r="81" spans="1:8" s="146" customFormat="1">
      <c r="A81" s="99"/>
      <c r="B81" s="128">
        <v>30271</v>
      </c>
      <c r="C81" s="129" t="s">
        <v>70</v>
      </c>
      <c r="D81" s="130"/>
      <c r="E81" s="128" t="s">
        <v>730</v>
      </c>
      <c r="F81" s="128">
        <v>12</v>
      </c>
      <c r="G81" s="130" t="s">
        <v>165</v>
      </c>
      <c r="H81" s="130"/>
    </row>
    <row r="82" spans="1:8" s="146" customFormat="1">
      <c r="A82" s="99"/>
      <c r="B82" s="128">
        <v>30301</v>
      </c>
      <c r="C82" s="129" t="s">
        <v>71</v>
      </c>
      <c r="D82" s="128"/>
      <c r="E82" s="128" t="s">
        <v>0</v>
      </c>
      <c r="F82" s="128">
        <v>8</v>
      </c>
      <c r="G82" s="130" t="s">
        <v>166</v>
      </c>
      <c r="H82" s="130" t="s">
        <v>31</v>
      </c>
    </row>
    <row r="83" spans="1:8" s="146" customFormat="1">
      <c r="A83" s="99"/>
      <c r="B83" s="128">
        <v>30511</v>
      </c>
      <c r="C83" s="129" t="s">
        <v>72</v>
      </c>
      <c r="D83" s="128"/>
      <c r="E83" s="128" t="s">
        <v>0</v>
      </c>
      <c r="F83" s="128">
        <v>8</v>
      </c>
      <c r="G83" s="130" t="s">
        <v>167</v>
      </c>
      <c r="H83" s="130" t="s">
        <v>31</v>
      </c>
    </row>
    <row r="84" spans="1:8" s="146" customFormat="1">
      <c r="A84" s="99"/>
      <c r="B84" s="128">
        <v>30512</v>
      </c>
      <c r="C84" s="129" t="s">
        <v>73</v>
      </c>
      <c r="D84" s="128"/>
      <c r="E84" s="128" t="s">
        <v>0</v>
      </c>
      <c r="F84" s="128">
        <v>8</v>
      </c>
      <c r="G84" s="130" t="s">
        <v>168</v>
      </c>
      <c r="H84" s="130" t="s">
        <v>31</v>
      </c>
    </row>
    <row r="85" spans="1:8" s="146" customFormat="1">
      <c r="A85" s="99"/>
      <c r="B85" s="128">
        <v>30521</v>
      </c>
      <c r="C85" s="129" t="s">
        <v>692</v>
      </c>
      <c r="D85" s="128"/>
      <c r="E85" s="128" t="s">
        <v>778</v>
      </c>
      <c r="F85" s="128">
        <v>12</v>
      </c>
      <c r="G85" s="130" t="s">
        <v>597</v>
      </c>
      <c r="H85" s="130"/>
    </row>
    <row r="86" spans="1:8" s="146" customFormat="1">
      <c r="A86" s="99"/>
      <c r="B86" s="128">
        <v>30522</v>
      </c>
      <c r="C86" s="129" t="s">
        <v>693</v>
      </c>
      <c r="D86" s="128"/>
      <c r="E86" s="128" t="s">
        <v>778</v>
      </c>
      <c r="F86" s="128">
        <v>12</v>
      </c>
      <c r="G86" s="130" t="s">
        <v>598</v>
      </c>
      <c r="H86" s="130"/>
    </row>
    <row r="87" spans="1:8" s="146" customFormat="1">
      <c r="A87" s="99"/>
      <c r="B87" s="128">
        <v>30523</v>
      </c>
      <c r="C87" s="129" t="s">
        <v>694</v>
      </c>
      <c r="D87" s="128"/>
      <c r="E87" s="128" t="s">
        <v>778</v>
      </c>
      <c r="F87" s="128">
        <v>11</v>
      </c>
      <c r="G87" s="130" t="s">
        <v>599</v>
      </c>
      <c r="H87" s="130"/>
    </row>
    <row r="88" spans="1:8" s="146" customFormat="1">
      <c r="A88" s="99"/>
      <c r="B88" s="128">
        <v>30524</v>
      </c>
      <c r="C88" s="129" t="s">
        <v>695</v>
      </c>
      <c r="D88" s="128"/>
      <c r="E88" s="128" t="s">
        <v>778</v>
      </c>
      <c r="F88" s="128">
        <v>11</v>
      </c>
      <c r="G88" s="130" t="s">
        <v>600</v>
      </c>
      <c r="H88" s="130"/>
    </row>
    <row r="89" spans="1:8" s="146" customFormat="1">
      <c r="A89" s="99"/>
      <c r="B89" s="128">
        <v>30540</v>
      </c>
      <c r="C89" s="129" t="s">
        <v>74</v>
      </c>
      <c r="D89" s="128"/>
      <c r="E89" s="128" t="s">
        <v>12</v>
      </c>
      <c r="F89" s="128">
        <v>10</v>
      </c>
      <c r="G89" s="130" t="s">
        <v>589</v>
      </c>
      <c r="H89" s="130"/>
    </row>
    <row r="90" spans="1:8" s="146" customFormat="1">
      <c r="A90" s="99"/>
      <c r="B90" s="128">
        <v>30541</v>
      </c>
      <c r="C90" s="129" t="s">
        <v>75</v>
      </c>
      <c r="D90" s="128"/>
      <c r="E90" s="128" t="s">
        <v>732</v>
      </c>
      <c r="F90" s="128" t="s">
        <v>680</v>
      </c>
      <c r="G90" s="130" t="s">
        <v>587</v>
      </c>
      <c r="H90" s="130"/>
    </row>
    <row r="91" spans="1:8" s="146" customFormat="1">
      <c r="A91" s="99"/>
      <c r="B91" s="128">
        <v>30552</v>
      </c>
      <c r="C91" s="129" t="s">
        <v>76</v>
      </c>
      <c r="D91" s="128"/>
      <c r="E91" s="128" t="s">
        <v>731</v>
      </c>
      <c r="F91" s="128" t="s">
        <v>681</v>
      </c>
      <c r="G91" s="130" t="s">
        <v>601</v>
      </c>
      <c r="H91" s="130"/>
    </row>
    <row r="92" spans="1:8" s="146" customFormat="1">
      <c r="A92" s="99"/>
      <c r="B92" s="128">
        <v>30553</v>
      </c>
      <c r="C92" s="129" t="s">
        <v>77</v>
      </c>
      <c r="D92" s="128"/>
      <c r="E92" s="128" t="s">
        <v>730</v>
      </c>
      <c r="F92" s="128">
        <v>12</v>
      </c>
      <c r="G92" s="130" t="s">
        <v>602</v>
      </c>
      <c r="H92" s="130"/>
    </row>
    <row r="93" spans="1:8" s="146" customFormat="1">
      <c r="A93" s="99"/>
      <c r="B93" s="128">
        <v>30554</v>
      </c>
      <c r="C93" s="129" t="s">
        <v>78</v>
      </c>
      <c r="D93" s="128"/>
      <c r="E93" s="128" t="s">
        <v>732</v>
      </c>
      <c r="F93" s="128" t="s">
        <v>680</v>
      </c>
      <c r="G93" s="130" t="s">
        <v>603</v>
      </c>
      <c r="H93" s="130"/>
    </row>
    <row r="94" spans="1:8" s="146" customFormat="1" ht="25.5">
      <c r="A94" s="99"/>
      <c r="B94" s="128">
        <v>30557</v>
      </c>
      <c r="C94" s="129" t="s">
        <v>838</v>
      </c>
      <c r="D94" s="128"/>
      <c r="E94" s="128" t="s">
        <v>730</v>
      </c>
      <c r="F94" s="128">
        <v>15</v>
      </c>
      <c r="G94" s="130" t="s">
        <v>839</v>
      </c>
      <c r="H94" s="130"/>
    </row>
    <row r="95" spans="1:8" s="146" customFormat="1" ht="38.25">
      <c r="A95" s="99"/>
      <c r="B95" s="128">
        <v>30558</v>
      </c>
      <c r="C95" s="129" t="s">
        <v>767</v>
      </c>
      <c r="D95" s="128"/>
      <c r="E95" s="128" t="s">
        <v>730</v>
      </c>
      <c r="F95" s="190">
        <v>16</v>
      </c>
      <c r="G95" s="130" t="s">
        <v>748</v>
      </c>
      <c r="H95" s="130"/>
    </row>
    <row r="96" spans="1:8" s="146" customFormat="1">
      <c r="A96" s="99"/>
      <c r="B96" s="128">
        <v>30561</v>
      </c>
      <c r="C96" s="129" t="s">
        <v>79</v>
      </c>
      <c r="D96" s="128"/>
      <c r="E96" s="128" t="s">
        <v>731</v>
      </c>
      <c r="F96" s="128" t="s">
        <v>681</v>
      </c>
      <c r="G96" s="130" t="s">
        <v>585</v>
      </c>
      <c r="H96" s="130"/>
    </row>
    <row r="97" spans="1:8" s="146" customFormat="1">
      <c r="A97" s="99"/>
      <c r="B97" s="128">
        <v>30562</v>
      </c>
      <c r="C97" s="129" t="s">
        <v>80</v>
      </c>
      <c r="D97" s="128"/>
      <c r="E97" s="128" t="s">
        <v>731</v>
      </c>
      <c r="F97" s="128" t="s">
        <v>681</v>
      </c>
      <c r="G97" s="130" t="s">
        <v>584</v>
      </c>
      <c r="H97" s="130"/>
    </row>
    <row r="98" spans="1:8" s="146" customFormat="1">
      <c r="A98" s="99"/>
      <c r="B98" s="128">
        <v>30563</v>
      </c>
      <c r="C98" s="129" t="s">
        <v>81</v>
      </c>
      <c r="D98" s="128"/>
      <c r="E98" s="128" t="s">
        <v>731</v>
      </c>
      <c r="F98" s="128" t="s">
        <v>681</v>
      </c>
      <c r="G98" s="130" t="s">
        <v>583</v>
      </c>
      <c r="H98" s="130"/>
    </row>
    <row r="99" spans="1:8" s="146" customFormat="1">
      <c r="A99" s="99"/>
      <c r="B99" s="128">
        <v>30565</v>
      </c>
      <c r="C99" s="129" t="s">
        <v>82</v>
      </c>
      <c r="D99" s="128"/>
      <c r="E99" s="128" t="s">
        <v>732</v>
      </c>
      <c r="F99" s="128" t="s">
        <v>680</v>
      </c>
      <c r="G99" s="130" t="s">
        <v>604</v>
      </c>
      <c r="H99" s="130"/>
    </row>
    <row r="100" spans="1:8" s="146" customFormat="1">
      <c r="A100" s="99"/>
      <c r="B100" s="128">
        <v>30566</v>
      </c>
      <c r="C100" s="129" t="s">
        <v>736</v>
      </c>
      <c r="D100" s="128"/>
      <c r="E100" s="128" t="s">
        <v>732</v>
      </c>
      <c r="F100" s="128" t="s">
        <v>680</v>
      </c>
      <c r="G100" s="130" t="s">
        <v>605</v>
      </c>
      <c r="H100" s="130"/>
    </row>
    <row r="101" spans="1:8" s="146" customFormat="1">
      <c r="A101" s="99"/>
      <c r="B101" s="128">
        <v>30567</v>
      </c>
      <c r="C101" s="129" t="s">
        <v>737</v>
      </c>
      <c r="D101" s="128"/>
      <c r="E101" s="128" t="s">
        <v>732</v>
      </c>
      <c r="F101" s="128" t="s">
        <v>680</v>
      </c>
      <c r="G101" s="130" t="s">
        <v>606</v>
      </c>
      <c r="H101" s="130"/>
    </row>
    <row r="102" spans="1:8" s="146" customFormat="1">
      <c r="A102" s="99"/>
      <c r="B102" s="128">
        <v>30568</v>
      </c>
      <c r="C102" s="129" t="s">
        <v>83</v>
      </c>
      <c r="D102" s="128"/>
      <c r="E102" s="128" t="s">
        <v>732</v>
      </c>
      <c r="F102" s="128" t="s">
        <v>680</v>
      </c>
      <c r="G102" s="130" t="s">
        <v>587</v>
      </c>
      <c r="H102" s="130"/>
    </row>
    <row r="103" spans="1:8" s="146" customFormat="1" ht="51">
      <c r="A103" s="99"/>
      <c r="B103" s="128">
        <v>30569</v>
      </c>
      <c r="C103" s="129" t="s">
        <v>883</v>
      </c>
      <c r="D103" s="128"/>
      <c r="E103" s="128" t="s">
        <v>0</v>
      </c>
      <c r="F103" s="128">
        <v>1</v>
      </c>
      <c r="G103" s="130" t="s">
        <v>749</v>
      </c>
      <c r="H103" s="130" t="s">
        <v>882</v>
      </c>
    </row>
    <row r="104" spans="1:8" s="146" customFormat="1" ht="25.5">
      <c r="A104" s="99"/>
      <c r="B104" s="128">
        <v>30573</v>
      </c>
      <c r="C104" s="129" t="s">
        <v>169</v>
      </c>
      <c r="D104" s="128"/>
      <c r="E104" s="128" t="s">
        <v>731</v>
      </c>
      <c r="F104" s="128" t="s">
        <v>683</v>
      </c>
      <c r="G104" s="130" t="s">
        <v>170</v>
      </c>
      <c r="H104" s="130"/>
    </row>
    <row r="105" spans="1:8" s="146" customFormat="1" ht="38.25">
      <c r="A105" s="99"/>
      <c r="B105" s="128">
        <v>30574</v>
      </c>
      <c r="C105" s="129" t="s">
        <v>636</v>
      </c>
      <c r="D105" s="128"/>
      <c r="E105" s="128" t="s">
        <v>0</v>
      </c>
      <c r="F105" s="128">
        <v>12</v>
      </c>
      <c r="G105" s="130" t="s">
        <v>750</v>
      </c>
      <c r="H105" s="130"/>
    </row>
    <row r="106" spans="1:8" s="146" customFormat="1" ht="38.25">
      <c r="A106" s="99"/>
      <c r="B106" s="128">
        <v>30575</v>
      </c>
      <c r="C106" s="129" t="s">
        <v>171</v>
      </c>
      <c r="D106" s="128"/>
      <c r="E106" s="128" t="s">
        <v>0</v>
      </c>
      <c r="F106" s="128">
        <v>2</v>
      </c>
      <c r="G106" s="130" t="s">
        <v>637</v>
      </c>
      <c r="H106" s="130" t="s">
        <v>638</v>
      </c>
    </row>
    <row r="107" spans="1:8" s="146" customFormat="1" ht="25.5">
      <c r="A107" s="99"/>
      <c r="B107" s="128">
        <v>30576</v>
      </c>
      <c r="C107" s="129" t="s">
        <v>172</v>
      </c>
      <c r="D107" s="128"/>
      <c r="E107" s="128" t="s">
        <v>0</v>
      </c>
      <c r="F107" s="128">
        <v>4</v>
      </c>
      <c r="G107" s="130" t="s">
        <v>586</v>
      </c>
      <c r="H107" s="130"/>
    </row>
    <row r="108" spans="1:8" s="146" customFormat="1" ht="25.5">
      <c r="A108" s="99"/>
      <c r="B108" s="128">
        <v>30577</v>
      </c>
      <c r="C108" s="129" t="s">
        <v>173</v>
      </c>
      <c r="D108" s="128"/>
      <c r="E108" s="128" t="s">
        <v>19</v>
      </c>
      <c r="F108" s="128">
        <v>8</v>
      </c>
      <c r="G108" s="130" t="s">
        <v>592</v>
      </c>
      <c r="H108" s="130"/>
    </row>
    <row r="109" spans="1:8" s="146" customFormat="1" ht="25.5">
      <c r="A109" s="99"/>
      <c r="B109" s="128">
        <v>30578</v>
      </c>
      <c r="C109" s="129" t="s">
        <v>174</v>
      </c>
      <c r="D109" s="128"/>
      <c r="E109" s="128" t="s">
        <v>19</v>
      </c>
      <c r="F109" s="128">
        <v>8</v>
      </c>
      <c r="G109" s="130" t="s">
        <v>591</v>
      </c>
      <c r="H109" s="130"/>
    </row>
    <row r="110" spans="1:8" s="146" customFormat="1" ht="25.5">
      <c r="A110" s="99"/>
      <c r="B110" s="128">
        <v>30581</v>
      </c>
      <c r="C110" s="129" t="s">
        <v>175</v>
      </c>
      <c r="D110" s="128"/>
      <c r="E110" s="128" t="s">
        <v>0</v>
      </c>
      <c r="F110" s="128">
        <v>2</v>
      </c>
      <c r="G110" s="130" t="s">
        <v>176</v>
      </c>
      <c r="H110" s="130" t="s">
        <v>673</v>
      </c>
    </row>
    <row r="111" spans="1:8" s="146" customFormat="1">
      <c r="A111" s="99"/>
      <c r="B111" s="128">
        <v>30589</v>
      </c>
      <c r="C111" s="38" t="s">
        <v>177</v>
      </c>
      <c r="D111" s="128"/>
      <c r="E111" s="39" t="s">
        <v>730</v>
      </c>
      <c r="F111" s="39">
        <v>7</v>
      </c>
      <c r="G111" s="38" t="s">
        <v>696</v>
      </c>
      <c r="H111" s="38"/>
    </row>
    <row r="112" spans="1:8" s="146" customFormat="1">
      <c r="A112" s="99"/>
      <c r="B112" s="128">
        <v>30590</v>
      </c>
      <c r="C112" s="38" t="s">
        <v>178</v>
      </c>
      <c r="D112" s="128"/>
      <c r="E112" s="39" t="s">
        <v>730</v>
      </c>
      <c r="F112" s="39">
        <v>7</v>
      </c>
      <c r="G112" s="38" t="s">
        <v>697</v>
      </c>
      <c r="H112" s="38"/>
    </row>
    <row r="113" spans="1:8" s="146" customFormat="1">
      <c r="A113" s="99"/>
      <c r="B113" s="128">
        <v>30591</v>
      </c>
      <c r="C113" s="38" t="s">
        <v>179</v>
      </c>
      <c r="D113" s="128"/>
      <c r="E113" s="39" t="s">
        <v>730</v>
      </c>
      <c r="F113" s="39">
        <v>7</v>
      </c>
      <c r="G113" s="38" t="s">
        <v>698</v>
      </c>
      <c r="H113" s="38"/>
    </row>
    <row r="114" spans="1:8" s="146" customFormat="1">
      <c r="A114" s="99"/>
      <c r="B114" s="128">
        <v>30592</v>
      </c>
      <c r="C114" s="131" t="s">
        <v>180</v>
      </c>
      <c r="D114" s="128"/>
      <c r="E114" s="39" t="s">
        <v>730</v>
      </c>
      <c r="F114" s="39">
        <v>7</v>
      </c>
      <c r="G114" s="132" t="s">
        <v>699</v>
      </c>
      <c r="H114" s="132"/>
    </row>
    <row r="115" spans="1:8" s="146" customFormat="1">
      <c r="A115" s="99"/>
      <c r="B115" s="128">
        <v>30593</v>
      </c>
      <c r="C115" s="38" t="s">
        <v>181</v>
      </c>
      <c r="D115" s="128"/>
      <c r="E115" s="39" t="s">
        <v>730</v>
      </c>
      <c r="F115" s="39">
        <v>7</v>
      </c>
      <c r="G115" s="38" t="s">
        <v>700</v>
      </c>
      <c r="H115" s="38"/>
    </row>
    <row r="116" spans="1:8" s="146" customFormat="1" ht="25.5">
      <c r="A116" s="99"/>
      <c r="B116" s="128">
        <v>30594</v>
      </c>
      <c r="C116" s="38" t="s">
        <v>182</v>
      </c>
      <c r="D116" s="128"/>
      <c r="E116" s="39" t="s">
        <v>730</v>
      </c>
      <c r="F116" s="39">
        <v>12</v>
      </c>
      <c r="G116" s="38" t="s">
        <v>183</v>
      </c>
      <c r="H116" s="38"/>
    </row>
    <row r="117" spans="1:8" s="146" customFormat="1" ht="25.5">
      <c r="A117" s="99"/>
      <c r="B117" s="128">
        <v>30595</v>
      </c>
      <c r="C117" s="38" t="s">
        <v>184</v>
      </c>
      <c r="D117" s="128"/>
      <c r="E117" s="39" t="s">
        <v>730</v>
      </c>
      <c r="F117" s="128">
        <v>12</v>
      </c>
      <c r="G117" s="38" t="s">
        <v>185</v>
      </c>
      <c r="H117" s="38"/>
    </row>
    <row r="118" spans="1:8" s="146" customFormat="1">
      <c r="A118" s="99"/>
      <c r="B118" s="128">
        <v>30596</v>
      </c>
      <c r="C118" s="38" t="s">
        <v>186</v>
      </c>
      <c r="D118" s="128"/>
      <c r="E118" s="39" t="s">
        <v>730</v>
      </c>
      <c r="F118" s="128">
        <v>12</v>
      </c>
      <c r="G118" s="38" t="s">
        <v>187</v>
      </c>
      <c r="H118" s="38"/>
    </row>
    <row r="119" spans="1:8" s="146" customFormat="1" ht="38.25">
      <c r="A119" s="99"/>
      <c r="B119" s="128">
        <v>30597</v>
      </c>
      <c r="C119" s="129" t="s">
        <v>188</v>
      </c>
      <c r="D119" s="128"/>
      <c r="E119" s="39" t="s">
        <v>0</v>
      </c>
      <c r="F119" s="39">
        <v>10</v>
      </c>
      <c r="G119" s="130" t="s">
        <v>189</v>
      </c>
      <c r="H119" s="130"/>
    </row>
    <row r="120" spans="1:8" s="146" customFormat="1">
      <c r="A120" s="99"/>
      <c r="B120" s="128">
        <v>30599</v>
      </c>
      <c r="C120" s="38" t="s">
        <v>190</v>
      </c>
      <c r="D120" s="128"/>
      <c r="E120" s="39" t="s">
        <v>732</v>
      </c>
      <c r="F120" s="128" t="s">
        <v>682</v>
      </c>
      <c r="G120" s="38" t="s">
        <v>607</v>
      </c>
      <c r="H120" s="38"/>
    </row>
    <row r="121" spans="1:8" s="146" customFormat="1">
      <c r="A121" s="99"/>
      <c r="B121" s="128">
        <v>30600</v>
      </c>
      <c r="C121" s="38" t="s">
        <v>191</v>
      </c>
      <c r="D121" s="128"/>
      <c r="E121" s="128" t="s">
        <v>732</v>
      </c>
      <c r="F121" s="128" t="s">
        <v>680</v>
      </c>
      <c r="G121" s="38" t="s">
        <v>192</v>
      </c>
      <c r="H121" s="38"/>
    </row>
    <row r="122" spans="1:8" s="146" customFormat="1" ht="25.5">
      <c r="A122" s="99"/>
      <c r="B122" s="128">
        <v>30602</v>
      </c>
      <c r="C122" s="38" t="s">
        <v>193</v>
      </c>
      <c r="D122" s="128"/>
      <c r="E122" s="39" t="s">
        <v>732</v>
      </c>
      <c r="F122" s="128" t="s">
        <v>684</v>
      </c>
      <c r="G122" s="38" t="s">
        <v>639</v>
      </c>
      <c r="H122" s="38"/>
    </row>
    <row r="123" spans="1:8" s="146" customFormat="1" ht="25.5">
      <c r="A123" s="99"/>
      <c r="B123" s="128">
        <v>30603</v>
      </c>
      <c r="C123" s="38" t="s">
        <v>194</v>
      </c>
      <c r="D123" s="128"/>
      <c r="E123" s="39" t="s">
        <v>732</v>
      </c>
      <c r="F123" s="128" t="s">
        <v>679</v>
      </c>
      <c r="G123" s="38" t="s">
        <v>195</v>
      </c>
      <c r="H123" s="38"/>
    </row>
    <row r="124" spans="1:8" s="146" customFormat="1">
      <c r="A124" s="99"/>
      <c r="B124" s="128">
        <v>30604</v>
      </c>
      <c r="C124" s="133" t="s">
        <v>196</v>
      </c>
      <c r="D124" s="128"/>
      <c r="E124" s="134" t="s">
        <v>0</v>
      </c>
      <c r="F124" s="134">
        <v>2</v>
      </c>
      <c r="G124" s="135" t="s">
        <v>593</v>
      </c>
      <c r="H124" s="135"/>
    </row>
    <row r="125" spans="1:8" s="146" customFormat="1">
      <c r="A125" s="99"/>
      <c r="B125" s="128">
        <v>30605</v>
      </c>
      <c r="C125" s="133" t="s">
        <v>892</v>
      </c>
      <c r="D125" s="128"/>
      <c r="E125" s="134" t="s">
        <v>0</v>
      </c>
      <c r="F125" s="134">
        <v>16</v>
      </c>
      <c r="G125" s="135" t="s">
        <v>197</v>
      </c>
      <c r="H125" s="135"/>
    </row>
    <row r="126" spans="1:8" s="146" customFormat="1" ht="51">
      <c r="A126" s="99"/>
      <c r="B126" s="128">
        <v>30606</v>
      </c>
      <c r="C126" s="133" t="s">
        <v>668</v>
      </c>
      <c r="D126" s="128"/>
      <c r="E126" s="134" t="s">
        <v>730</v>
      </c>
      <c r="F126" s="134">
        <v>16</v>
      </c>
      <c r="G126" s="135" t="s">
        <v>690</v>
      </c>
      <c r="H126" s="135"/>
    </row>
    <row r="127" spans="1:8" s="146" customFormat="1" ht="51">
      <c r="A127" s="99"/>
      <c r="B127" s="128">
        <v>30607</v>
      </c>
      <c r="C127" s="133" t="s">
        <v>669</v>
      </c>
      <c r="D127" s="128"/>
      <c r="E127" s="134" t="s">
        <v>730</v>
      </c>
      <c r="F127" s="134">
        <v>16</v>
      </c>
      <c r="G127" s="135" t="s">
        <v>691</v>
      </c>
      <c r="H127" s="135"/>
    </row>
    <row r="128" spans="1:8" s="146" customFormat="1" ht="25.5">
      <c r="A128" s="99"/>
      <c r="B128" s="128">
        <v>30608</v>
      </c>
      <c r="C128" s="133" t="s">
        <v>886</v>
      </c>
      <c r="D128" s="128"/>
      <c r="E128" s="134" t="s">
        <v>0</v>
      </c>
      <c r="F128" s="134">
        <v>1</v>
      </c>
      <c r="G128" s="135" t="s">
        <v>198</v>
      </c>
      <c r="H128" s="135" t="s">
        <v>640</v>
      </c>
    </row>
    <row r="129" spans="1:8" s="146" customFormat="1" ht="25.5">
      <c r="A129" s="99"/>
      <c r="B129" s="128">
        <v>30609</v>
      </c>
      <c r="C129" s="133" t="s">
        <v>199</v>
      </c>
      <c r="D129" s="128"/>
      <c r="E129" s="134" t="s">
        <v>0</v>
      </c>
      <c r="F129" s="134">
        <v>1</v>
      </c>
      <c r="G129" s="135" t="s">
        <v>200</v>
      </c>
      <c r="H129" s="135" t="s">
        <v>641</v>
      </c>
    </row>
    <row r="130" spans="1:8" s="146" customFormat="1" ht="25.5">
      <c r="A130" s="99"/>
      <c r="B130" s="128">
        <v>30610</v>
      </c>
      <c r="C130" s="133" t="s">
        <v>201</v>
      </c>
      <c r="D130" s="128"/>
      <c r="E130" s="134" t="s">
        <v>19</v>
      </c>
      <c r="F130" s="134">
        <v>8</v>
      </c>
      <c r="G130" s="135" t="s">
        <v>202</v>
      </c>
      <c r="H130" s="135" t="s">
        <v>31</v>
      </c>
    </row>
    <row r="131" spans="1:8" s="146" customFormat="1" ht="25.5">
      <c r="A131" s="99"/>
      <c r="B131" s="128">
        <v>30611</v>
      </c>
      <c r="C131" s="133" t="s">
        <v>203</v>
      </c>
      <c r="D131" s="128"/>
      <c r="E131" s="134" t="s">
        <v>19</v>
      </c>
      <c r="F131" s="134">
        <v>8</v>
      </c>
      <c r="G131" s="135" t="s">
        <v>204</v>
      </c>
      <c r="H131" s="135" t="s">
        <v>31</v>
      </c>
    </row>
    <row r="132" spans="1:8" s="146" customFormat="1" ht="38.25">
      <c r="A132" s="99"/>
      <c r="B132" s="128">
        <v>30612</v>
      </c>
      <c r="C132" s="38" t="s">
        <v>205</v>
      </c>
      <c r="D132" s="128"/>
      <c r="E132" s="39" t="s">
        <v>0</v>
      </c>
      <c r="F132" s="39">
        <v>1</v>
      </c>
      <c r="G132" s="38" t="s">
        <v>206</v>
      </c>
      <c r="H132" s="38" t="s">
        <v>642</v>
      </c>
    </row>
    <row r="133" spans="1:8" s="146" customFormat="1">
      <c r="A133" s="99"/>
      <c r="B133" s="128">
        <v>30613</v>
      </c>
      <c r="C133" s="38" t="s">
        <v>207</v>
      </c>
      <c r="D133" s="128"/>
      <c r="E133" s="39" t="s">
        <v>0</v>
      </c>
      <c r="F133" s="39">
        <v>1000</v>
      </c>
      <c r="G133" s="130" t="s">
        <v>208</v>
      </c>
      <c r="H133" s="130"/>
    </row>
    <row r="134" spans="1:8" s="146" customFormat="1" ht="51">
      <c r="A134" s="99"/>
      <c r="B134" s="128">
        <v>30614</v>
      </c>
      <c r="C134" s="38" t="s">
        <v>643</v>
      </c>
      <c r="D134" s="39"/>
      <c r="E134" s="39" t="s">
        <v>632</v>
      </c>
      <c r="F134" s="39">
        <v>1</v>
      </c>
      <c r="G134" s="38" t="s">
        <v>644</v>
      </c>
      <c r="H134" s="38" t="s">
        <v>645</v>
      </c>
    </row>
    <row r="135" spans="1:8" s="146" customFormat="1" ht="76.5">
      <c r="A135" s="99"/>
      <c r="B135" s="128">
        <v>30615</v>
      </c>
      <c r="C135" s="133" t="s">
        <v>646</v>
      </c>
      <c r="D135" s="128"/>
      <c r="E135" s="134" t="s">
        <v>0</v>
      </c>
      <c r="F135" s="134">
        <v>1</v>
      </c>
      <c r="G135" s="130" t="s">
        <v>647</v>
      </c>
      <c r="H135" s="130" t="s">
        <v>648</v>
      </c>
    </row>
    <row r="136" spans="1:8" s="146" customFormat="1" ht="25.5">
      <c r="A136" s="99"/>
      <c r="B136" s="128">
        <v>30616</v>
      </c>
      <c r="C136" s="136" t="s">
        <v>649</v>
      </c>
      <c r="D136" s="128"/>
      <c r="E136" s="134" t="s">
        <v>731</v>
      </c>
      <c r="F136" s="128" t="s">
        <v>681</v>
      </c>
      <c r="G136" s="130" t="s">
        <v>650</v>
      </c>
      <c r="H136" s="130"/>
    </row>
    <row r="137" spans="1:8" s="146" customFormat="1" ht="25.5">
      <c r="A137" s="99"/>
      <c r="B137" s="128">
        <v>30617</v>
      </c>
      <c r="C137" s="136" t="s">
        <v>651</v>
      </c>
      <c r="D137" s="128"/>
      <c r="E137" s="134" t="s">
        <v>731</v>
      </c>
      <c r="F137" s="128" t="s">
        <v>681</v>
      </c>
      <c r="G137" s="130" t="s">
        <v>652</v>
      </c>
      <c r="H137" s="130"/>
    </row>
    <row r="138" spans="1:8" s="146" customFormat="1" ht="25.5">
      <c r="A138" s="99"/>
      <c r="B138" s="128">
        <v>30618</v>
      </c>
      <c r="C138" s="136" t="s">
        <v>653</v>
      </c>
      <c r="D138" s="128"/>
      <c r="E138" s="134" t="s">
        <v>732</v>
      </c>
      <c r="F138" s="128" t="s">
        <v>680</v>
      </c>
      <c r="G138" s="130" t="s">
        <v>655</v>
      </c>
      <c r="H138" s="130"/>
    </row>
    <row r="139" spans="1:8" s="146" customFormat="1" ht="25.5">
      <c r="A139" s="99"/>
      <c r="B139" s="128">
        <v>30619</v>
      </c>
      <c r="C139" s="136" t="s">
        <v>656</v>
      </c>
      <c r="D139" s="128"/>
      <c r="E139" s="134" t="s">
        <v>731</v>
      </c>
      <c r="F139" s="128" t="s">
        <v>681</v>
      </c>
      <c r="G139" s="130" t="s">
        <v>657</v>
      </c>
      <c r="H139" s="130"/>
    </row>
    <row r="140" spans="1:8" s="146" customFormat="1" ht="25.5">
      <c r="A140" s="99"/>
      <c r="B140" s="128">
        <v>30620</v>
      </c>
      <c r="C140" s="136" t="s">
        <v>658</v>
      </c>
      <c r="D140" s="128"/>
      <c r="E140" s="134" t="s">
        <v>732</v>
      </c>
      <c r="F140" s="128" t="s">
        <v>680</v>
      </c>
      <c r="G140" s="130" t="s">
        <v>659</v>
      </c>
      <c r="H140" s="130"/>
    </row>
    <row r="141" spans="1:8" s="146" customFormat="1">
      <c r="A141" s="99"/>
      <c r="B141" s="128">
        <v>30621</v>
      </c>
      <c r="C141" s="136" t="s">
        <v>660</v>
      </c>
      <c r="D141" s="128"/>
      <c r="E141" s="134" t="s">
        <v>731</v>
      </c>
      <c r="F141" s="128" t="s">
        <v>681</v>
      </c>
      <c r="G141" s="130" t="s">
        <v>661</v>
      </c>
      <c r="H141" s="130"/>
    </row>
    <row r="142" spans="1:8" s="146" customFormat="1" ht="25.5">
      <c r="A142" s="99"/>
      <c r="B142" s="128">
        <v>30622</v>
      </c>
      <c r="C142" s="136" t="s">
        <v>662</v>
      </c>
      <c r="D142" s="128"/>
      <c r="E142" s="134" t="s">
        <v>732</v>
      </c>
      <c r="F142" s="128" t="s">
        <v>680</v>
      </c>
      <c r="G142" s="130" t="s">
        <v>663</v>
      </c>
      <c r="H142" s="130"/>
    </row>
    <row r="143" spans="1:8" s="146" customFormat="1">
      <c r="A143" s="99"/>
      <c r="B143" s="128">
        <v>30623</v>
      </c>
      <c r="C143" s="136" t="s">
        <v>918</v>
      </c>
      <c r="D143" s="128"/>
      <c r="E143" s="137" t="s">
        <v>0</v>
      </c>
      <c r="F143" s="137">
        <v>9</v>
      </c>
      <c r="G143" s="130" t="s">
        <v>664</v>
      </c>
      <c r="H143" s="130" t="s">
        <v>665</v>
      </c>
    </row>
    <row r="144" spans="1:8" s="146" customFormat="1" ht="25.5">
      <c r="A144" s="99"/>
      <c r="B144" s="128">
        <v>30624</v>
      </c>
      <c r="C144" s="133" t="s">
        <v>715</v>
      </c>
      <c r="D144" s="128"/>
      <c r="E144" s="134" t="s">
        <v>632</v>
      </c>
      <c r="F144" s="134">
        <v>20</v>
      </c>
      <c r="G144" s="130" t="s">
        <v>674</v>
      </c>
      <c r="H144" s="130"/>
    </row>
    <row r="145" spans="1:8" s="146" customFormat="1">
      <c r="A145" s="99"/>
      <c r="B145" s="128">
        <v>30625</v>
      </c>
      <c r="C145" s="136" t="s">
        <v>666</v>
      </c>
      <c r="D145" s="128"/>
      <c r="E145" s="134" t="s">
        <v>732</v>
      </c>
      <c r="F145" s="128" t="s">
        <v>681</v>
      </c>
      <c r="G145" s="130" t="s">
        <v>763</v>
      </c>
      <c r="H145" s="130"/>
    </row>
    <row r="146" spans="1:8" s="146" customFormat="1" ht="38.25">
      <c r="A146" s="99"/>
      <c r="B146" s="128">
        <v>30628</v>
      </c>
      <c r="C146" s="133" t="s">
        <v>718</v>
      </c>
      <c r="D146" s="128"/>
      <c r="E146" s="134" t="s">
        <v>719</v>
      </c>
      <c r="F146" s="128">
        <v>9</v>
      </c>
      <c r="G146" s="145" t="s">
        <v>720</v>
      </c>
      <c r="H146" s="145"/>
    </row>
    <row r="147" spans="1:8" s="146" customFormat="1">
      <c r="A147" s="99"/>
      <c r="B147" s="128">
        <v>30629</v>
      </c>
      <c r="C147" s="133" t="s">
        <v>721</v>
      </c>
      <c r="D147" s="128"/>
      <c r="E147" s="134" t="s">
        <v>719</v>
      </c>
      <c r="F147" s="128">
        <v>120</v>
      </c>
      <c r="G147" s="145" t="s">
        <v>723</v>
      </c>
      <c r="H147" s="130"/>
    </row>
    <row r="148" spans="1:8" s="146" customFormat="1">
      <c r="A148" s="99"/>
      <c r="B148" s="128">
        <v>30630</v>
      </c>
      <c r="C148" s="133" t="s">
        <v>722</v>
      </c>
      <c r="D148" s="128"/>
      <c r="E148" s="134" t="s">
        <v>719</v>
      </c>
      <c r="F148" s="128">
        <v>80</v>
      </c>
      <c r="G148" s="145" t="s">
        <v>724</v>
      </c>
      <c r="H148" s="130"/>
    </row>
    <row r="149" spans="1:8" s="146" customFormat="1" ht="51">
      <c r="A149" s="99"/>
      <c r="B149" s="128">
        <v>30631</v>
      </c>
      <c r="C149" s="133" t="s">
        <v>729</v>
      </c>
      <c r="D149" s="128"/>
      <c r="E149" s="134" t="s">
        <v>732</v>
      </c>
      <c r="F149" s="128" t="s">
        <v>738</v>
      </c>
      <c r="G149" s="145" t="s">
        <v>627</v>
      </c>
      <c r="H149" s="130"/>
    </row>
    <row r="150" spans="1:8" s="146" customFormat="1">
      <c r="A150" s="99"/>
      <c r="B150" s="128">
        <v>30632</v>
      </c>
      <c r="C150" s="133" t="s">
        <v>741</v>
      </c>
      <c r="D150" s="128"/>
      <c r="E150" s="134" t="s">
        <v>0</v>
      </c>
      <c r="F150" s="128">
        <v>120</v>
      </c>
      <c r="G150" s="145" t="s">
        <v>743</v>
      </c>
      <c r="H150" s="130"/>
    </row>
    <row r="151" spans="1:8" s="146" customFormat="1">
      <c r="A151" s="99"/>
      <c r="B151" s="128">
        <v>30633</v>
      </c>
      <c r="C151" s="133" t="s">
        <v>742</v>
      </c>
      <c r="D151" s="128"/>
      <c r="E151" s="134" t="s">
        <v>0</v>
      </c>
      <c r="F151" s="128">
        <v>80</v>
      </c>
      <c r="G151" s="145" t="s">
        <v>744</v>
      </c>
      <c r="H151" s="130"/>
    </row>
    <row r="152" spans="1:8" s="146" customFormat="1">
      <c r="A152" s="99"/>
      <c r="B152" s="128">
        <v>30634</v>
      </c>
      <c r="C152" s="133" t="s">
        <v>780</v>
      </c>
      <c r="D152" s="128"/>
      <c r="E152" s="134" t="s">
        <v>778</v>
      </c>
      <c r="F152" s="128">
        <v>6</v>
      </c>
      <c r="G152" s="145" t="s">
        <v>781</v>
      </c>
      <c r="H152" s="130"/>
    </row>
    <row r="153" spans="1:8" s="146" customFormat="1" ht="89.25">
      <c r="A153" s="99"/>
      <c r="B153" s="128">
        <v>30635</v>
      </c>
      <c r="C153" s="133" t="s">
        <v>793</v>
      </c>
      <c r="D153" s="128"/>
      <c r="E153" s="134" t="s">
        <v>632</v>
      </c>
      <c r="F153" s="128">
        <v>3</v>
      </c>
      <c r="G153" s="145" t="s">
        <v>796</v>
      </c>
      <c r="H153" s="130" t="s">
        <v>797</v>
      </c>
    </row>
    <row r="154" spans="1:8" s="146" customFormat="1" ht="63.75">
      <c r="A154" s="99"/>
      <c r="B154" s="128">
        <v>30636</v>
      </c>
      <c r="C154" s="133" t="s">
        <v>795</v>
      </c>
      <c r="D154" s="128"/>
      <c r="E154" s="134" t="s">
        <v>632</v>
      </c>
      <c r="F154" s="128">
        <v>3</v>
      </c>
      <c r="G154" s="145" t="s">
        <v>798</v>
      </c>
      <c r="H154" s="130" t="s">
        <v>875</v>
      </c>
    </row>
    <row r="155" spans="1:8" s="146" customFormat="1" ht="51">
      <c r="A155" s="99"/>
      <c r="B155" s="128">
        <v>30637</v>
      </c>
      <c r="C155" s="133" t="s">
        <v>794</v>
      </c>
      <c r="D155" s="128"/>
      <c r="E155" s="134" t="s">
        <v>632</v>
      </c>
      <c r="F155" s="128">
        <v>3</v>
      </c>
      <c r="G155" s="145" t="s">
        <v>800</v>
      </c>
      <c r="H155" s="130" t="s">
        <v>799</v>
      </c>
    </row>
    <row r="156" spans="1:8" s="146" customFormat="1">
      <c r="A156" s="99"/>
      <c r="B156" s="128">
        <v>30638</v>
      </c>
      <c r="C156" s="133" t="s">
        <v>809</v>
      </c>
      <c r="D156" s="128"/>
      <c r="E156" s="134" t="s">
        <v>730</v>
      </c>
      <c r="F156" s="128">
        <v>12</v>
      </c>
      <c r="G156" s="145" t="s">
        <v>805</v>
      </c>
      <c r="H156" s="130"/>
    </row>
    <row r="157" spans="1:8" s="146" customFormat="1">
      <c r="A157" s="99"/>
      <c r="B157" s="128">
        <v>30639</v>
      </c>
      <c r="C157" s="133" t="s">
        <v>810</v>
      </c>
      <c r="D157" s="128"/>
      <c r="E157" s="134" t="s">
        <v>654</v>
      </c>
      <c r="F157" s="128" t="s">
        <v>735</v>
      </c>
      <c r="G157" s="145" t="s">
        <v>806</v>
      </c>
      <c r="H157" s="130"/>
    </row>
    <row r="158" spans="1:8" s="146" customFormat="1">
      <c r="A158" s="99"/>
      <c r="B158" s="128">
        <v>30640</v>
      </c>
      <c r="C158" s="133" t="s">
        <v>811</v>
      </c>
      <c r="D158" s="128"/>
      <c r="E158" s="134" t="s">
        <v>730</v>
      </c>
      <c r="F158" s="128">
        <v>12</v>
      </c>
      <c r="G158" s="145" t="s">
        <v>807</v>
      </c>
      <c r="H158" s="130"/>
    </row>
    <row r="159" spans="1:8" s="146" customFormat="1">
      <c r="A159" s="99"/>
      <c r="B159" s="128">
        <v>30641</v>
      </c>
      <c r="C159" s="133" t="s">
        <v>812</v>
      </c>
      <c r="D159" s="128"/>
      <c r="E159" s="134" t="s">
        <v>654</v>
      </c>
      <c r="F159" s="128" t="s">
        <v>735</v>
      </c>
      <c r="G159" s="145" t="s">
        <v>808</v>
      </c>
      <c r="H159" s="130"/>
    </row>
    <row r="160" spans="1:8" s="146" customFormat="1">
      <c r="A160" s="99"/>
      <c r="B160" s="128">
        <v>30642</v>
      </c>
      <c r="C160" s="133" t="s">
        <v>814</v>
      </c>
      <c r="D160" s="128"/>
      <c r="E160" s="134" t="s">
        <v>632</v>
      </c>
      <c r="F160" s="128">
        <v>8</v>
      </c>
      <c r="G160" s="145" t="s">
        <v>815</v>
      </c>
      <c r="H160" s="130" t="s">
        <v>816</v>
      </c>
    </row>
    <row r="161" spans="1:8" s="146" customFormat="1">
      <c r="A161" s="99"/>
      <c r="B161" s="128">
        <v>30643</v>
      </c>
      <c r="C161" s="130" t="s">
        <v>846</v>
      </c>
      <c r="D161" s="128"/>
      <c r="E161" s="128" t="s">
        <v>3</v>
      </c>
      <c r="F161" s="128">
        <v>12</v>
      </c>
      <c r="G161" s="130" t="s">
        <v>847</v>
      </c>
      <c r="H161" s="128"/>
    </row>
    <row r="162" spans="1:8" s="146" customFormat="1">
      <c r="A162" s="99"/>
      <c r="B162" s="128">
        <v>30644</v>
      </c>
      <c r="C162" s="130" t="s">
        <v>848</v>
      </c>
      <c r="D162" s="128"/>
      <c r="E162" s="128" t="s">
        <v>156</v>
      </c>
      <c r="F162" s="128" t="s">
        <v>845</v>
      </c>
      <c r="G162" s="130" t="s">
        <v>849</v>
      </c>
      <c r="H162" s="128"/>
    </row>
    <row r="163" spans="1:8" s="146" customFormat="1">
      <c r="A163" s="99"/>
      <c r="B163" s="128">
        <v>30645</v>
      </c>
      <c r="C163" s="130" t="s">
        <v>850</v>
      </c>
      <c r="D163" s="128"/>
      <c r="E163" s="128" t="s">
        <v>3</v>
      </c>
      <c r="F163" s="128">
        <v>12</v>
      </c>
      <c r="G163" s="130" t="s">
        <v>851</v>
      </c>
      <c r="H163" s="128"/>
    </row>
    <row r="164" spans="1:8" s="146" customFormat="1">
      <c r="A164" s="99"/>
      <c r="B164" s="128">
        <v>30646</v>
      </c>
      <c r="C164" s="130" t="s">
        <v>852</v>
      </c>
      <c r="D164" s="128"/>
      <c r="E164" s="128" t="s">
        <v>156</v>
      </c>
      <c r="F164" s="128" t="s">
        <v>887</v>
      </c>
      <c r="G164" s="130" t="s">
        <v>853</v>
      </c>
      <c r="H164" s="128"/>
    </row>
    <row r="165" spans="1:8" s="146" customFormat="1" ht="52.5">
      <c r="A165" s="99"/>
      <c r="B165" s="128">
        <v>30647</v>
      </c>
      <c r="C165" s="130" t="s">
        <v>891</v>
      </c>
      <c r="D165" s="128"/>
      <c r="E165" s="128" t="s">
        <v>888</v>
      </c>
      <c r="F165" s="128">
        <v>2</v>
      </c>
      <c r="G165" s="130" t="s">
        <v>889</v>
      </c>
      <c r="H165" s="130" t="s">
        <v>890</v>
      </c>
    </row>
    <row r="166" spans="1:8" s="146" customFormat="1" ht="141.75">
      <c r="A166" s="99"/>
      <c r="B166" s="190">
        <v>30648</v>
      </c>
      <c r="C166" s="191" t="s">
        <v>1016</v>
      </c>
      <c r="D166" s="190"/>
      <c r="E166" s="190" t="s">
        <v>632</v>
      </c>
      <c r="F166" s="190">
        <v>3</v>
      </c>
      <c r="G166" s="191" t="s">
        <v>987</v>
      </c>
      <c r="H166" s="191" t="s">
        <v>1011</v>
      </c>
    </row>
    <row r="167" spans="1:8" s="146" customFormat="1">
      <c r="A167" s="99"/>
      <c r="B167" s="128">
        <v>30649</v>
      </c>
      <c r="C167" s="130" t="s">
        <v>989</v>
      </c>
      <c r="D167" s="128"/>
      <c r="E167" s="128" t="s">
        <v>990</v>
      </c>
      <c r="F167" s="128">
        <v>2</v>
      </c>
      <c r="G167" s="130" t="s">
        <v>991</v>
      </c>
      <c r="H167" s="130"/>
    </row>
    <row r="168" spans="1:8" s="146" customFormat="1">
      <c r="A168" s="99"/>
      <c r="B168" s="128">
        <v>30650</v>
      </c>
      <c r="C168" s="130" t="s">
        <v>992</v>
      </c>
      <c r="D168" s="128"/>
      <c r="E168" s="128" t="s">
        <v>730</v>
      </c>
      <c r="F168" s="128">
        <v>2</v>
      </c>
      <c r="G168" s="130" t="s">
        <v>993</v>
      </c>
      <c r="H168" s="130"/>
    </row>
    <row r="169" spans="1:8" s="146" customFormat="1" ht="409.5">
      <c r="A169" s="99"/>
      <c r="B169" s="128">
        <v>30651</v>
      </c>
      <c r="C169" s="130" t="s">
        <v>1004</v>
      </c>
      <c r="D169" s="128"/>
      <c r="E169" s="128" t="s">
        <v>632</v>
      </c>
      <c r="F169" s="128">
        <v>3</v>
      </c>
      <c r="G169" s="130" t="s">
        <v>1010</v>
      </c>
      <c r="H169" s="130" t="s">
        <v>1005</v>
      </c>
    </row>
    <row r="170" spans="1:8" s="146" customFormat="1">
      <c r="A170" s="99"/>
      <c r="B170" s="190">
        <v>30652</v>
      </c>
      <c r="C170" s="191" t="s">
        <v>1023</v>
      </c>
      <c r="D170" s="190"/>
      <c r="E170" s="190" t="s">
        <v>632</v>
      </c>
      <c r="F170" s="190">
        <v>8</v>
      </c>
      <c r="G170" s="191" t="s">
        <v>1025</v>
      </c>
      <c r="H170" s="191" t="s">
        <v>1024</v>
      </c>
    </row>
  </sheetData>
  <mergeCells count="1">
    <mergeCell ref="B2:H2"/>
  </mergeCells>
  <phoneticPr fontId="8" type="noConversion"/>
  <printOptions horizontalCentered="1"/>
  <pageMargins left="0.35433070866141736" right="0.27559055118110237" top="0.43307086614173229" bottom="0.51181102362204722" header="0.27559055118110237" footer="0.19685039370078741"/>
  <pageSetup paperSize="9" scale="46" fitToHeight="10" orientation="portrait" r:id="rId1"/>
  <headerFooter alignWithMargins="0">
    <oddFooter>&amp;C&amp;10&amp;P/&amp;N&amp; Information Technology Service Agreement&amp;R&amp;G</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2:G42"/>
  <sheetViews>
    <sheetView view="pageBreakPreview" zoomScale="70" zoomScaleNormal="75" zoomScaleSheetLayoutView="70" workbookViewId="0">
      <pane xSplit="7" ySplit="4" topLeftCell="H5" activePane="bottomRight" state="frozen"/>
      <selection sqref="A1:XFD1048576"/>
      <selection pane="topRight" sqref="A1:XFD1048576"/>
      <selection pane="bottomLeft" sqref="A1:XFD1048576"/>
      <selection pane="bottomRight" activeCell="C10" sqref="C10"/>
    </sheetView>
  </sheetViews>
  <sheetFormatPr defaultColWidth="8.875" defaultRowHeight="15"/>
  <cols>
    <col min="1" max="1" width="1.75" style="7" customWidth="1"/>
    <col min="2" max="2" width="7.875" style="32" customWidth="1"/>
    <col min="3" max="3" width="20.625" style="7" customWidth="1"/>
    <col min="4" max="4" width="5.375" style="32" bestFit="1" customWidth="1"/>
    <col min="5" max="5" width="7.75" style="35" bestFit="1" customWidth="1"/>
    <col min="6" max="6" width="6.125" style="32" bestFit="1" customWidth="1"/>
    <col min="7" max="7" width="79" style="35" customWidth="1"/>
    <col min="8" max="16384" width="8.875" style="7"/>
  </cols>
  <sheetData>
    <row r="2" spans="2:7" ht="24.95" customHeight="1">
      <c r="B2" s="224" t="s">
        <v>105</v>
      </c>
      <c r="C2" s="224"/>
      <c r="D2" s="224"/>
      <c r="E2" s="224"/>
      <c r="F2" s="224"/>
      <c r="G2" s="224"/>
    </row>
    <row r="3" spans="2:7" s="5" customFormat="1">
      <c r="B3" s="33"/>
      <c r="C3" s="33"/>
      <c r="D3" s="33"/>
      <c r="E3" s="33"/>
      <c r="F3" s="33"/>
      <c r="G3" s="33"/>
    </row>
    <row r="4" spans="2:7">
      <c r="B4" s="163" t="s">
        <v>84</v>
      </c>
      <c r="C4" s="163" t="s">
        <v>98</v>
      </c>
      <c r="D4" s="163" t="s">
        <v>99</v>
      </c>
      <c r="E4" s="163" t="s">
        <v>100</v>
      </c>
      <c r="F4" s="163" t="s">
        <v>101</v>
      </c>
      <c r="G4" s="163" t="s">
        <v>102</v>
      </c>
    </row>
    <row r="5" spans="2:7">
      <c r="B5" s="164">
        <v>8</v>
      </c>
      <c r="C5" s="165" t="str">
        <f>VLOOKUP($B5,'Tag(Glossary)'!$B:$G,2,0)</f>
        <v>BeginString</v>
      </c>
      <c r="D5" s="164" t="s">
        <v>209</v>
      </c>
      <c r="E5" s="165" t="str">
        <f>VLOOKUP($B5,'Tag(Glossary)'!$B:$G,4,0)</f>
        <v>String</v>
      </c>
      <c r="F5" s="165">
        <f>VLOOKUP($B5,'Tag(Glossary)'!$B:$G,5,0)</f>
        <v>7</v>
      </c>
      <c r="G5" s="165" t="str">
        <f>VLOOKUP($B5,'Tag(Glossary)'!$B:$G,6,0)</f>
        <v>FIX.4.4</v>
      </c>
    </row>
    <row r="6" spans="2:7">
      <c r="B6" s="36">
        <v>9</v>
      </c>
      <c r="C6" s="37" t="str">
        <f>VLOOKUP($B6,'Tag(Glossary)'!$B:$G,2,0)</f>
        <v>BodyLength</v>
      </c>
      <c r="D6" s="36" t="s">
        <v>210</v>
      </c>
      <c r="E6" s="37" t="str">
        <f>VLOOKUP($B6,'Tag(Glossary)'!$B:$G,4,0)</f>
        <v>Int</v>
      </c>
      <c r="F6" s="37">
        <f>VLOOKUP($B6,'Tag(Glossary)'!$B:$G,5,0)</f>
        <v>6</v>
      </c>
      <c r="G6" s="37" t="str">
        <f>VLOOKUP($B6,'Tag(Glossary)'!$B:$G,6,0)</f>
        <v>Length filed</v>
      </c>
    </row>
    <row r="7" spans="2:7">
      <c r="B7" s="36">
        <v>35</v>
      </c>
      <c r="C7" s="37" t="str">
        <f>VLOOKUP($B7,'Tag(Glossary)'!$B:$G,2,0)</f>
        <v>MsgType</v>
      </c>
      <c r="D7" s="36" t="s">
        <v>210</v>
      </c>
      <c r="E7" s="37" t="str">
        <f>VLOOKUP($B7,'Tag(Glossary)'!$B:$G,4,0)</f>
        <v>String</v>
      </c>
      <c r="F7" s="37">
        <f>VLOOKUP($B7,'Tag(Glossary)'!$B:$G,5,0)</f>
        <v>3</v>
      </c>
      <c r="G7" s="37" t="str">
        <f>VLOOKUP($B7,'Tag(Glossary)'!$B:$G,6,0)</f>
        <v>Refer to 'Header' sheet of the document 'VN_MDS_DS_SystemInterfaceSpecification(FIX)'</v>
      </c>
    </row>
    <row r="8" spans="2:7">
      <c r="B8" s="36">
        <v>49</v>
      </c>
      <c r="C8" s="37" t="str">
        <f>VLOOKUP($B8,'Tag(Glossary)'!$B:$G,2,0)</f>
        <v>SenderCompID</v>
      </c>
      <c r="D8" s="36" t="s">
        <v>210</v>
      </c>
      <c r="E8" s="37" t="str">
        <f>VLOOKUP($B8,'Tag(Glossary)'!$B:$G,4,0)</f>
        <v>String</v>
      </c>
      <c r="F8" s="37">
        <f>VLOOKUP($B8,'Tag(Glossary)'!$B:$G,5,0)</f>
        <v>16</v>
      </c>
      <c r="G8" s="37" t="str">
        <f>VLOOKUP($B8,'Tag(Glossary)'!$B:$G,6,0)</f>
        <v>Sender(Member CompID)</v>
      </c>
    </row>
    <row r="9" spans="2:7">
      <c r="B9" s="36">
        <v>56</v>
      </c>
      <c r="C9" s="37" t="str">
        <f>VLOOKUP($B9,'Tag(Glossary)'!$B:$G,2,0)</f>
        <v>TargetCompID</v>
      </c>
      <c r="D9" s="36" t="s">
        <v>210</v>
      </c>
      <c r="E9" s="37" t="str">
        <f>VLOOKUP($B9,'Tag(Glossary)'!$B:$G,4,0)</f>
        <v>String</v>
      </c>
      <c r="F9" s="37">
        <f>VLOOKUP($B9,'Tag(Glossary)'!$B:$G,5,0)</f>
        <v>16</v>
      </c>
      <c r="G9" s="37" t="str">
        <f>VLOOKUP($B9,'Tag(Glossary)'!$B:$G,6,0)</f>
        <v>Target(Counter Member CompID)</v>
      </c>
    </row>
    <row r="10" spans="2:7">
      <c r="B10" s="36">
        <v>34</v>
      </c>
      <c r="C10" s="37" t="str">
        <f>VLOOKUP($B10,'Tag(Glossary)'!$B:$G,2,0)</f>
        <v>MsgSeqNum</v>
      </c>
      <c r="D10" s="36" t="s">
        <v>210</v>
      </c>
      <c r="E10" s="37" t="str">
        <f>VLOOKUP($B10,'Tag(Glossary)'!$B:$G,4,0)</f>
        <v>Int</v>
      </c>
      <c r="F10" s="37">
        <f>VLOOKUP($B10,'Tag(Glossary)'!$B:$G,5,0)</f>
        <v>11</v>
      </c>
      <c r="G10" s="37" t="str">
        <f>VLOOKUP($B10,'Tag(Glossary)'!$B:$G,6,0)</f>
        <v>Session sequence number</v>
      </c>
    </row>
    <row r="11" spans="2:7">
      <c r="B11" s="36">
        <v>52</v>
      </c>
      <c r="C11" s="37" t="str">
        <f>VLOOKUP($B11,'Tag(Glossary)'!$B:$G,2,0)</f>
        <v>SendingTime</v>
      </c>
      <c r="D11" s="36" t="s">
        <v>210</v>
      </c>
      <c r="E11" s="37" t="str">
        <f>VLOOKUP($B11,'Tag(Glossary)'!$B:$G,4,0)</f>
        <v>UTCTime</v>
      </c>
      <c r="F11" s="37">
        <f>VLOOKUP($B11,'Tag(Glossary)'!$B:$G,5,0)</f>
        <v>21</v>
      </c>
      <c r="G11" s="37" t="str">
        <f>VLOOKUP($B11,'Tag(Glossary)'!$B:$G,6,0)</f>
        <v>Time of message transmission</v>
      </c>
    </row>
    <row r="12" spans="2:7">
      <c r="B12" s="41"/>
      <c r="C12" s="42"/>
      <c r="D12" s="41"/>
      <c r="E12" s="42"/>
      <c r="F12" s="42"/>
      <c r="G12" s="42"/>
    </row>
    <row r="13" spans="2:7">
      <c r="B13" s="43" t="s">
        <v>211</v>
      </c>
    </row>
    <row r="14" spans="2:7">
      <c r="C14" s="152" t="s">
        <v>212</v>
      </c>
      <c r="D14" s="153"/>
      <c r="E14" s="154"/>
    </row>
    <row r="15" spans="2:7">
      <c r="C15" s="155" t="s">
        <v>213</v>
      </c>
      <c r="D15" s="156"/>
      <c r="E15" s="157"/>
    </row>
    <row r="16" spans="2:7">
      <c r="C16" s="155" t="s">
        <v>214</v>
      </c>
      <c r="D16" s="156"/>
      <c r="E16" s="157"/>
    </row>
    <row r="17" spans="3:5">
      <c r="C17" s="155" t="s">
        <v>215</v>
      </c>
      <c r="D17" s="156"/>
      <c r="E17" s="157"/>
    </row>
    <row r="18" spans="3:5">
      <c r="C18" s="155" t="s">
        <v>216</v>
      </c>
      <c r="D18" s="156"/>
      <c r="E18" s="157"/>
    </row>
    <row r="19" spans="3:5">
      <c r="C19" s="155" t="s">
        <v>217</v>
      </c>
      <c r="D19" s="156"/>
      <c r="E19" s="157"/>
    </row>
    <row r="20" spans="3:5">
      <c r="C20" s="155" t="s">
        <v>218</v>
      </c>
      <c r="D20" s="156"/>
      <c r="E20" s="157"/>
    </row>
    <row r="21" spans="3:5">
      <c r="C21" s="155" t="s">
        <v>219</v>
      </c>
      <c r="D21" s="156"/>
      <c r="E21" s="157"/>
    </row>
    <row r="22" spans="3:5">
      <c r="C22" s="155" t="s">
        <v>764</v>
      </c>
      <c r="D22" s="156"/>
      <c r="E22" s="157"/>
    </row>
    <row r="23" spans="3:5">
      <c r="C23" s="155" t="s">
        <v>220</v>
      </c>
      <c r="D23" s="156"/>
      <c r="E23" s="157"/>
    </row>
    <row r="24" spans="3:5">
      <c r="C24" s="155" t="s">
        <v>221</v>
      </c>
      <c r="D24" s="156"/>
      <c r="E24" s="157"/>
    </row>
    <row r="25" spans="3:5">
      <c r="C25" s="155" t="s">
        <v>777</v>
      </c>
      <c r="D25" s="156"/>
      <c r="E25" s="157"/>
    </row>
    <row r="26" spans="3:5">
      <c r="C26" s="155" t="s">
        <v>222</v>
      </c>
      <c r="D26" s="156"/>
      <c r="E26" s="157"/>
    </row>
    <row r="27" spans="3:5">
      <c r="C27" s="155" t="s">
        <v>223</v>
      </c>
      <c r="D27" s="156"/>
      <c r="E27" s="157"/>
    </row>
    <row r="28" spans="3:5">
      <c r="C28" s="155" t="s">
        <v>224</v>
      </c>
      <c r="D28" s="156"/>
      <c r="E28" s="157"/>
    </row>
    <row r="29" spans="3:5">
      <c r="C29" s="155" t="s">
        <v>225</v>
      </c>
      <c r="D29" s="156"/>
      <c r="E29" s="157"/>
    </row>
    <row r="30" spans="3:5">
      <c r="C30" s="155" t="s">
        <v>226</v>
      </c>
      <c r="D30" s="156"/>
      <c r="E30" s="157"/>
    </row>
    <row r="31" spans="3:5">
      <c r="C31" s="155" t="s">
        <v>227</v>
      </c>
      <c r="D31" s="156"/>
      <c r="E31" s="157"/>
    </row>
    <row r="32" spans="3:5">
      <c r="C32" s="155" t="s">
        <v>228</v>
      </c>
      <c r="D32" s="156"/>
      <c r="E32" s="157"/>
    </row>
    <row r="33" spans="3:5">
      <c r="C33" s="155" t="s">
        <v>229</v>
      </c>
      <c r="D33" s="156"/>
      <c r="E33" s="157"/>
    </row>
    <row r="34" spans="3:5">
      <c r="C34" s="155" t="s">
        <v>230</v>
      </c>
      <c r="D34" s="156"/>
      <c r="E34" s="157"/>
    </row>
    <row r="35" spans="3:5">
      <c r="C35" s="155" t="s">
        <v>231</v>
      </c>
      <c r="D35" s="156"/>
      <c r="E35" s="157"/>
    </row>
    <row r="36" spans="3:5">
      <c r="C36" s="155" t="s">
        <v>232</v>
      </c>
      <c r="D36" s="156"/>
      <c r="E36" s="157"/>
    </row>
    <row r="37" spans="3:5">
      <c r="C37" s="155" t="s">
        <v>233</v>
      </c>
      <c r="D37" s="156"/>
      <c r="E37" s="157"/>
    </row>
    <row r="38" spans="3:5">
      <c r="C38" s="155" t="s">
        <v>234</v>
      </c>
      <c r="D38" s="156"/>
      <c r="E38" s="157"/>
    </row>
    <row r="39" spans="3:5">
      <c r="C39" s="155" t="s">
        <v>235</v>
      </c>
      <c r="D39" s="156"/>
      <c r="E39" s="157"/>
    </row>
    <row r="40" spans="3:5">
      <c r="C40" s="155" t="s">
        <v>236</v>
      </c>
      <c r="D40" s="156"/>
      <c r="E40" s="157"/>
    </row>
    <row r="41" spans="3:5">
      <c r="C41" s="155" t="s">
        <v>765</v>
      </c>
      <c r="D41" s="156"/>
      <c r="E41" s="157"/>
    </row>
    <row r="42" spans="3:5">
      <c r="C42" s="158" t="s">
        <v>766</v>
      </c>
      <c r="D42" s="159"/>
      <c r="E42" s="160"/>
    </row>
  </sheetData>
  <mergeCells count="1">
    <mergeCell ref="B2:G2"/>
  </mergeCells>
  <phoneticPr fontId="8" type="noConversion"/>
  <printOptions horizontalCentered="1"/>
  <pageMargins left="0.35433070866141736" right="0.27559055118110237" top="0.43307086614173229" bottom="0.51181102362204722" header="0.27559055118110237" footer="0.19685039370078741"/>
  <pageSetup paperSize="9" scale="78" orientation="portrait" r:id="rId1"/>
  <headerFooter alignWithMargins="0">
    <oddFooter>&amp;C&amp;10&amp;P/&amp;N&amp; Information Technology Service Agreement&amp;R&amp;G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B2:G5"/>
  <sheetViews>
    <sheetView view="pageBreakPreview" zoomScale="70" zoomScaleNormal="75" zoomScaleSheetLayoutView="70" workbookViewId="0">
      <pane xSplit="7" ySplit="4" topLeftCell="H5" activePane="bottomRight" state="frozen"/>
      <selection sqref="A1:XFD1048576"/>
      <selection pane="topRight" sqref="A1:XFD1048576"/>
      <selection pane="bottomLeft" sqref="A1:XFD1048576"/>
      <selection pane="bottomRight" activeCell="K5" sqref="K5"/>
    </sheetView>
  </sheetViews>
  <sheetFormatPr defaultColWidth="8.875" defaultRowHeight="15"/>
  <cols>
    <col min="1" max="1" width="1.75" style="7" customWidth="1"/>
    <col min="2" max="2" width="5.75" style="32" bestFit="1" customWidth="1"/>
    <col min="3" max="3" width="20.625" style="7" customWidth="1"/>
    <col min="4" max="4" width="5.375" style="32" bestFit="1" customWidth="1"/>
    <col min="5" max="5" width="7.75" style="35" bestFit="1" customWidth="1"/>
    <col min="6" max="6" width="6.125" style="32" bestFit="1" customWidth="1"/>
    <col min="7" max="7" width="79" style="35" customWidth="1"/>
    <col min="8" max="16384" width="8.875" style="7"/>
  </cols>
  <sheetData>
    <row r="2" spans="2:7" ht="24.95" customHeight="1">
      <c r="B2" s="224" t="s">
        <v>106</v>
      </c>
      <c r="C2" s="224"/>
      <c r="D2" s="224"/>
      <c r="E2" s="224"/>
      <c r="F2" s="224"/>
      <c r="G2" s="224"/>
    </row>
    <row r="3" spans="2:7" s="5" customFormat="1">
      <c r="B3" s="33"/>
      <c r="C3" s="33"/>
      <c r="D3" s="33"/>
      <c r="E3" s="33"/>
      <c r="F3" s="33"/>
      <c r="G3" s="33"/>
    </row>
    <row r="4" spans="2:7">
      <c r="B4" s="163" t="s">
        <v>84</v>
      </c>
      <c r="C4" s="163" t="s">
        <v>98</v>
      </c>
      <c r="D4" s="163" t="s">
        <v>99</v>
      </c>
      <c r="E4" s="163" t="s">
        <v>100</v>
      </c>
      <c r="F4" s="163" t="s">
        <v>101</v>
      </c>
      <c r="G4" s="163" t="s">
        <v>102</v>
      </c>
    </row>
    <row r="5" spans="2:7">
      <c r="B5" s="164">
        <v>10</v>
      </c>
      <c r="C5" s="165" t="str">
        <f>VLOOKUP($B5,'Tag(Glossary)'!$B:$G,2,0)</f>
        <v>CheckSum</v>
      </c>
      <c r="D5" s="164" t="s">
        <v>85</v>
      </c>
      <c r="E5" s="164" t="str">
        <f>VLOOKUP($B5,'Tag(Glossary)'!$B:$G,4,0)</f>
        <v>String</v>
      </c>
      <c r="F5" s="164">
        <f>VLOOKUP($B5,'Tag(Glossary)'!$B:$G,5,0)</f>
        <v>3</v>
      </c>
      <c r="G5" s="165" t="str">
        <f>VLOOKUP($B5,'Tag(Glossary)'!$B:$G,6,0)</f>
        <v>Three byte, simple checksum</v>
      </c>
    </row>
  </sheetData>
  <mergeCells count="1">
    <mergeCell ref="B2:G2"/>
  </mergeCells>
  <phoneticPr fontId="8" type="noConversion"/>
  <printOptions horizontalCentered="1"/>
  <pageMargins left="0.35433070866141736" right="0.27559055118110237" top="0.43307086614173229" bottom="0.51181102362204722" header="0.27559055118110237" footer="0.19685039370078741"/>
  <pageSetup paperSize="9" scale="79" orientation="portrait" r:id="rId1"/>
  <headerFooter alignWithMargins="0">
    <oddFooter>&amp;C&amp;10&amp;P/&amp;N&amp; Information Technology Service Agreement&amp;R&amp;G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2:I53"/>
  <sheetViews>
    <sheetView view="pageBreakPreview" zoomScale="115" zoomScaleNormal="75" zoomScaleSheetLayoutView="115" workbookViewId="0">
      <pane xSplit="9" ySplit="4" topLeftCell="J49" activePane="bottomRight" state="frozen"/>
      <selection sqref="A1:XFD1048576"/>
      <selection pane="topRight" sqref="A1:XFD1048576"/>
      <selection pane="bottomLeft" sqref="A1:XFD1048576"/>
      <selection pane="bottomRight" activeCell="B1" sqref="B1:I54"/>
    </sheetView>
  </sheetViews>
  <sheetFormatPr defaultColWidth="8.875" defaultRowHeight="15"/>
  <cols>
    <col min="1" max="1" width="1.75" style="7" customWidth="1"/>
    <col min="2" max="2" width="17.875" style="32" bestFit="1" customWidth="1"/>
    <col min="3" max="3" width="14.125" style="32" bestFit="1" customWidth="1"/>
    <col min="4" max="4" width="5.75" style="32" customWidth="1"/>
    <col min="5" max="5" width="22"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256</v>
      </c>
      <c r="C2" s="224"/>
      <c r="D2" s="224"/>
      <c r="E2" s="224"/>
      <c r="F2" s="224"/>
      <c r="G2" s="224"/>
      <c r="H2" s="224"/>
      <c r="I2" s="224"/>
    </row>
    <row r="3" spans="1:9" s="3" customFormat="1">
      <c r="A3" s="5"/>
      <c r="B3" s="33"/>
      <c r="C3" s="33"/>
      <c r="D3" s="33"/>
      <c r="E3" s="33"/>
      <c r="F3" s="33"/>
      <c r="G3" s="33"/>
      <c r="H3" s="33"/>
      <c r="I3" s="33"/>
    </row>
    <row r="4" spans="1:9" s="4" customFormat="1">
      <c r="A4" s="7"/>
      <c r="B4" s="163" t="s">
        <v>90</v>
      </c>
      <c r="C4" s="163" t="s">
        <v>104</v>
      </c>
      <c r="D4" s="163" t="s">
        <v>84</v>
      </c>
      <c r="E4" s="163" t="s">
        <v>836</v>
      </c>
      <c r="F4" s="163" t="s">
        <v>453</v>
      </c>
      <c r="G4" s="163" t="s">
        <v>100</v>
      </c>
      <c r="H4" s="163" t="s">
        <v>101</v>
      </c>
      <c r="I4" s="163" t="s">
        <v>102</v>
      </c>
    </row>
    <row r="5" spans="1:9" s="146" customFormat="1">
      <c r="A5" s="99"/>
      <c r="B5" s="161" t="str">
        <f>INDEX('Interface List'!$D$7:$D$45,MATCH($C5,'Interface List'!$E$7:$E$45,0))</f>
        <v>IFMDFIX0001</v>
      </c>
      <c r="C5" s="161" t="s">
        <v>256</v>
      </c>
      <c r="D5" s="161"/>
      <c r="E5" s="162" t="s">
        <v>375</v>
      </c>
      <c r="F5" s="161" t="s">
        <v>439</v>
      </c>
      <c r="G5" s="161"/>
      <c r="H5" s="161"/>
      <c r="I5" s="162" t="s">
        <v>110</v>
      </c>
    </row>
    <row r="6" spans="1:9" s="146" customFormat="1" ht="140.25">
      <c r="A6" s="99"/>
      <c r="B6" s="116" t="str">
        <f>INDEX('Interface List'!$D$7:$D$45,MATCH($C6,'Interface List'!$E$7:$E$45,0))</f>
        <v>IFMDFIX0001</v>
      </c>
      <c r="C6" s="116" t="s">
        <v>256</v>
      </c>
      <c r="D6" s="39">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s="146" customFormat="1" ht="178.5">
      <c r="A7" s="99"/>
      <c r="B7" s="116" t="str">
        <f>INDEX('Interface List'!$D$7:$D$45,MATCH($C7,'Interface List'!$E$7:$E$45,0))</f>
        <v>IFMDFIX0001</v>
      </c>
      <c r="C7" s="116" t="s">
        <v>256</v>
      </c>
      <c r="D7" s="39">
        <v>20004</v>
      </c>
      <c r="E7" s="38" t="str">
        <f>VLOOKUP($D7,'Tag(Glossary)'!$B:$G,2,0)</f>
        <v>BoardID</v>
      </c>
      <c r="F7" s="39" t="s">
        <v>85</v>
      </c>
      <c r="G7" s="39" t="str">
        <f>VLOOKUP($D7,'Tag(Glossary)'!$B:$G,4,0)</f>
        <v>String</v>
      </c>
      <c r="H7" s="39">
        <f>VLOOKUP($D7,'Tag(Glossary)'!$B:$G,5,0)</f>
        <v>2</v>
      </c>
      <c r="I7" s="3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s="146" customFormat="1" ht="25.5">
      <c r="A8" s="99"/>
      <c r="B8" s="116" t="str">
        <f>INDEX('Interface List'!$D$7:$D$45,MATCH($C8,'Interface List'!$E$7:$E$45,0))</f>
        <v>IFMDFIX0001</v>
      </c>
      <c r="C8" s="116" t="s">
        <v>256</v>
      </c>
      <c r="D8" s="39">
        <v>911</v>
      </c>
      <c r="E8" s="38" t="str">
        <f>VLOOKUP($D8,'Tag(Glossary)'!$B:$G,2,0)</f>
        <v>TotNumReports</v>
      </c>
      <c r="F8" s="39" t="s">
        <v>85</v>
      </c>
      <c r="G8" s="39" t="str">
        <f>VLOOKUP($D8,'Tag(Glossary)'!$B:$G,4,0)</f>
        <v>Int</v>
      </c>
      <c r="H8" s="39">
        <f>VLOOKUP($D8,'Tag(Glossary)'!$B:$G,5,0)</f>
        <v>16</v>
      </c>
      <c r="I8" s="38" t="str">
        <f>VLOOKUP($D8,'Tag(Glossary)'!$B:$H,6,0)&amp;IF(ISBLANK(VLOOKUP($D8,'Tag(Glossary)'!$B:$H,7,0)),"",CHAR(10))&amp;VLOOKUP($D8,'Tag(Glossary)'!$B:$H,7,0)</f>
        <v>Entire number of messages for issue information transmission or for a set of statistics results</v>
      </c>
    </row>
    <row r="9" spans="1:9" s="146" customFormat="1" ht="38.25">
      <c r="A9" s="99"/>
      <c r="B9" s="116" t="str">
        <f>INDEX('Interface List'!$D$7:$D$45,MATCH($C9,'Interface List'!$E$7:$E$45,0))</f>
        <v>IFMDFIX0001</v>
      </c>
      <c r="C9" s="116" t="s">
        <v>256</v>
      </c>
      <c r="D9" s="39">
        <v>207</v>
      </c>
      <c r="E9" s="38" t="str">
        <f>VLOOKUP($D9,'Tag(Glossary)'!$B:$G,2,0)</f>
        <v>SecurityExchange</v>
      </c>
      <c r="F9" s="39" t="s">
        <v>85</v>
      </c>
      <c r="G9" s="39" t="str">
        <f>VLOOKUP($D9,'Tag(Glossary)'!$B:$G,4,0)</f>
        <v>String</v>
      </c>
      <c r="H9" s="39">
        <f>VLOOKUP($D9,'Tag(Glossary)'!$B:$G,5,0)</f>
        <v>2</v>
      </c>
      <c r="I9" s="38" t="str">
        <f>VLOOKUP($D9,'Tag(Glossary)'!$B:$H,6,0)&amp;IF(ISBLANK(VLOOKUP($D9,'Tag(Glossary)'!$B:$H,7,0)),"",CHAR(10))&amp;VLOOKUP($D9,'Tag(Glossary)'!$B:$H,7,0)</f>
        <v>The unique ID assigned by Exchange
HO: HoSE
HX: HNX</v>
      </c>
    </row>
    <row r="10" spans="1:9" s="146" customFormat="1" ht="38.25">
      <c r="A10" s="99"/>
      <c r="B10" s="116" t="str">
        <f>INDEX('Interface List'!$D$7:$D$45,MATCH($C10,'Interface List'!$E$7:$E$45,0))</f>
        <v>IFMDFIX0001</v>
      </c>
      <c r="C10" s="116" t="s">
        <v>256</v>
      </c>
      <c r="D10" s="39">
        <v>55</v>
      </c>
      <c r="E10" s="38" t="str">
        <f>VLOOKUP($D10,'Tag(Glossary)'!$B:$G,2,0)</f>
        <v>Symbol</v>
      </c>
      <c r="F10" s="39" t="s">
        <v>85</v>
      </c>
      <c r="G10" s="39" t="str">
        <f>VLOOKUP($D10,'Tag(Glossary)'!$B:$G,4,0)</f>
        <v>String</v>
      </c>
      <c r="H10" s="39">
        <f>VLOOKUP($D10,'Tag(Glossary)'!$B:$G,5,0)</f>
        <v>12</v>
      </c>
      <c r="I10" s="38" t="str">
        <f>VLOOKUP($D10,'Tag(Glossary)'!$B:$H,6,0)&amp;IF(ISBLANK(VLOOKUP($D10,'Tag(Glossary)'!$B:$H,7,0)),"",CHAR(10))&amp;VLOOKUP($D10,'Tag(Glossary)'!$B:$H,7,0)</f>
        <v>The unique code of an issue (a.k.a. instrument or symbol). Generally it is ISIN code but in case of Repo market it is defined as the exchange staffs want</v>
      </c>
    </row>
    <row r="11" spans="1:9" s="146" customFormat="1" ht="25.5">
      <c r="A11" s="99"/>
      <c r="B11" s="116" t="str">
        <f>INDEX('Interface List'!$D$7:$D$45,MATCH($C11,'Interface List'!$E$7:$E$45,0))</f>
        <v>IFMDFIX0001</v>
      </c>
      <c r="C11" s="116" t="s">
        <v>256</v>
      </c>
      <c r="D11" s="39">
        <v>30624</v>
      </c>
      <c r="E11" s="38" t="str">
        <f>VLOOKUP($D11,'Tag(Glossary)'!$B:$G,2,0)</f>
        <v>TickerCode</v>
      </c>
      <c r="F11" s="39" t="s">
        <v>85</v>
      </c>
      <c r="G11" s="39" t="str">
        <f>VLOOKUP($D11,'Tag(Glossary)'!$B:$G,4,0)</f>
        <v>String</v>
      </c>
      <c r="H11" s="39">
        <f>VLOOKUP($D11,'Tag(Glossary)'!$B:$G,5,0)</f>
        <v>20</v>
      </c>
      <c r="I11" s="38" t="str">
        <f>VLOOKUP($D11,'Tag(Glossary)'!$B:$H,6,0)&amp;IF(ISBLANK(VLOOKUP($D11,'Tag(Glossary)'!$B:$H,7,0)),"",CHAR(10))&amp;VLOOKUP($D11,'Tag(Glossary)'!$B:$H,7,0)</f>
        <v>Symbolic characters of an instrument. It might be used as ticker code (a.k.a. trading code, local code, stock code, bond code and so forth)</v>
      </c>
    </row>
    <row r="12" spans="1:9" s="146" customFormat="1" ht="37.5" customHeight="1">
      <c r="A12" s="99"/>
      <c r="B12" s="116" t="str">
        <f>INDEX('Interface List'!$D$7:$D$45,MATCH($C12,'Interface List'!$E$7:$E$45,0))</f>
        <v>IFMDFIX0001</v>
      </c>
      <c r="C12" s="116" t="s">
        <v>256</v>
      </c>
      <c r="D12" s="128">
        <v>30628</v>
      </c>
      <c r="E12" s="38" t="str">
        <f>VLOOKUP($D12,'Tag(Glossary)'!$B:$G,2,0)</f>
        <v>SymbolShortCode</v>
      </c>
      <c r="F12" s="39" t="s">
        <v>85</v>
      </c>
      <c r="G12" s="39" t="str">
        <f>VLOOKUP($D12,'Tag(Glossary)'!$B:$G,4,0)</f>
        <v>String</v>
      </c>
      <c r="H12" s="39">
        <f>VLOOKUP($D12,'Tag(Glossary)'!$B:$G,5,0)</f>
        <v>9</v>
      </c>
      <c r="I12" s="38" t="str">
        <f>VLOOKUP($D12,'Tag(Glossary)'!$B:$H,6,0)&amp;IF(ISBLANK(VLOOKUP($D12,'Tag(Glossary)'!$B:$H,7,0)),"",CHAR(10))&amp;VLOOKUP($D12,'Tag(Glossary)'!$B:$H,7,0)</f>
        <v>A short unique code for an instrument which is determined at exchange and used for more convenience than 12-digit instrument code (ISIN code). It may be used as a part of Repo instrument's ISIN code</v>
      </c>
    </row>
    <row r="13" spans="1:9" s="146" customFormat="1">
      <c r="A13" s="99"/>
      <c r="B13" s="116" t="str">
        <f>INDEX('Interface List'!$D$7:$D$45,MATCH($C13,'Interface List'!$E$7:$E$45,0))</f>
        <v>IFMDFIX0001</v>
      </c>
      <c r="C13" s="116" t="s">
        <v>256</v>
      </c>
      <c r="D13" s="128">
        <v>30629</v>
      </c>
      <c r="E13" s="38" t="str">
        <f>VLOOKUP($D13,'Tag(Glossary)'!$B:$G,2,0)</f>
        <v>SymbolName</v>
      </c>
      <c r="F13" s="39" t="s">
        <v>85</v>
      </c>
      <c r="G13" s="39" t="str">
        <f>VLOOKUP($D13,'Tag(Glossary)'!$B:$G,4,0)</f>
        <v>String</v>
      </c>
      <c r="H13" s="39">
        <f>VLOOKUP($D13,'Tag(Glossary)'!$B:$G,5,0)</f>
        <v>120</v>
      </c>
      <c r="I13" s="38" t="str">
        <f>VLOOKUP($D13,'Tag(Glossary)'!$B:$H,6,0)&amp;IF(ISBLANK(VLOOKUP($D13,'Tag(Glossary)'!$B:$H,7,0)),"",CHAR(10))&amp;VLOOKUP($D13,'Tag(Glossary)'!$B:$H,7,0)</f>
        <v>Instrument name</v>
      </c>
    </row>
    <row r="14" spans="1:9" s="146" customFormat="1">
      <c r="A14" s="99"/>
      <c r="B14" s="116" t="str">
        <f>INDEX('Interface List'!$D$7:$D$45,MATCH($C14,'Interface List'!$E$7:$E$45,0))</f>
        <v>IFMDFIX0001</v>
      </c>
      <c r="C14" s="116" t="s">
        <v>256</v>
      </c>
      <c r="D14" s="128">
        <v>30630</v>
      </c>
      <c r="E14" s="38" t="str">
        <f>VLOOKUP($D14,'Tag(Glossary)'!$B:$G,2,0)</f>
        <v>SymbolEnglishName</v>
      </c>
      <c r="F14" s="39" t="s">
        <v>85</v>
      </c>
      <c r="G14" s="39" t="str">
        <f>VLOOKUP($D14,'Tag(Glossary)'!$B:$G,4,0)</f>
        <v>String</v>
      </c>
      <c r="H14" s="39">
        <f>VLOOKUP($D14,'Tag(Glossary)'!$B:$G,5,0)</f>
        <v>80</v>
      </c>
      <c r="I14" s="38" t="str">
        <f>VLOOKUP($D14,'Tag(Glossary)'!$B:$H,6,0)&amp;IF(ISBLANK(VLOOKUP($D14,'Tag(Glossary)'!$B:$H,7,0)),"",CHAR(10))&amp;VLOOKUP($D14,'Tag(Glossary)'!$B:$H,7,0)</f>
        <v>Instrument English name</v>
      </c>
    </row>
    <row r="15" spans="1:9" s="146" customFormat="1" ht="76.5">
      <c r="A15" s="99"/>
      <c r="B15" s="116" t="str">
        <f>INDEX('Interface List'!$D$7:$D$45,MATCH($C15,'Interface List'!$E$7:$E$45,0))</f>
        <v>IFMDFIX0001</v>
      </c>
      <c r="C15" s="116" t="s">
        <v>256</v>
      </c>
      <c r="D15" s="39">
        <v>20009</v>
      </c>
      <c r="E15" s="38" t="str">
        <f>VLOOKUP($D15,'Tag(Glossary)'!$B:$G,2,0)</f>
        <v>ProductID</v>
      </c>
      <c r="F15" s="39" t="s">
        <v>85</v>
      </c>
      <c r="G15" s="39" t="str">
        <f>VLOOKUP($D15,'Tag(Glossary)'!$B:$G,4,0)</f>
        <v>String</v>
      </c>
      <c r="H15" s="39">
        <f>VLOOKUP($D15,'Tag(Glossary)'!$B:$G,5,0)</f>
        <v>11</v>
      </c>
      <c r="I15" s="38" t="str">
        <f>VLOOKUP($D15,'Tag(Glossary)'!$B:$H,6,0)&amp;IF(ISBLANK(VLOOKUP($D15,'Tag(Glossary)'!$B:$H,7,0)),"",CHAR(10))&amp;VLOOKUP($D15,'Tag(Glossary)'!$B:$H,7,0)</f>
        <v>Product is a layer or unit to define or manage rules of trading, clearing and settlement, instrument creating, calculating statistics, etc. Product ID is assigned to Product ID created by combination of exchange, market, security group, underlying asset and currency
List of Products (ID and description) will be defined later.</v>
      </c>
    </row>
    <row r="16" spans="1:9" s="146" customFormat="1" ht="140.25">
      <c r="A16" s="99"/>
      <c r="B16" s="116" t="str">
        <f>INDEX('Interface List'!$D$7:$D$45,MATCH($C16,'Interface List'!$E$7:$E$45,0))</f>
        <v>IFMDFIX0001</v>
      </c>
      <c r="C16" s="116" t="s">
        <v>256</v>
      </c>
      <c r="D16" s="39">
        <v>20003</v>
      </c>
      <c r="E16" s="38" t="str">
        <f>VLOOKUP($D16,'Tag(Glossary)'!$B:$G,2,0)</f>
        <v>ProductGrpID</v>
      </c>
      <c r="F16" s="39" t="s">
        <v>85</v>
      </c>
      <c r="G16" s="39" t="str">
        <f>VLOOKUP($D16,'Tag(Glossary)'!$B:$G,4,0)</f>
        <v>String</v>
      </c>
      <c r="H16" s="39">
        <f>VLOOKUP($D16,'Tag(Glossary)'!$B:$G,5,0)</f>
        <v>3</v>
      </c>
      <c r="I16" s="38" t="str">
        <f>VLOOKUP($D16,'Tag(Glossary)'!$B:$H,6,0)&amp;IF(ISBLANK(VLOOKUP($D16,'Tag(Glossary)'!$B:$H,7,0)),"",CHAR(10))&amp;VLOOKUP($D16,'Tag(Glossary)'!$B:$H,7,0)</f>
        <v>Indicates Product Group ID which is defined in the trading system. Product Group is a group of Products that share the trading schedule.
STO : Stock Market Product Group
BDO : Bond Market Product Group
RPO : Repo Market Prodcut Group
STX : Listed Stock Market Product Group
UPX : UPCOM Product Group
BDX : Government Bond Product Group
FIO : Index Future Product Group
FBX : Bond Future Product Group
HCX : Corporate Bond Product Group</v>
      </c>
    </row>
    <row r="17" spans="1:9" s="146" customFormat="1">
      <c r="A17" s="99"/>
      <c r="B17" s="116" t="str">
        <f>INDEX('Interface List'!$D$7:$D$45,MATCH($C17,'Interface List'!$E$7:$E$45,0))</f>
        <v>IFMDFIX0001</v>
      </c>
      <c r="C17" s="116" t="s">
        <v>256</v>
      </c>
      <c r="D17" s="39">
        <v>30604</v>
      </c>
      <c r="E17" s="38" t="str">
        <f>VLOOKUP($D17,'Tag(Glossary)'!$B:$G,2,0)</f>
        <v>SecurityGroupID</v>
      </c>
      <c r="F17" s="39" t="s">
        <v>85</v>
      </c>
      <c r="G17" s="39" t="str">
        <f>VLOOKUP($D17,'Tag(Glossary)'!$B:$G,4,0)</f>
        <v>String</v>
      </c>
      <c r="H17" s="39">
        <f>VLOOKUP($D17,'Tag(Glossary)'!$B:$G,5,0)</f>
        <v>2</v>
      </c>
      <c r="I17" s="38" t="str">
        <f>VLOOKUP($D17,'Tag(Glossary)'!$B:$H,6,0)&amp;IF(ISBLANK(VLOOKUP($D17,'Tag(Glossary)'!$B:$H,7,0)),"",CHAR(10))&amp;VLOOKUP($D17,'Tag(Glossary)'!$B:$H,7,0)</f>
        <v>Security group ID (Stock, Investment Trust, Futures, Option,  etc.)</v>
      </c>
    </row>
    <row r="18" spans="1:9" s="146" customFormat="1" ht="38.25">
      <c r="A18" s="99"/>
      <c r="B18" s="116" t="str">
        <f>INDEX('Interface List'!$D$7:$D$45,MATCH($C18,'Interface List'!$E$7:$E$45,0))</f>
        <v>IFMDFIX0001</v>
      </c>
      <c r="C18" s="116" t="s">
        <v>256</v>
      </c>
      <c r="D18" s="39">
        <v>201</v>
      </c>
      <c r="E18" s="38" t="str">
        <f>VLOOKUP($D18,'Tag(Glossary)'!$B:$G,2,0)</f>
        <v>PutOrCall</v>
      </c>
      <c r="F18" s="39" t="s">
        <v>868</v>
      </c>
      <c r="G18" s="39" t="str">
        <f>VLOOKUP($D18,'Tag(Glossary)'!$B:$G,4,0)</f>
        <v>String</v>
      </c>
      <c r="H18" s="39">
        <f>VLOOKUP($D18,'Tag(Glossary)'!$B:$G,5,0)</f>
        <v>1</v>
      </c>
      <c r="I18" s="38" t="str">
        <f>VLOOKUP($D18,'Tag(Glossary)'!$B:$H,6,0)&amp;IF(ISBLANK(VLOOKUP($D18,'Tag(Glossary)'!$B:$H,7,0)),"",CHAR(10))&amp;VLOOKUP($D18,'Tag(Glossary)'!$B:$H,7,0)</f>
        <v>Rights type code of derivatives
P = Put 
C = Call</v>
      </c>
    </row>
    <row r="19" spans="1:9" s="146" customFormat="1" ht="63.75">
      <c r="A19" s="99"/>
      <c r="B19" s="116" t="str">
        <f>INDEX('Interface List'!$D$7:$D$45,MATCH($C19,'Interface List'!$E$7:$E$45,0))</f>
        <v>IFMDFIX0001</v>
      </c>
      <c r="C19" s="116" t="s">
        <v>256</v>
      </c>
      <c r="D19" s="39">
        <v>1194</v>
      </c>
      <c r="E19" s="38" t="str">
        <f>VLOOKUP($D19,'Tag(Glossary)'!$B:$G,2,0)</f>
        <v>ExerciseStyle</v>
      </c>
      <c r="F19" s="39" t="s">
        <v>868</v>
      </c>
      <c r="G19" s="39" t="str">
        <f>VLOOKUP($D19,'Tag(Glossary)'!$B:$G,4,0)</f>
        <v>String</v>
      </c>
      <c r="H19" s="39">
        <f>VLOOKUP($D19,'Tag(Glossary)'!$B:$G,5,0)</f>
        <v>1</v>
      </c>
      <c r="I19" s="38" t="str">
        <f>VLOOKUP($D19,'Tag(Glossary)'!$B:$H,6,0)&amp;IF(ISBLANK(VLOOKUP($D19,'Tag(Glossary)'!$B:$H,7,0)),"",CHAR(10))&amp;VLOOKUP($D19,'Tag(Glossary)'!$B:$H,7,0)</f>
        <v>Rights exercise type code of a derivatives
A: American-style
E: European-style
B: Bermuda-style
Z: Etc.</v>
      </c>
    </row>
    <row r="20" spans="1:9" s="146" customFormat="1">
      <c r="A20" s="99"/>
      <c r="B20" s="116" t="str">
        <f>INDEX('Interface List'!$D$7:$D$45,MATCH($C20,'Interface List'!$E$7:$E$45,0))</f>
        <v>IFMDFIX0001</v>
      </c>
      <c r="C20" s="116" t="s">
        <v>256</v>
      </c>
      <c r="D20" s="39">
        <v>200</v>
      </c>
      <c r="E20" s="38" t="str">
        <f>VLOOKUP($D20,'Tag(Glossary)'!$B:$G,2,0)</f>
        <v>MaturityMonthYear</v>
      </c>
      <c r="F20" s="39" t="s">
        <v>860</v>
      </c>
      <c r="G20" s="39" t="str">
        <f>VLOOKUP($D20,'Tag(Glossary)'!$B:$G,4,0)</f>
        <v>String</v>
      </c>
      <c r="H20" s="39">
        <f>VLOOKUP($D20,'Tag(Glossary)'!$B:$G,5,0)</f>
        <v>6</v>
      </c>
      <c r="I20" s="38" t="str">
        <f>VLOOKUP($D20,'Tag(Glossary)'!$B:$H,6,0)&amp;IF(ISBLANK(VLOOKUP($D20,'Tag(Glossary)'!$B:$H,7,0)),"",CHAR(10))&amp;VLOOKUP($D20,'Tag(Glossary)'!$B:$H,7,0)</f>
        <v>Expiration or maturity month (YYYYMM)</v>
      </c>
    </row>
    <row r="21" spans="1:9" s="146" customFormat="1" ht="25.5">
      <c r="A21" s="99"/>
      <c r="B21" s="116" t="str">
        <f>INDEX('Interface List'!$D$7:$D$45,MATCH($C21,'Interface List'!$E$7:$E$45,0))</f>
        <v>IFMDFIX0001</v>
      </c>
      <c r="C21" s="116" t="s">
        <v>256</v>
      </c>
      <c r="D21" s="39">
        <v>541</v>
      </c>
      <c r="E21" s="38" t="str">
        <f>VLOOKUP($D21,'Tag(Glossary)'!$B:$G,2,0)</f>
        <v>MaturityDate</v>
      </c>
      <c r="F21" s="39" t="s">
        <v>868</v>
      </c>
      <c r="G21" s="39" t="str">
        <f>VLOOKUP($D21,'Tag(Glossary)'!$B:$G,4,0)</f>
        <v>String</v>
      </c>
      <c r="H21" s="39">
        <f>VLOOKUP($D21,'Tag(Glossary)'!$B:$G,5,0)</f>
        <v>8</v>
      </c>
      <c r="I21" s="38" t="str">
        <f>VLOOKUP($D21,'Tag(Glossary)'!$B:$H,6,0)&amp;IF(ISBLANK(VLOOKUP($D21,'Tag(Glossary)'!$B:$H,7,0)),"",CHAR(10))&amp;VLOOKUP($D21,'Tag(Glossary)'!$B:$H,7,0)</f>
        <v>Expiration or maturity date
YYYYMMDD</v>
      </c>
    </row>
    <row r="22" spans="1:9" s="146" customFormat="1">
      <c r="A22" s="99"/>
      <c r="B22" s="116" t="str">
        <f>INDEX('Interface List'!$D$7:$D$45,MATCH($C22,'Interface List'!$E$7:$E$45,0))</f>
        <v>IFMDFIX0001</v>
      </c>
      <c r="C22" s="116" t="s">
        <v>256</v>
      </c>
      <c r="D22" s="39">
        <v>106</v>
      </c>
      <c r="E22" s="38" t="str">
        <f>VLOOKUP($D22,'Tag(Glossary)'!$B:$G,2,0)</f>
        <v>Issuer</v>
      </c>
      <c r="F22" s="39" t="s">
        <v>860</v>
      </c>
      <c r="G22" s="39" t="str">
        <f>VLOOKUP($D22,'Tag(Glossary)'!$B:$G,4,0)</f>
        <v>String</v>
      </c>
      <c r="H22" s="39">
        <f>VLOOKUP($D22,'Tag(Glossary)'!$B:$G,5,0)</f>
        <v>10</v>
      </c>
      <c r="I22" s="38" t="str">
        <f>VLOOKUP($D22,'Tag(Glossary)'!$B:$H,6,0)&amp;IF(ISBLANK(VLOOKUP($D22,'Tag(Glossary)'!$B:$H,7,0)),"",CHAR(10))&amp;VLOOKUP($D22,'Tag(Glossary)'!$B:$H,7,0)</f>
        <v>Issuer's unique ID</v>
      </c>
    </row>
    <row r="23" spans="1:9" s="146" customFormat="1" ht="25.5">
      <c r="A23" s="99"/>
      <c r="B23" s="116" t="str">
        <f>INDEX('Interface List'!$D$7:$D$45,MATCH($C23,'Interface List'!$E$7:$E$45,0))</f>
        <v>IFMDFIX0001</v>
      </c>
      <c r="C23" s="116" t="s">
        <v>256</v>
      </c>
      <c r="D23" s="39">
        <v>225</v>
      </c>
      <c r="E23" s="38" t="str">
        <f>VLOOKUP($D23,'Tag(Glossary)'!$B:$G,2,0)</f>
        <v>IssueDate</v>
      </c>
      <c r="F23" s="39" t="s">
        <v>860</v>
      </c>
      <c r="G23" s="39" t="str">
        <f>VLOOKUP($D23,'Tag(Glossary)'!$B:$G,4,0)</f>
        <v>String</v>
      </c>
      <c r="H23" s="39">
        <f>VLOOKUP($D23,'Tag(Glossary)'!$B:$G,5,0)</f>
        <v>8</v>
      </c>
      <c r="I23" s="38" t="str">
        <f>VLOOKUP($D23,'Tag(Glossary)'!$B:$H,6,0)&amp;IF(ISBLANK(VLOOKUP($D23,'Tag(Glossary)'!$B:$H,7,0)),"",CHAR(10))&amp;VLOOKUP($D23,'Tag(Glossary)'!$B:$H,7,0)</f>
        <v>Issued date
YYYYMMDD</v>
      </c>
    </row>
    <row r="24" spans="1:9" s="146" customFormat="1">
      <c r="A24" s="99"/>
      <c r="B24" s="116" t="str">
        <f>INDEX('Interface List'!$D$7:$D$45,MATCH($C24,'Interface List'!$E$7:$E$45,0))</f>
        <v>IFMDFIX0001</v>
      </c>
      <c r="C24" s="116" t="s">
        <v>256</v>
      </c>
      <c r="D24" s="39">
        <v>231</v>
      </c>
      <c r="E24" s="38" t="str">
        <f>VLOOKUP($D24,'Tag(Glossary)'!$B:$G,2,0)</f>
        <v>ContractMultiplier</v>
      </c>
      <c r="F24" s="39" t="s">
        <v>85</v>
      </c>
      <c r="G24" s="39" t="str">
        <f>VLOOKUP($D24,'Tag(Glossary)'!$B:$G,4,0)</f>
        <v>Float</v>
      </c>
      <c r="H24" s="39" t="str">
        <f>VLOOKUP($D24,'Tag(Glossary)'!$B:$G,5,0)</f>
        <v>22(12.8)</v>
      </c>
      <c r="I24" s="38" t="str">
        <f>VLOOKUP($D24,'Tag(Glossary)'!$B:$H,6,0)&amp;IF(ISBLANK(VLOOKUP($D24,'Tag(Glossary)'!$B:$H,7,0)),"",CHAR(10))&amp;VLOOKUP($D24,'Tag(Glossary)'!$B:$H,7,0)</f>
        <v>Trading multiplier for calculating trading or settlement amount</v>
      </c>
    </row>
    <row r="25" spans="1:9" s="146" customFormat="1" ht="25.5">
      <c r="A25" s="99"/>
      <c r="B25" s="116" t="str">
        <f>INDEX('Interface List'!$D$7:$D$45,MATCH($C25,'Interface List'!$E$7:$E$45,0))</f>
        <v>IFMDFIX0001</v>
      </c>
      <c r="C25" s="116" t="s">
        <v>256</v>
      </c>
      <c r="D25" s="39">
        <v>223</v>
      </c>
      <c r="E25" s="38" t="str">
        <f>VLOOKUP($D25,'Tag(Glossary)'!$B:$G,2,0)</f>
        <v>CouponRate</v>
      </c>
      <c r="F25" s="39" t="s">
        <v>860</v>
      </c>
      <c r="G25" s="39" t="str">
        <f>VLOOKUP($D25,'Tag(Glossary)'!$B:$G,4,0)</f>
        <v>Float</v>
      </c>
      <c r="H25" s="39" t="str">
        <f>VLOOKUP($D25,'Tag(Glossary)'!$B:$G,5,0)</f>
        <v>14(7.5)</v>
      </c>
      <c r="I25" s="38" t="str">
        <f>VLOOKUP($D25,'Tag(Glossary)'!$B:$H,6,0)&amp;IF(ISBLANK(VLOOKUP($D25,'Tag(Glossary)'!$B:$H,7,0)),"",CHAR(10))&amp;VLOOKUP($D25,'Tag(Glossary)'!$B:$H,7,0)</f>
        <v>Rate of return of a bond. Coupon Rate = Annual Interest Payments / Par Value</v>
      </c>
    </row>
    <row r="26" spans="1:9" s="146" customFormat="1" ht="51">
      <c r="A26" s="99"/>
      <c r="B26" s="116" t="str">
        <f>INDEX('Interface List'!$D$7:$D$45,MATCH($C26,'Interface List'!$E$7:$E$45,0))</f>
        <v>IFMDFIX0001</v>
      </c>
      <c r="C26" s="116" t="s">
        <v>256</v>
      </c>
      <c r="D26" s="39">
        <v>15</v>
      </c>
      <c r="E26" s="38" t="str">
        <f>VLOOKUP($D26,'Tag(Glossary)'!$B:$G,2,0)</f>
        <v>Currency</v>
      </c>
      <c r="F26" s="39" t="s">
        <v>85</v>
      </c>
      <c r="G26" s="39" t="str">
        <f>VLOOKUP($D26,'Tag(Glossary)'!$B:$G,4,0)</f>
        <v>String</v>
      </c>
      <c r="H26" s="39">
        <f>VLOOKUP($D26,'Tag(Glossary)'!$B:$G,5,0)</f>
        <v>3</v>
      </c>
      <c r="I26" s="38" t="str">
        <f>VLOOKUP($D26,'Tag(Glossary)'!$B:$H,6,0)&amp;IF(ISBLANK(VLOOKUP($D26,'Tag(Glossary)'!$B:$H,7,0)),"",CHAR(10))&amp;VLOOKUP($D26,'Tag(Glossary)'!$B:$H,7,0)</f>
        <v>Currency code on ISO 4217
VND: Vietnamese Dong
USD: US Dollar
EUR: Euro</v>
      </c>
    </row>
    <row r="27" spans="1:9" s="146" customFormat="1">
      <c r="A27" s="99"/>
      <c r="B27" s="116" t="str">
        <f>INDEX('Interface List'!$D$7:$D$45,MATCH($C27,'Interface List'!$E$7:$E$45,0))</f>
        <v>IFMDFIX0001</v>
      </c>
      <c r="C27" s="116" t="s">
        <v>256</v>
      </c>
      <c r="D27" s="39">
        <v>20020</v>
      </c>
      <c r="E27" s="38" t="str">
        <f>VLOOKUP($D27,'Tag(Glossary)'!$B:$G,2,0)</f>
        <v>ListedShares</v>
      </c>
      <c r="F27" s="39" t="s">
        <v>860</v>
      </c>
      <c r="G27" s="39" t="str">
        <f>VLOOKUP($D27,'Tag(Glossary)'!$B:$G,4,0)</f>
        <v>Int</v>
      </c>
      <c r="H27" s="39">
        <f>VLOOKUP($D27,'Tag(Glossary)'!$B:$G,5,0)</f>
        <v>16</v>
      </c>
      <c r="I27" s="38" t="str">
        <f>VLOOKUP($D27,'Tag(Glossary)'!$B:$H,6,0)&amp;IF(ISBLANK(VLOOKUP($D27,'Tag(Glossary)'!$B:$H,7,0)),"",CHAR(10))&amp;VLOOKUP($D27,'Tag(Glossary)'!$B:$H,7,0)</f>
        <v xml:space="preserve">Number of listed stocks </v>
      </c>
    </row>
    <row r="28" spans="1:9" s="146" customFormat="1">
      <c r="A28" s="99"/>
      <c r="B28" s="116" t="str">
        <f>INDEX('Interface List'!$D$7:$D$45,MATCH($C28,'Interface List'!$E$7:$E$45,0))</f>
        <v>IFMDFIX0001</v>
      </c>
      <c r="C28" s="116" t="s">
        <v>256</v>
      </c>
      <c r="D28" s="39">
        <v>1149</v>
      </c>
      <c r="E28" s="38" t="str">
        <f>VLOOKUP($D28,'Tag(Glossary)'!$B:$G,2,0)</f>
        <v>HighLimitPrice</v>
      </c>
      <c r="F28" s="39" t="s">
        <v>85</v>
      </c>
      <c r="G28" s="39" t="str">
        <f>VLOOKUP($D28,'Tag(Glossary)'!$B:$G,4,0)</f>
        <v>Price</v>
      </c>
      <c r="H28" s="39" t="str">
        <f>VLOOKUP($D28,'Tag(Glossary)'!$B:$G,5,0)</f>
        <v>15(9.4)</v>
      </c>
      <c r="I28" s="38" t="str">
        <f>VLOOKUP($D28,'Tag(Glossary)'!$B:$H,6,0)&amp;IF(ISBLANK(VLOOKUP($D28,'Tag(Glossary)'!$B:$H,7,0)),"",CHAR(10))&amp;VLOOKUP($D28,'Tag(Glossary)'!$B:$H,7,0)</f>
        <v>Available high limit price for the tradig day</v>
      </c>
    </row>
    <row r="29" spans="1:9" s="146" customFormat="1">
      <c r="A29" s="99"/>
      <c r="B29" s="116" t="str">
        <f>INDEX('Interface List'!$D$7:$D$45,MATCH($C29,'Interface List'!$E$7:$E$45,0))</f>
        <v>IFMDFIX0001</v>
      </c>
      <c r="C29" s="116" t="s">
        <v>256</v>
      </c>
      <c r="D29" s="39">
        <v>1148</v>
      </c>
      <c r="E29" s="38" t="str">
        <f>VLOOKUP($D29,'Tag(Glossary)'!$B:$G,2,0)</f>
        <v>LowLimitPrice</v>
      </c>
      <c r="F29" s="39" t="s">
        <v>85</v>
      </c>
      <c r="G29" s="39" t="str">
        <f>VLOOKUP($D29,'Tag(Glossary)'!$B:$G,4,0)</f>
        <v>Price</v>
      </c>
      <c r="H29" s="39" t="str">
        <f>VLOOKUP($D29,'Tag(Glossary)'!$B:$G,5,0)</f>
        <v>15(9.4)</v>
      </c>
      <c r="I29" s="38" t="str">
        <f>VLOOKUP($D29,'Tag(Glossary)'!$B:$H,6,0)&amp;IF(ISBLANK(VLOOKUP($D29,'Tag(Glossary)'!$B:$H,7,0)),"",CHAR(10))&amp;VLOOKUP($D29,'Tag(Glossary)'!$B:$H,7,0)</f>
        <v>Available low limit price for the tradig day</v>
      </c>
    </row>
    <row r="30" spans="1:9" s="146" customFormat="1">
      <c r="A30" s="99"/>
      <c r="B30" s="116" t="str">
        <f>INDEX('Interface List'!$D$7:$D$45,MATCH($C30,'Interface List'!$E$7:$E$45,0))</f>
        <v>IFMDFIX0001</v>
      </c>
      <c r="C30" s="116" t="s">
        <v>256</v>
      </c>
      <c r="D30" s="39">
        <v>202</v>
      </c>
      <c r="E30" s="38" t="str">
        <f>VLOOKUP($D30,'Tag(Glossary)'!$B:$G,2,0)</f>
        <v>StrikePrice</v>
      </c>
      <c r="F30" s="39" t="s">
        <v>85</v>
      </c>
      <c r="G30" s="39" t="str">
        <f>VLOOKUP($D30,'Tag(Glossary)'!$B:$G,4,0)</f>
        <v>Price</v>
      </c>
      <c r="H30" s="39" t="str">
        <f>VLOOKUP($D30,'Tag(Glossary)'!$B:$G,5,0)</f>
        <v>18(9.8)</v>
      </c>
      <c r="I30" s="38" t="str">
        <f>VLOOKUP($D30,'Tag(Glossary)'!$B:$H,6,0)&amp;IF(ISBLANK(VLOOKUP($D30,'Tag(Glossary)'!$B:$H,7,0)),"",CHAR(10))&amp;VLOOKUP($D30,'Tag(Glossary)'!$B:$H,7,0)</f>
        <v>Exercise (strike) price of options or Subscription Warrant</v>
      </c>
    </row>
    <row r="31" spans="1:9" s="146" customFormat="1" ht="38.25">
      <c r="A31" s="99"/>
      <c r="B31" s="116" t="str">
        <f>INDEX('Interface List'!$D$7:$D$45,MATCH($C31,'Interface List'!$E$7:$E$45,0))</f>
        <v>IFMDFIX0001</v>
      </c>
      <c r="C31" s="116" t="s">
        <v>256</v>
      </c>
      <c r="D31" s="39">
        <v>965</v>
      </c>
      <c r="E31" s="38" t="str">
        <f>VLOOKUP($D31,'Tag(Glossary)'!$B:$G,2,0)</f>
        <v>SecurityStatus</v>
      </c>
      <c r="F31" s="39" t="s">
        <v>85</v>
      </c>
      <c r="G31" s="39" t="str">
        <f>VLOOKUP($D31,'Tag(Glossary)'!$B:$G,4,0)</f>
        <v>String</v>
      </c>
      <c r="H31" s="39">
        <f>VLOOKUP($D31,'Tag(Glossary)'!$B:$G,5,0)</f>
        <v>1</v>
      </c>
      <c r="I31" s="38" t="str">
        <f>VLOOKUP($D31,'Tag(Glossary)'!$B:$H,6,0)&amp;IF(ISBLANK(VLOOKUP($D31,'Tag(Glossary)'!$B:$H,7,0)),"",CHAR(10))&amp;VLOOKUP($D31,'Tag(Glossary)'!$B:$H,7,0)</f>
        <v>Whether trading halt or not
Y = Halt
N = Not Halt</v>
      </c>
    </row>
    <row r="32" spans="1:9" s="146" customFormat="1" ht="51">
      <c r="A32" s="99"/>
      <c r="B32" s="116" t="str">
        <f>INDEX('Interface List'!$D$7:$D$45,MATCH($C32,'Interface List'!$E$7:$E$45,0))</f>
        <v>IFMDFIX0001</v>
      </c>
      <c r="C32" s="116" t="s">
        <v>256</v>
      </c>
      <c r="D32" s="39">
        <v>30631</v>
      </c>
      <c r="E32" s="38" t="str">
        <f>VLOOKUP($D32,'Tag(Glossary)'!$B:$G,2,0)</f>
        <v>ContractSize</v>
      </c>
      <c r="F32" s="39" t="s">
        <v>85</v>
      </c>
      <c r="G32" s="39" t="str">
        <f>VLOOKUP($D32,'Tag(Glossary)'!$B:$G,4,0)</f>
        <v>Float</v>
      </c>
      <c r="H32" s="39" t="str">
        <f>VLOOKUP($D32,'Tag(Glossary)'!$B:$G,5,0)</f>
        <v>21(12.8)</v>
      </c>
      <c r="I32" s="38" t="str">
        <f>VLOOKUP($D32,'Tag(Glossary)'!$B:$H,6,0)&amp;IF(ISBLANK(VLOOKUP($D32,'Tag(Glossary)'!$B:$H,7,0)),"",CHAR(10))&amp;VLOOKUP($D32,'Tag(Glossary)'!$B:$H,7,0)</f>
        <v>The quantity of trading objects (in case of derivatives, underlying assets) per unit trade or contract. For example, 500 point for index, 100 shares for stock, 100,000 amount for bond or foreign currency, 10kg for gold. In case of derivatives it is the basis of physical delivery</v>
      </c>
    </row>
    <row r="33" spans="1:9" s="146" customFormat="1" ht="63.75">
      <c r="A33" s="99"/>
      <c r="B33" s="116" t="str">
        <f>INDEX('Interface List'!$D$7:$D$45,MATCH($C33,'Interface List'!$E$7:$E$45,0))</f>
        <v>IFMDFIX0001</v>
      </c>
      <c r="C33" s="116" t="s">
        <v>256</v>
      </c>
      <c r="D33" s="39">
        <v>1193</v>
      </c>
      <c r="E33" s="38" t="str">
        <f>VLOOKUP($D33,'Tag(Glossary)'!$B:$G,2,0)</f>
        <v>SettlMethod</v>
      </c>
      <c r="F33" s="39" t="s">
        <v>868</v>
      </c>
      <c r="G33" s="39" t="str">
        <f>VLOOKUP($D33,'Tag(Glossary)'!$B:$G,4,0)</f>
        <v>String</v>
      </c>
      <c r="H33" s="39">
        <f>VLOOKUP($D33,'Tag(Glossary)'!$B:$G,5,0)</f>
        <v>1</v>
      </c>
      <c r="I33" s="38" t="str">
        <f>VLOOKUP($D33,'Tag(Glossary)'!$B:$H,6,0)&amp;IF(ISBLANK(VLOOKUP($D33,'Tag(Glossary)'!$B:$H,7,0)),"",CHAR(10))&amp;VLOOKUP($D33,'Tag(Glossary)'!$B:$H,7,0)</f>
        <v>The final settlement method
C: Cash
D: Physical Delivery
A: Cash + Physical Delivery
O: None</v>
      </c>
    </row>
    <row r="34" spans="1:9" s="146" customFormat="1">
      <c r="A34" s="99"/>
      <c r="B34" s="116" t="str">
        <f>INDEX('Interface List'!$D$7:$D$45,MATCH($C34,'Interface List'!$E$7:$E$45,0))</f>
        <v>IFMDFIX0001</v>
      </c>
      <c r="C34" s="116" t="s">
        <v>256</v>
      </c>
      <c r="D34" s="39">
        <v>236</v>
      </c>
      <c r="E34" s="38" t="str">
        <f>VLOOKUP($D34,'Tag(Glossary)'!$B:$G,2,0)</f>
        <v>Yield</v>
      </c>
      <c r="F34" s="39" t="s">
        <v>860</v>
      </c>
      <c r="G34" s="39" t="str">
        <f>VLOOKUP($D34,'Tag(Glossary)'!$B:$G,4,0)</f>
        <v>Float</v>
      </c>
      <c r="H34" s="39" t="str">
        <f>VLOOKUP($D34,'Tag(Glossary)'!$B:$G,5,0)</f>
        <v>13(5.6)</v>
      </c>
      <c r="I34" s="38" t="str">
        <f>VLOOKUP($D34,'Tag(Glossary)'!$B:$H,6,0)&amp;IF(ISBLANK(VLOOKUP($D34,'Tag(Glossary)'!$B:$H,7,0)),"",CHAR(10))&amp;VLOOKUP($D34,'Tag(Glossary)'!$B:$H,7,0)</f>
        <v>Yield to maturity based on Reference Price</v>
      </c>
    </row>
    <row r="35" spans="1:9" s="146" customFormat="1" ht="25.5">
      <c r="A35" s="99"/>
      <c r="B35" s="116" t="str">
        <f>INDEX('Interface List'!$D$7:$D$45,MATCH($C35,'Interface List'!$E$7:$E$45,0))</f>
        <v>IFMDFIX0001</v>
      </c>
      <c r="C35" s="116" t="s">
        <v>256</v>
      </c>
      <c r="D35" s="39">
        <v>20013</v>
      </c>
      <c r="E35" s="38" t="str">
        <f>VLOOKUP($D35,'Tag(Glossary)'!$B:$G,2,0)</f>
        <v>ReferencePrice</v>
      </c>
      <c r="F35" s="39" t="s">
        <v>85</v>
      </c>
      <c r="G35" s="39" t="str">
        <f>VLOOKUP($D35,'Tag(Glossary)'!$B:$G,4,0)</f>
        <v>Price</v>
      </c>
      <c r="H35" s="39" t="str">
        <f>VLOOKUP($D35,'Tag(Glossary)'!$B:$G,5,0)</f>
        <v>15(9.4)</v>
      </c>
      <c r="I35" s="38" t="str">
        <f>VLOOKUP($D35,'Tag(Glossary)'!$B:$H,6,0)&amp;IF(ISBLANK(VLOOKUP($D35,'Tag(Glossary)'!$B:$H,7,0)),"",CHAR(10))&amp;VLOOKUP($D35,'Tag(Glossary)'!$B:$H,7,0)</f>
        <v>Reference price of a given instrument. Price limit is determined based on this price.</v>
      </c>
    </row>
    <row r="36" spans="1:9" s="146" customFormat="1" ht="51">
      <c r="A36" s="99"/>
      <c r="B36" s="116" t="str">
        <f>INDEX('Interface List'!$D$7:$D$45,MATCH($C36,'Interface List'!$E$7:$E$45,0))</f>
        <v>IFMDFIX0001</v>
      </c>
      <c r="C36" s="116" t="s">
        <v>256</v>
      </c>
      <c r="D36" s="39">
        <v>20014</v>
      </c>
      <c r="E36" s="38" t="str">
        <f>VLOOKUP($D36,'Tag(Glossary)'!$B:$G,2,0)</f>
        <v>EvaluationPrice</v>
      </c>
      <c r="F36" s="39" t="s">
        <v>860</v>
      </c>
      <c r="G36" s="39" t="str">
        <f>VLOOKUP($D36,'Tag(Glossary)'!$B:$G,4,0)</f>
        <v>Price</v>
      </c>
      <c r="H36" s="39" t="str">
        <f>VLOOKUP($D36,'Tag(Glossary)'!$B:$G,5,0)</f>
        <v>15(9.4)</v>
      </c>
      <c r="I36" s="38" t="str">
        <f>VLOOKUP($D36,'Tag(Glossary)'!$B:$H,6,0)&amp;IF(ISBLANK(VLOOKUP($D36,'Tag(Glossary)'!$B:$H,7,0)),"",CHAR(10))&amp;VLOOKUP($D36,'Tag(Glossary)'!$B:$H,7,0)</f>
        <v>Valuation price for a 'Re-Valuation' instrument. For such instrument, price limit is set based on this price until the first execution. Once the first execution is occurred, price limit is set again base on the price of the first execution.</v>
      </c>
    </row>
    <row r="37" spans="1:9" s="146" customFormat="1" ht="25.5">
      <c r="A37" s="99"/>
      <c r="B37" s="116" t="str">
        <f>INDEX('Interface List'!$D$7:$D$45,MATCH($C37,'Interface List'!$E$7:$E$45,0))</f>
        <v>IFMDFIX0001</v>
      </c>
      <c r="C37" s="116" t="s">
        <v>256</v>
      </c>
      <c r="D37" s="39">
        <v>20015</v>
      </c>
      <c r="E37" s="38" t="str">
        <f>VLOOKUP($D37,'Tag(Glossary)'!$B:$G,2,0)</f>
        <v>HgstOrderPrice</v>
      </c>
      <c r="F37" s="39" t="s">
        <v>860</v>
      </c>
      <c r="G37" s="39" t="str">
        <f>VLOOKUP($D37,'Tag(Glossary)'!$B:$G,4,0)</f>
        <v>Price</v>
      </c>
      <c r="H37" s="39" t="str">
        <f>VLOOKUP($D37,'Tag(Glossary)'!$B:$G,5,0)</f>
        <v>15 (9.4)</v>
      </c>
      <c r="I37" s="38" t="str">
        <f>VLOOKUP($D37,'Tag(Glossary)'!$B:$H,6,0)&amp;IF(ISBLANK(VLOOKUP($D37,'Tag(Glossary)'!$B:$H,7,0)),"",CHAR(10))&amp;VLOOKUP($D37,'Tag(Glossary)'!$B:$H,7,0)</f>
        <v>Upper price limit for a 'Re-Valuation' instrument during the opening call auction (or until the first execution).</v>
      </c>
    </row>
    <row r="38" spans="1:9" s="146" customFormat="1" ht="25.5">
      <c r="A38" s="99"/>
      <c r="B38" s="116" t="str">
        <f>INDEX('Interface List'!$D$7:$D$45,MATCH($C38,'Interface List'!$E$7:$E$45,0))</f>
        <v>IFMDFIX0001</v>
      </c>
      <c r="C38" s="116" t="s">
        <v>256</v>
      </c>
      <c r="D38" s="39">
        <v>20016</v>
      </c>
      <c r="E38" s="38" t="str">
        <f>VLOOKUP($D38,'Tag(Glossary)'!$B:$G,2,0)</f>
        <v>LwstOrderPrice</v>
      </c>
      <c r="F38" s="39" t="s">
        <v>860</v>
      </c>
      <c r="G38" s="39" t="str">
        <f>VLOOKUP($D38,'Tag(Glossary)'!$B:$G,4,0)</f>
        <v>Price</v>
      </c>
      <c r="H38" s="39" t="str">
        <f>VLOOKUP($D38,'Tag(Glossary)'!$B:$G,5,0)</f>
        <v>15 (9.4)</v>
      </c>
      <c r="I38" s="38" t="str">
        <f>VLOOKUP($D38,'Tag(Glossary)'!$B:$H,6,0)&amp;IF(ISBLANK(VLOOKUP($D38,'Tag(Glossary)'!$B:$H,7,0)),"",CHAR(10))&amp;VLOOKUP($D38,'Tag(Glossary)'!$B:$H,7,0)</f>
        <v>Lower price limit for a 'Re-Valuation' instrument during the opening call auction (or until the first execution).</v>
      </c>
    </row>
    <row r="39" spans="1:9" s="146" customFormat="1">
      <c r="A39" s="99"/>
      <c r="B39" s="116" t="str">
        <f>INDEX('Interface List'!$D$7:$D$45,MATCH($C39,'Interface List'!$E$7:$E$45,0))</f>
        <v>IFMDFIX0001</v>
      </c>
      <c r="C39" s="116" t="s">
        <v>256</v>
      </c>
      <c r="D39" s="39">
        <v>140</v>
      </c>
      <c r="E39" s="38" t="str">
        <f>VLOOKUP($D39,'Tag(Glossary)'!$B:$G,2,0)</f>
        <v>PrevClosePx</v>
      </c>
      <c r="F39" s="39" t="s">
        <v>85</v>
      </c>
      <c r="G39" s="39" t="str">
        <f>VLOOKUP($D39,'Tag(Glossary)'!$B:$G,4,0)</f>
        <v>Price</v>
      </c>
      <c r="H39" s="39" t="str">
        <f>VLOOKUP($D39,'Tag(Glossary)'!$B:$G,5,0)</f>
        <v>15(9.4)</v>
      </c>
      <c r="I39" s="38" t="str">
        <f>VLOOKUP($D39,'Tag(Glossary)'!$B:$H,6,0)&amp;IF(ISBLANK(VLOOKUP($D39,'Tag(Glossary)'!$B:$H,7,0)),"",CHAR(10))&amp;VLOOKUP($D39,'Tag(Glossary)'!$B:$H,7,0)</f>
        <v>Prev Close Price</v>
      </c>
    </row>
    <row r="40" spans="1:9" s="146" customFormat="1" ht="63.75">
      <c r="A40" s="99"/>
      <c r="B40" s="116" t="str">
        <f>INDEX('Interface List'!$D$7:$D$45,MATCH($C40,'Interface List'!$E$7:$E$45,0))</f>
        <v>IFMDFIX0001</v>
      </c>
      <c r="C40" s="116" t="s">
        <v>256</v>
      </c>
      <c r="D40" s="39">
        <v>20027</v>
      </c>
      <c r="E40" s="38" t="str">
        <f>VLOOKUP($D40,'Tag(Glossary)'!$B:$G,2,0)</f>
        <v>SymbolCloseInfoPxType</v>
      </c>
      <c r="F40" s="39" t="s">
        <v>85</v>
      </c>
      <c r="G40" s="39" t="str">
        <f>VLOOKUP($D40,'Tag(Glossary)'!$B:$G,4,0)</f>
        <v>String</v>
      </c>
      <c r="H40" s="39">
        <f>VLOOKUP($D40,'Tag(Glossary)'!$B:$G,5,0)</f>
        <v>1</v>
      </c>
      <c r="I40" s="38" t="str">
        <f>VLOOKUP($D40,'Tag(Glossary)'!$B:$H,6,0)&amp;IF(ISBLANK(VLOOKUP($D40,'Tag(Glossary)'!$B:$H,7,0)),"",CHAR(10))&amp;VLOOKUP($D40,'Tag(Glossary)'!$B:$H,7,0)</f>
        <v>Type of closing price
1: Actual Trade
2: Biased Quotation
3: No Trade
4: Biased Quotation of an Re-Valuation Instr.</v>
      </c>
    </row>
    <row r="41" spans="1:9" s="146" customFormat="1" ht="25.5">
      <c r="A41" s="99"/>
      <c r="B41" s="116" t="str">
        <f>INDEX('Interface List'!$D$7:$D$45,MATCH($C41,'Interface List'!$E$7:$E$45,0))</f>
        <v>IFMDFIX0001</v>
      </c>
      <c r="C41" s="116" t="s">
        <v>256</v>
      </c>
      <c r="D41" s="39">
        <v>30642</v>
      </c>
      <c r="E41" s="38" t="str">
        <f>VLOOKUP($D41,'Tag(Glossary)'!$B:$G,2,0)</f>
        <v>FirstTradingDate</v>
      </c>
      <c r="F41" s="39" t="s">
        <v>868</v>
      </c>
      <c r="G41" s="39" t="str">
        <f>VLOOKUP($D41,'Tag(Glossary)'!$B:$G,4,0)</f>
        <v>String</v>
      </c>
      <c r="H41" s="39">
        <f>VLOOKUP($D41,'Tag(Glossary)'!$B:$G,5,0)</f>
        <v>8</v>
      </c>
      <c r="I41" s="38" t="str">
        <f>VLOOKUP($D41,'Tag(Glossary)'!$B:$H,6,0)&amp;IF(ISBLANK(VLOOKUP($D41,'Tag(Glossary)'!$B:$H,7,0)),"",CHAR(10))&amp;VLOOKUP($D41,'Tag(Glossary)'!$B:$H,7,0)</f>
        <v>First trading date
YYYYMMDD</v>
      </c>
    </row>
    <row r="42" spans="1:9" s="146" customFormat="1" ht="25.5">
      <c r="A42" s="99"/>
      <c r="B42" s="116" t="str">
        <f>INDEX('Interface List'!$D$7:$D$45,MATCH($C42,'Interface List'!$E$7:$E$45,0))</f>
        <v>IFMDFIX0001</v>
      </c>
      <c r="C42" s="116" t="s">
        <v>256</v>
      </c>
      <c r="D42" s="39">
        <v>30511</v>
      </c>
      <c r="E42" s="38" t="str">
        <f>VLOOKUP($D42,'Tag(Glossary)'!$B:$G,2,0)</f>
        <v>FinalTradeDate</v>
      </c>
      <c r="F42" s="39" t="s">
        <v>868</v>
      </c>
      <c r="G42" s="39" t="str">
        <f>VLOOKUP($D42,'Tag(Glossary)'!$B:$G,4,0)</f>
        <v>String</v>
      </c>
      <c r="H42" s="39">
        <f>VLOOKUP($D42,'Tag(Glossary)'!$B:$G,5,0)</f>
        <v>8</v>
      </c>
      <c r="I42" s="38" t="str">
        <f>VLOOKUP($D42,'Tag(Glossary)'!$B:$H,6,0)&amp;IF(ISBLANK(VLOOKUP($D42,'Tag(Glossary)'!$B:$H,7,0)),"",CHAR(10))&amp;VLOOKUP($D42,'Tag(Glossary)'!$B:$H,7,0)</f>
        <v>Last trading date
YYYYMMDD</v>
      </c>
    </row>
    <row r="43" spans="1:9" s="146" customFormat="1" ht="25.5">
      <c r="A43" s="99"/>
      <c r="B43" s="116" t="str">
        <f>INDEX('Interface List'!$D$7:$D$45,MATCH($C43,'Interface List'!$E$7:$E$45,0))</f>
        <v>IFMDFIX0001</v>
      </c>
      <c r="C43" s="116" t="s">
        <v>256</v>
      </c>
      <c r="D43" s="39">
        <v>30512</v>
      </c>
      <c r="E43" s="38" t="str">
        <f>VLOOKUP($D43,'Tag(Glossary)'!$B:$G,2,0)</f>
        <v>FinalSettleDate</v>
      </c>
      <c r="F43" s="39" t="s">
        <v>860</v>
      </c>
      <c r="G43" s="39" t="str">
        <f>VLOOKUP($D43,'Tag(Glossary)'!$B:$G,4,0)</f>
        <v>String</v>
      </c>
      <c r="H43" s="39">
        <f>VLOOKUP($D43,'Tag(Glossary)'!$B:$G,5,0)</f>
        <v>8</v>
      </c>
      <c r="I43" s="38" t="str">
        <f>VLOOKUP($D43,'Tag(Glossary)'!$B:$H,6,0)&amp;IF(ISBLANK(VLOOKUP($D43,'Tag(Glossary)'!$B:$H,7,0)),"",CHAR(10))&amp;VLOOKUP($D43,'Tag(Glossary)'!$B:$H,7,0)</f>
        <v>Last settlement date
YYYYMMDD</v>
      </c>
    </row>
    <row r="44" spans="1:9" s="146" customFormat="1" ht="25.5">
      <c r="A44" s="99"/>
      <c r="B44" s="116" t="str">
        <f>INDEX('Interface List'!$D$7:$D$45,MATCH($C44,'Interface List'!$E$7:$E$45,0))</f>
        <v>IFMDFIX0001</v>
      </c>
      <c r="C44" s="116" t="s">
        <v>257</v>
      </c>
      <c r="D44" s="39">
        <v>30301</v>
      </c>
      <c r="E44" s="38" t="str">
        <f>VLOOKUP($D44,'Tag(Glossary)'!$B:$G,2,0)</f>
        <v>ListingDate</v>
      </c>
      <c r="F44" s="39" t="s">
        <v>868</v>
      </c>
      <c r="G44" s="39" t="str">
        <f>VLOOKUP($D44,'Tag(Glossary)'!$B:$G,4,0)</f>
        <v>String</v>
      </c>
      <c r="H44" s="39">
        <f>VLOOKUP($D44,'Tag(Glossary)'!$B:$G,5,0)</f>
        <v>8</v>
      </c>
      <c r="I44" s="38" t="str">
        <f>VLOOKUP($D44,'Tag(Glossary)'!$B:$H,6,0)&amp;IF(ISBLANK(VLOOKUP($D44,'Tag(Glossary)'!$B:$H,7,0)),"",CHAR(10))&amp;VLOOKUP($D44,'Tag(Glossary)'!$B:$H,7,0)</f>
        <v>Listing date of a derivative product or an instrument
YYYYMMDD</v>
      </c>
    </row>
    <row r="45" spans="1:9" s="146" customFormat="1" ht="76.5">
      <c r="A45" s="99"/>
      <c r="B45" s="116" t="str">
        <f>INDEX('Interface List'!$D$7:$D$45,MATCH($C45,'Interface List'!$E$7:$E$45,0))</f>
        <v>IFMDFIX0001</v>
      </c>
      <c r="C45" s="116" t="s">
        <v>256</v>
      </c>
      <c r="D45" s="40">
        <v>30614</v>
      </c>
      <c r="E45" s="38" t="str">
        <f>VLOOKUP($D45,'Tag(Glossary)'!$B:$G,2,0)</f>
        <v>RandomEndTriggeringConditionCode</v>
      </c>
      <c r="F45" s="39" t="s">
        <v>85</v>
      </c>
      <c r="G45" s="39" t="str">
        <f>VLOOKUP($D45,'Tag(Glossary)'!$B:$G,4,0)</f>
        <v>String</v>
      </c>
      <c r="H45" s="39">
        <f>VLOOKUP($D45,'Tag(Glossary)'!$B:$G,5,0)</f>
        <v>1</v>
      </c>
      <c r="I45" s="38" t="str">
        <f>VLOOKUP($D45,'Tag(Glossary)'!$B:$H,6,0)&amp;IF(ISBLANK(VLOOKUP($D45,'Tag(Glossary)'!$B:$H,7,0)),"",CHAR(10))&amp;VLOOKUP($D45,'Tag(Glossary)'!$B:$H,7,0)</f>
        <v>Conditions for triggering random-end at the end of every call auction session. In case of  code '2' (Conditional Triggering) the actual triggering is conducted after checking if price conditions meet the 'Random End Rule'
0: Not Trigger
1: Unconditional Trigger
2: Conditional Trigger</v>
      </c>
    </row>
    <row r="46" spans="1:9" s="146" customFormat="1" ht="178.5">
      <c r="A46" s="99"/>
      <c r="B46" s="116" t="str">
        <f>INDEX('Interface List'!$D$7:$D$45,MATCH($C46,'Interface List'!$E$7:$E$45,0))</f>
        <v>IFMDFIX0001</v>
      </c>
      <c r="C46" s="116" t="s">
        <v>256</v>
      </c>
      <c r="D46" s="40">
        <v>20018</v>
      </c>
      <c r="E46" s="38" t="str">
        <f>VLOOKUP($D46,'Tag(Glossary)'!$B:$G,2,0)</f>
        <v>ExClassType</v>
      </c>
      <c r="F46" s="39" t="s">
        <v>868</v>
      </c>
      <c r="G46" s="39" t="str">
        <f>VLOOKUP($D46,'Tag(Glossary)'!$B:$G,4,0)</f>
        <v>String</v>
      </c>
      <c r="H46" s="39">
        <f>VLOOKUP($D46,'Tag(Glossary)'!$B:$G,5,0)</f>
        <v>2</v>
      </c>
      <c r="I46" s="38" t="str">
        <f>VLOOKUP($D46,'Tag(Glossary)'!$B:$H,6,0)&amp;IF(ISBLANK(VLOOKUP($D46,'Tag(Glossary)'!$B:$H,7,0)),"",CHAR(10))&amp;VLOOKUP($D46,'Tag(Glossary)'!$B:$H,7,0)</f>
        <v>Corporate action type that may affect reference price.
00: N/A
01: Stock Dividend/Bonus (D/B)
02: Cash Dividend
04: Right Offering (RO)
03: Stock D/B + Cash D
05: RO + Stock D/B
06: RO + Cash D
07: RO + Stock D/B + Cash D
08: Convertible Bond
16: Treasury Stock Div.
P1: Stock Split
P2: Stock Merge
XX: Etc.</v>
      </c>
    </row>
    <row r="47" spans="1:9" s="146" customFormat="1">
      <c r="A47" s="99"/>
      <c r="B47" s="116" t="str">
        <f>INDEX('Interface List'!$D$7:$D$45,MATCH($C47,'Interface List'!$E$7:$E$45,0))</f>
        <v>IFMDFIX0001</v>
      </c>
      <c r="C47" s="116" t="s">
        <v>256</v>
      </c>
      <c r="D47" s="40">
        <v>30625</v>
      </c>
      <c r="E47" s="38" t="str">
        <f>VLOOKUP($D47,'Tag(Glossary)'!$B:$G,2,0)</f>
        <v>VWAP</v>
      </c>
      <c r="F47" s="39" t="s">
        <v>85</v>
      </c>
      <c r="G47" s="39" t="str">
        <f>VLOOKUP($D47,'Tag(Glossary)'!$B:$G,4,0)</f>
        <v>Float</v>
      </c>
      <c r="H47" s="39" t="str">
        <f>VLOOKUP($D47,'Tag(Glossary)'!$B:$G,5,0)</f>
        <v>15(9.4)</v>
      </c>
      <c r="I47" s="38" t="str">
        <f>VLOOKUP($D47,'Tag(Glossary)'!$B:$H,6,0)&amp;IF(ISBLANK(VLOOKUP($D47,'Tag(Glossary)'!$B:$H,7,0)),"",CHAR(10))&amp;VLOOKUP($D47,'Tag(Glossary)'!$B:$H,7,0)</f>
        <v>Volume weighted average price</v>
      </c>
    </row>
    <row r="48" spans="1:9" s="146" customFormat="1" ht="114.75">
      <c r="A48" s="99"/>
      <c r="B48" s="116" t="str">
        <f>INDEX('Interface List'!$D$7:$D$45,MATCH($C48,'Interface List'!$E$7:$E$45,0))</f>
        <v>IFMDFIX0001</v>
      </c>
      <c r="C48" s="116" t="s">
        <v>256</v>
      </c>
      <c r="D48" s="40">
        <v>30635</v>
      </c>
      <c r="E48" s="38" t="str">
        <f>VLOOKUP($D48,'Tag(Glossary)'!$B:$G,2,0)</f>
        <v>SymbolAdminStatusCode</v>
      </c>
      <c r="F48" s="39" t="s">
        <v>860</v>
      </c>
      <c r="G48" s="39" t="str">
        <f>VLOOKUP($D48,'Tag(Glossary)'!$B:$G,4,0)</f>
        <v>String</v>
      </c>
      <c r="H48" s="39">
        <f>VLOOKUP($D48,'Tag(Glossary)'!$B:$G,5,0)</f>
        <v>3</v>
      </c>
      <c r="I48" s="38" t="str">
        <f>VLOOKUP($D48,'Tag(Glossary)'!$B:$H,6,0)&amp;IF(ISBLANK(VLOOKUP($D48,'Tag(Glossary)'!$B:$H,7,0)),"",CHAR(10))&amp;VLOOKUP($D48,'Tag(Glossary)'!$B:$H,7,0)</f>
        <v>Codes to identify administrative status of a symbol due to breaching exchange regulation about public disclosure, fair trade and so on
NRM: Normal
WID: Warning (Information Disclosure)
WFR: Warning (Financial Report)
WOV: Warning (Other Violations)
CTR: Controlled
C&amp;R: Controlled &amp; Restricted
RES: Restricted</v>
      </c>
    </row>
    <row r="49" spans="1:9" s="146" customFormat="1" ht="76.5">
      <c r="A49" s="99"/>
      <c r="B49" s="116" t="str">
        <f>INDEX('Interface List'!$D$7:$D$45,MATCH($C49,'Interface List'!$E$7:$E$45,0))</f>
        <v>IFMDFIX0001</v>
      </c>
      <c r="C49" s="116" t="s">
        <v>256</v>
      </c>
      <c r="D49" s="40">
        <v>30636</v>
      </c>
      <c r="E49" s="38" t="str">
        <f>VLOOKUP($D49,'Tag(Glossary)'!$B:$G,2,0)</f>
        <v>SymbolTradingMethodStatusCode</v>
      </c>
      <c r="F49" s="39" t="s">
        <v>860</v>
      </c>
      <c r="G49" s="39" t="str">
        <f>VLOOKUP($D49,'Tag(Glossary)'!$B:$G,4,0)</f>
        <v>String</v>
      </c>
      <c r="H49" s="39">
        <f>VLOOKUP($D49,'Tag(Glossary)'!$B:$G,5,0)</f>
        <v>3</v>
      </c>
      <c r="I49" s="38" t="str">
        <f>VLOOKUP($D49,'Tag(Glossary)'!$B:$H,6,0)&amp;IF(ISBLANK(VLOOKUP($D49,'Tag(Glossary)'!$B:$H,7,0)),"",CHAR(10))&amp;VLOOKUP($D49,'Tag(Glossary)'!$B:$H,7,0)</f>
        <v>Codes to identify trading method type of a specific symbol
NRM: Normal
SNE: Special Trading for Non-Execution
SLS: Special Trading after Long Suspension
NWN: New Listing with Normal Price Limit
NWE: New Listing with Exceptional Price Limit</v>
      </c>
    </row>
    <row r="50" spans="1:9" s="146" customFormat="1" ht="76.5">
      <c r="A50" s="99"/>
      <c r="B50" s="116" t="str">
        <f>INDEX('Interface List'!$D$7:$D$45,MATCH($C50,'Interface List'!$E$7:$E$45,0))</f>
        <v>IFMDFIX0001</v>
      </c>
      <c r="C50" s="116" t="s">
        <v>256</v>
      </c>
      <c r="D50" s="40">
        <v>30637</v>
      </c>
      <c r="E50" s="38" t="str">
        <f>VLOOKUP($D50,'Tag(Glossary)'!$B:$G,2,0)</f>
        <v>SymbolTradingSantionStatusCode</v>
      </c>
      <c r="F50" s="39" t="s">
        <v>860</v>
      </c>
      <c r="G50" s="39" t="str">
        <f>VLOOKUP($D50,'Tag(Glossary)'!$B:$G,4,0)</f>
        <v>String</v>
      </c>
      <c r="H50" s="39">
        <f>VLOOKUP($D50,'Tag(Glossary)'!$B:$G,5,0)</f>
        <v>3</v>
      </c>
      <c r="I50" s="38" t="str">
        <f>VLOOKUP($D50,'Tag(Glossary)'!$B:$H,6,0)&amp;IF(ISBLANK(VLOOKUP($D50,'Tag(Glossary)'!$B:$H,7,0)),"",CHAR(10))&amp;VLOOKUP($D50,'Tag(Glossary)'!$B:$H,7,0)</f>
        <v>Codes to classify status of trading sanction such as halt (or suspension), trading forbidden for some reasons
NRM: Normal
DTL: Delisted for Transfer List
SUS: Suspension
TFR: Trading Forbidden for Restricted</v>
      </c>
    </row>
    <row r="51" spans="1:9" s="146" customFormat="1" ht="89.25">
      <c r="A51" s="99"/>
      <c r="B51" s="116" t="str">
        <f>INDEX('Interface List'!$D$7:$D$45,MATCH($C51,'Interface List'!$E$7:$E$45,0))</f>
        <v>IFMDFIX0001</v>
      </c>
      <c r="C51" s="116" t="s">
        <v>256</v>
      </c>
      <c r="D51" s="40">
        <v>30647</v>
      </c>
      <c r="E51" s="38" t="str">
        <f>VLOOKUP($D51,'Tag(Glossary)'!$B:$G,2,0)</f>
        <v>SectorTypeCode</v>
      </c>
      <c r="F51" s="39" t="s">
        <v>622</v>
      </c>
      <c r="G51" s="39" t="str">
        <f>VLOOKUP($D51,'Tag(Glossary)'!$B:$G,4,0)</f>
        <v>String</v>
      </c>
      <c r="H51" s="39">
        <f>VLOOKUP($D51,'Tag(Glossary)'!$B:$G,5,0)</f>
        <v>2</v>
      </c>
      <c r="I51" s="38" t="str">
        <f>VLOOKUP($D51,'Tag(Glossary)'!$B:$H,6,0)&amp;IF(ISBLANK(VLOOKUP($D51,'Tag(Glossary)'!$B:$H,7,0)),"",CHAR(10))&amp;VLOOKUP($D51,'Tag(Glossary)'!$B:$H,7,0)</f>
        <v>Market segment code to classify instruments by such as credit, trading volume, market capitalization and so on
▦▦ Codes ▦▦
P: Premier
S: Standard
A: Alternative</v>
      </c>
    </row>
    <row r="52" spans="1:9" s="146" customFormat="1" ht="25.5">
      <c r="A52" s="99"/>
      <c r="B52" s="216" t="str">
        <f>INDEX('Interface List'!$D$7:$D$45,MATCH($C52,'Interface List'!$E$7:$E$45,0))</f>
        <v>IFMDFIX0001</v>
      </c>
      <c r="C52" s="216" t="s">
        <v>256</v>
      </c>
      <c r="D52" s="217">
        <v>30652</v>
      </c>
      <c r="E52" s="192" t="str">
        <f>VLOOKUP($D52,'Tag(Glossary)'!$B:$G,2,0)</f>
        <v>RedumptionDate</v>
      </c>
      <c r="F52" s="193" t="s">
        <v>860</v>
      </c>
      <c r="G52" s="193" t="str">
        <f>VLOOKUP($D52,'Tag(Glossary)'!$B:$G,4,0)</f>
        <v>String</v>
      </c>
      <c r="H52" s="193">
        <f>VLOOKUP($D52,'Tag(Glossary)'!$B:$G,5,0)</f>
        <v>8</v>
      </c>
      <c r="I52" s="192" t="str">
        <f>VLOOKUP($D52,'Tag(Glossary)'!$B:$H,6,0)&amp;IF(ISBLANK(VLOOKUP($D52,'Tag(Glossary)'!$B:$H,7,0)),"",CHAR(10))&amp;VLOOKUP($D52,'Tag(Glossary)'!$B:$H,7,0)</f>
        <v>Redumption date
YYYYMMDD</v>
      </c>
    </row>
    <row r="53" spans="1:9" s="146" customFormat="1">
      <c r="A53" s="99"/>
      <c r="B53" s="116" t="str">
        <f>INDEX('Interface List'!$D$7:$D$45,MATCH($C53,'Interface List'!$E$7:$E$45,0))</f>
        <v>IFMDFIX0001</v>
      </c>
      <c r="C53" s="116" t="s">
        <v>257</v>
      </c>
      <c r="D53" s="39"/>
      <c r="E53" s="38" t="s">
        <v>258</v>
      </c>
      <c r="F53" s="39" t="s">
        <v>85</v>
      </c>
      <c r="G53" s="38"/>
      <c r="H53" s="39"/>
      <c r="I53" s="38"/>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36" orientation="portrait" r:id="rId1"/>
  <headerFooter alignWithMargins="0">
    <oddFooter>&amp;C&amp;10&amp;P/&amp;N&amp; Information Technology Service Agreement&amp;R&amp;G</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2:I45"/>
  <sheetViews>
    <sheetView view="pageBreakPreview" zoomScaleNormal="75" zoomScaleSheetLayoutView="100" workbookViewId="0">
      <pane xSplit="9" ySplit="4" topLeftCell="J11" activePane="bottomRight" state="frozen"/>
      <selection sqref="A1:XFD1048576"/>
      <selection pane="topRight" sqref="A1:XFD1048576"/>
      <selection pane="bottomLeft" sqref="A1:XFD1048576"/>
      <selection pane="bottomRight" activeCell="B1" sqref="B1:I15"/>
    </sheetView>
  </sheetViews>
  <sheetFormatPr defaultColWidth="8.875" defaultRowHeight="15"/>
  <cols>
    <col min="1" max="1" width="1.75" style="7" customWidth="1"/>
    <col min="2" max="2" width="15.125" style="32" bestFit="1" customWidth="1"/>
    <col min="3" max="3" width="12.12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355</v>
      </c>
      <c r="C2" s="224"/>
      <c r="D2" s="224"/>
      <c r="E2" s="224"/>
      <c r="F2" s="224"/>
      <c r="G2" s="224"/>
      <c r="H2" s="224"/>
      <c r="I2" s="224"/>
    </row>
    <row r="3" spans="1:9" s="3" customFormat="1">
      <c r="A3" s="5"/>
      <c r="B3" s="33"/>
      <c r="C3" s="33"/>
      <c r="D3" s="33"/>
      <c r="E3" s="33"/>
      <c r="F3" s="33"/>
      <c r="G3" s="33"/>
      <c r="H3" s="33"/>
      <c r="I3" s="33"/>
    </row>
    <row r="4" spans="1:9" s="4" customFormat="1">
      <c r="A4" s="7"/>
      <c r="B4" s="163" t="s">
        <v>356</v>
      </c>
      <c r="C4" s="163" t="s">
        <v>357</v>
      </c>
      <c r="D4" s="163" t="s">
        <v>358</v>
      </c>
      <c r="E4" s="163" t="s">
        <v>359</v>
      </c>
      <c r="F4" s="163" t="s">
        <v>99</v>
      </c>
      <c r="G4" s="163" t="s">
        <v>360</v>
      </c>
      <c r="H4" s="163" t="s">
        <v>361</v>
      </c>
      <c r="I4" s="163" t="s">
        <v>362</v>
      </c>
    </row>
    <row r="5" spans="1:9">
      <c r="B5" s="164" t="str">
        <f>INDEX('Interface List'!$D$7:$D$45,MATCH($C5,'Interface List'!$E$7:$E$45,0))</f>
        <v>IFMDFIX0002</v>
      </c>
      <c r="C5" s="164" t="s">
        <v>355</v>
      </c>
      <c r="D5" s="164"/>
      <c r="E5" s="165" t="s">
        <v>363</v>
      </c>
      <c r="F5" s="161" t="s">
        <v>364</v>
      </c>
      <c r="G5" s="164"/>
      <c r="H5" s="164"/>
      <c r="I5" s="165" t="s">
        <v>365</v>
      </c>
    </row>
    <row r="6" spans="1:9" ht="140.25">
      <c r="B6" s="116" t="str">
        <f>INDEX('Interface List'!$D$7:$D$45,MATCH($C6,'Interface List'!$E$7:$E$45,0))</f>
        <v>IFMDFIX0002</v>
      </c>
      <c r="C6" s="116" t="s">
        <v>355</v>
      </c>
      <c r="D6" s="39">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87.5" customHeight="1">
      <c r="B7" s="116" t="str">
        <f>INDEX('Interface List'!$D$7:$D$45,MATCH($C7,'Interface List'!$E$7:$E$45,0))</f>
        <v>IFMDFIX0002</v>
      </c>
      <c r="C7" s="116" t="s">
        <v>355</v>
      </c>
      <c r="D7" s="39">
        <v>30648</v>
      </c>
      <c r="E7" s="38" t="str">
        <f>VLOOKUP($D7,'Tag(Glossary)'!$B:$G,2,0)</f>
        <v>TscProdGrpId</v>
      </c>
      <c r="F7" s="39" t="s">
        <v>85</v>
      </c>
      <c r="G7" s="39" t="str">
        <f>VLOOKUP($D7,'Tag(Glossary)'!$B:$G,4,0)</f>
        <v>String</v>
      </c>
      <c r="H7" s="39">
        <f>VLOOKUP($D7,'Tag(Glossary)'!$B:$G,5,0)</f>
        <v>3</v>
      </c>
      <c r="I7" s="38" t="str">
        <f>VLOOKUP($D7,'Tag(Glossary)'!$B:$H,6,0)&amp;IF(ISBLANK(VLOOKUP($D7,'Tag(Glossary)'!$B:$H,7,0)),"",CHAR(10))&amp;VLOOKUP($D7,'Tag(Glossary)'!$B:$H,7,0)</f>
        <v>ID for identifying the set of the same TSC(Trading Schedule Control) target products.
A logical unit controlled by the same schedule.
▦▦ IDs ▦▦
STO : HoSE Stock
BDO : HoSE Bond
RPO : HoSE Repo
BDX : Government Bond
FIO : HoSE Index Futures
FBX : HNX Bond Futures
STX : HNX Stock
UPX : HNX UpCom
HCX : HNX Corporate Bond
ALL : All TSC Products Group</v>
      </c>
    </row>
    <row r="8" spans="1:9" ht="178.5">
      <c r="B8" s="116" t="str">
        <f>INDEX('Interface List'!$D$7:$D$45,MATCH($C8,'Interface List'!$E$7:$E$45,0))</f>
        <v>IFMDFIX0002</v>
      </c>
      <c r="C8" s="116" t="s">
        <v>366</v>
      </c>
      <c r="D8" s="39">
        <v>20004</v>
      </c>
      <c r="E8" s="38" t="str">
        <f>VLOOKUP($D8,'Tag(Glossary)'!$B:$G,2,0)</f>
        <v>BoardID</v>
      </c>
      <c r="F8" s="39" t="s">
        <v>85</v>
      </c>
      <c r="G8" s="39" t="str">
        <f>VLOOKUP($D8,'Tag(Glossary)'!$B:$G,4,0)</f>
        <v>String</v>
      </c>
      <c r="H8" s="39">
        <f>VLOOKUP($D8,'Tag(Glossary)'!$B:$G,5,0)</f>
        <v>2</v>
      </c>
      <c r="I8" s="38" t="str">
        <f>VLOOKUP($D8,'Tag(Glossary)'!$B:$H,6,0)&amp;IF(ISBLANK(VLOOKUP($D8,'Tag(Glossary)'!$B:$H,7,0)),"",CHAR(10))&amp;VLOOKUP($D8,'Tag(Glossary)'!$B:$H,7,0)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9" spans="1:9" ht="409.5" customHeight="1">
      <c r="B9" s="116" t="str">
        <f>INDEX('Interface List'!$D$7:$D$45,MATCH($C9,'Interface List'!$E$7:$E$45,0))</f>
        <v>IFMDFIX0002</v>
      </c>
      <c r="C9" s="116" t="s">
        <v>355</v>
      </c>
      <c r="D9" s="39">
        <v>20005</v>
      </c>
      <c r="E9" s="38" t="str">
        <f>VLOOKUP($D9,'Tag(Glossary)'!$B:$G,2,0)</f>
        <v>BoardEvtID</v>
      </c>
      <c r="F9" s="39" t="s">
        <v>85</v>
      </c>
      <c r="G9" s="39" t="str">
        <f>VLOOKUP($D9,'Tag(Glossary)'!$B:$G,4,0)</f>
        <v>String</v>
      </c>
      <c r="H9" s="39">
        <f>VLOOKUP($D9,'Tag(Glossary)'!$B:$G,5,0)</f>
        <v>3</v>
      </c>
      <c r="I9" s="38" t="str">
        <f>VLOOKUP($D9,'Tag(Glossary)'!$B:$H,6,0)&amp;IF(ISBLANK(VLOOKUP($D9,'Tag(Glossary)'!$B:$H,7,0)),"",CHAR(10))&amp;VLOOKUP($D9,'Tag(Glossary)'!$B:$H,7,0)</f>
        <v>Indicates Board event ID which is defined in the trading system. Trading schedule is essentially a sequence (list) of Board events, and each event is identified by three-character code or ID.
AA1: Opening CA Open
AB1: Cont.A Open
AB2: Board Trading Close
AC2: Closing CA Execution
AD1: Order Reception Start
AD2: CA Excecution
AE1: Market Halt Release
AE8: Market Halt
AF1: CA Open after CB
AF6: CB Notice
AF7: CB Notice Clear
AF8: Suspension by CB
AQ3: Interface Connection Cut-off
AT6: PLE Notice
AW8: Lunch Break
AW9: Open after Lunch Break
AX1: Board Start
BB1: Cont.A Open for Non-PCA Instr.
BC1: Closing CA Open
BE9: Cont.A Open after Market Halt
BF9: Cont.A Open after CB
CC1: Closing PCA Open
CD1: PCA Open
CD3: PCA Execution
DB2: Trading Close for LTD Instr.
DC2: Closing CA Execution for LTD Instr.
EI1: Trading Halt Release by Instr./Product
EI8: Instr./Product Halt
EI9: Cont.A Open after Instr./Product Halt
GT1: GT Order Load</v>
      </c>
    </row>
    <row r="10" spans="1:9" ht="89.25">
      <c r="B10" s="116" t="str">
        <f>INDEX('Interface List'!$D$7:$D$45,MATCH($C10,'Interface List'!$E$7:$E$45,0))</f>
        <v>IFMDFIX0002</v>
      </c>
      <c r="C10" s="116" t="s">
        <v>366</v>
      </c>
      <c r="D10" s="39">
        <v>20008</v>
      </c>
      <c r="E10" s="38" t="str">
        <f>VLOOKUP($D10,'Tag(Glossary)'!$B:$G,2,0)</f>
        <v>SessOpenCloseCode</v>
      </c>
      <c r="F10" s="39" t="s">
        <v>862</v>
      </c>
      <c r="G10" s="39" t="str">
        <f>VLOOKUP($D10,'Tag(Glossary)'!$B:$G,4,0)</f>
        <v>String</v>
      </c>
      <c r="H10" s="39">
        <f>VLOOKUP($D10,'Tag(Glossary)'!$B:$G,5,0)</f>
        <v>2</v>
      </c>
      <c r="I10" s="38" t="str">
        <f>VLOOKUP($D10,'Tag(Glossary)'!$B:$H,6,0)&amp;IF(ISBLANK(VLOOKUP($D10,'Tag(Glossary)'!$B:$H,7,0)),"",CHAR(10))&amp;VLOOKUP($D10,'Tag(Glossary)'!$B:$H,7,0)</f>
        <v>Indicates whether a given Board or Session is started or ended.
BS : Board Start
BE : Board End
SS : Session Start
SE : Session End
SH : Session Halt
SR : Session Restart</v>
      </c>
    </row>
    <row r="11" spans="1:9" ht="38.25">
      <c r="B11" s="116" t="str">
        <f>INDEX('Interface List'!$D$7:$D$45,MATCH($C11,'Interface List'!$E$7:$E$45,0))</f>
        <v>IFMDFIX0002</v>
      </c>
      <c r="C11" s="116" t="s">
        <v>366</v>
      </c>
      <c r="D11" s="39">
        <v>55</v>
      </c>
      <c r="E11" s="38" t="str">
        <f>VLOOKUP($D11,'Tag(Glossary)'!$B:$G,2,0)</f>
        <v>Symbol</v>
      </c>
      <c r="F11" s="39" t="s">
        <v>965</v>
      </c>
      <c r="G11" s="39" t="str">
        <f>VLOOKUP($D11,'Tag(Glossary)'!$B:$G,4,0)</f>
        <v>String</v>
      </c>
      <c r="H11" s="39">
        <f>VLOOKUP($D11,'Tag(Glossary)'!$B:$G,5,0)</f>
        <v>12</v>
      </c>
      <c r="I11" s="38" t="str">
        <f>VLOOKUP($D11,'Tag(Glossary)'!$B:$H,6,0)&amp;IF(ISBLANK(VLOOKUP($D11,'Tag(Glossary)'!$B:$H,7,0)),"",CHAR(10))&amp;VLOOKUP($D11,'Tag(Glossary)'!$B:$H,7,0)</f>
        <v>The unique code of an issue (a.k.a. instrument or symbol). Generally it is ISIN code but in case of Repo market it is defined as the exchange staffs want</v>
      </c>
    </row>
    <row r="12" spans="1:9" ht="203.25" customHeight="1">
      <c r="B12" s="116" t="str">
        <f>INDEX('Interface List'!$D$7:$D$45,MATCH($C12,'Interface List'!$E$7:$E$45,0))</f>
        <v>IFMDFIX0002</v>
      </c>
      <c r="C12" s="116" t="s">
        <v>366</v>
      </c>
      <c r="D12" s="39">
        <v>336</v>
      </c>
      <c r="E12" s="38" t="str">
        <f>VLOOKUP($D12,'Tag(Glossary)'!$B:$G,2,0)</f>
        <v>TradingSessionID</v>
      </c>
      <c r="F12" s="39" t="s">
        <v>536</v>
      </c>
      <c r="G12" s="39" t="str">
        <f>VLOOKUP($D12,'Tag(Glossary)'!$B:$G,4,0)</f>
        <v>String</v>
      </c>
      <c r="H12" s="39">
        <f>VLOOKUP($D12,'Tag(Glossary)'!$B:$G,5,0)</f>
        <v>2</v>
      </c>
      <c r="I12" s="38" t="str">
        <f>VLOOKUP($D12,'Tag(Glossary)'!$B:$H,6,0)&amp;IF(ISBLANK(VLOOKUP($D12,'Tag(Glossary)'!$B:$H,7,0)),"",CHAR(10))&amp;VLOOKUP($D12,'Tag(Glossary)'!$B:$H,7,0)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13" spans="1:9" ht="203.25" customHeight="1">
      <c r="B13" s="116" t="str">
        <f>INDEX('Interface List'!$D$7:$D$45,MATCH($C13,'Interface List'!$E$7:$E$45,0))</f>
        <v>IFMDFIX0002</v>
      </c>
      <c r="C13" s="116" t="s">
        <v>294</v>
      </c>
      <c r="D13" s="39">
        <v>30651</v>
      </c>
      <c r="E13" s="38" t="str">
        <f>VLOOKUP($D13,'Tag(Glossary)'!$B:$G,2,0)</f>
        <v>HaltRsnCode</v>
      </c>
      <c r="F13" s="39" t="s">
        <v>1008</v>
      </c>
      <c r="G13" s="39" t="s">
        <v>1009</v>
      </c>
      <c r="H13" s="39">
        <v>3</v>
      </c>
      <c r="I13" s="38" t="str">
        <f>VLOOKUP($D13,'Tag(Glossary)'!$B:$H,6,0)&amp;IF(ISBLANK(VLOOKUP($D13,'Tag(Glossary)'!$B:$H,7,0)),"",CHAR(10))&amp;VLOOKUP($D13,'Tag(Glossary)'!$B:$H,7,0)</f>
        <v xml:space="preserve">Halt Reason Code
▦▦ Codes ▦▦
B10 The result of the inquiry disclosure for rumor and news
B11 Unsubmission of annual/half-yearly/quarterly report
B21 Capital is less than 10 billion VND
B23 Auditor's Opinion is adverse or disclaimer
B24 Issuers default
B25 Dissolution
B26 Bankruptcy
B27 Sanction on Business
B28 Suspension by courts decision
B29 False information/omission of listing document
B30 Accounting standards of violation
B31 Investor warning/protection
B40 Issues for administration
B60 Falsification of securities
B70 Investor protection during a workout program
B80 Bankruptcy of guarantee institution
B90 Other reasons
B99 When maturity date will be a holiday
D11 Corresponded cash market stop trading
D21 Investor warning/protection
D22 Volatile price movement
D23 Bankruptcy
D24 Issuers default
D25 Liquidation
D26 Sanction on Business
D27 Suspension by courts decision
D28 Stock split or reverse stock split
D31 HNX trading system have problem
D32 Lot of HNX’s members have problem
D33 VSD have problem
D41 Requested by SSC
O01 Volatile price movement
O02 Information Disclosure Special Warning
O03 Stock split or reverse stock split
O04 Bond Converting
O05 Capital Decrease
O06 Investor warning/protection
O07 Other reasons
O08 Volatile price movement
O09 Investor warning/protection
O10 Other reasons
O12 Volatile price movement (Intraday)
O13 Investor warning/protection (Intraday)
O14 Other reasons (Intraday)
X01 Volatile price movement
X02 Information Disclosure Special Warning
X03 Stock split or reverse stock split
X04 Bond Converting
X05 Capital Decrease
X06 Investor warning/protection
X07 Other reasons
X08 Violation on information disclosure
X09 Volatile volume movement
X10 Fault to fix controlled status
X11 Continue to violate information disclosure when controlled
X12 Volatile volume movement (Intraday)
X13 Investor warning/protection (Intraday)
X14 Other reasons (Intraday)
</v>
      </c>
    </row>
    <row r="14" spans="1:9">
      <c r="B14" s="116" t="str">
        <f>INDEX('Interface List'!$D$7:$D$45,MATCH($C14,'Interface List'!$E$7:$E$45,0))</f>
        <v>IFMDFIX0002</v>
      </c>
      <c r="C14" s="116" t="s">
        <v>366</v>
      </c>
      <c r="D14" s="39"/>
      <c r="E14" s="38" t="s">
        <v>258</v>
      </c>
      <c r="F14" s="39" t="s">
        <v>85</v>
      </c>
      <c r="G14" s="38"/>
      <c r="H14" s="39"/>
      <c r="I14" s="38"/>
    </row>
    <row r="15" spans="1:9">
      <c r="B15" s="98"/>
      <c r="C15" s="98"/>
      <c r="D15" s="98"/>
      <c r="E15" s="99"/>
      <c r="F15" s="98"/>
      <c r="G15" s="100"/>
      <c r="H15" s="98"/>
      <c r="I15" s="100"/>
    </row>
    <row r="16" spans="1:9">
      <c r="B16" s="98"/>
      <c r="C16" s="98"/>
      <c r="D16" s="98"/>
      <c r="E16" s="99"/>
      <c r="F16" s="98"/>
      <c r="G16" s="100"/>
      <c r="H16" s="98"/>
      <c r="I16" s="100"/>
    </row>
    <row r="17" spans="2:9">
      <c r="B17" s="98"/>
      <c r="C17" s="98"/>
      <c r="D17" s="98"/>
      <c r="E17" s="99"/>
      <c r="F17" s="98"/>
      <c r="G17" s="100"/>
      <c r="H17" s="98"/>
      <c r="I17" s="100"/>
    </row>
    <row r="18" spans="2:9">
      <c r="B18" s="98"/>
      <c r="C18" s="98"/>
      <c r="D18" s="98"/>
      <c r="E18" s="99"/>
      <c r="F18" s="98"/>
      <c r="G18" s="100"/>
      <c r="H18" s="98"/>
      <c r="I18" s="100"/>
    </row>
    <row r="19" spans="2:9">
      <c r="B19" s="98"/>
      <c r="C19" s="98"/>
      <c r="D19" s="98"/>
      <c r="E19" s="99"/>
      <c r="F19" s="98"/>
      <c r="G19" s="100"/>
      <c r="H19" s="98"/>
      <c r="I19" s="100"/>
    </row>
    <row r="20" spans="2:9">
      <c r="B20" s="98"/>
      <c r="C20" s="98"/>
      <c r="D20" s="98"/>
      <c r="E20" s="99"/>
      <c r="F20" s="98"/>
      <c r="G20" s="100"/>
      <c r="H20" s="98"/>
      <c r="I20" s="100"/>
    </row>
    <row r="21" spans="2:9">
      <c r="B21" s="98"/>
      <c r="C21" s="98"/>
      <c r="D21" s="98"/>
      <c r="E21" s="99"/>
      <c r="F21" s="98"/>
      <c r="G21" s="100"/>
      <c r="H21" s="98"/>
      <c r="I21" s="100"/>
    </row>
    <row r="22" spans="2:9">
      <c r="B22" s="98"/>
      <c r="C22" s="98"/>
      <c r="D22" s="98"/>
      <c r="E22" s="99"/>
      <c r="F22" s="98"/>
      <c r="G22" s="100"/>
      <c r="H22" s="98"/>
      <c r="I22" s="100"/>
    </row>
    <row r="23" spans="2:9">
      <c r="B23" s="98"/>
      <c r="C23" s="98"/>
      <c r="D23" s="98"/>
      <c r="E23" s="99"/>
      <c r="F23" s="98"/>
      <c r="G23" s="100"/>
      <c r="H23" s="98"/>
      <c r="I23" s="100"/>
    </row>
    <row r="24" spans="2:9">
      <c r="B24" s="98"/>
      <c r="C24" s="98"/>
      <c r="D24" s="98"/>
      <c r="E24" s="99"/>
      <c r="F24" s="98"/>
      <c r="G24" s="100"/>
      <c r="H24" s="98"/>
      <c r="I24" s="100"/>
    </row>
    <row r="25" spans="2:9">
      <c r="B25" s="98"/>
      <c r="C25" s="98"/>
      <c r="D25" s="98"/>
      <c r="E25" s="99"/>
      <c r="F25" s="98"/>
      <c r="G25" s="100"/>
      <c r="H25" s="98"/>
      <c r="I25" s="100"/>
    </row>
    <row r="26" spans="2:9">
      <c r="B26" s="98"/>
      <c r="C26" s="98"/>
      <c r="D26" s="98"/>
      <c r="E26" s="99"/>
      <c r="F26" s="98"/>
      <c r="G26" s="100"/>
      <c r="H26" s="98"/>
      <c r="I26" s="100"/>
    </row>
    <row r="27" spans="2:9">
      <c r="B27" s="98"/>
      <c r="C27" s="98"/>
      <c r="D27" s="98"/>
      <c r="E27" s="99"/>
      <c r="F27" s="98"/>
      <c r="G27" s="100"/>
      <c r="H27" s="98"/>
      <c r="I27" s="100"/>
    </row>
    <row r="28" spans="2:9">
      <c r="B28" s="98"/>
      <c r="C28" s="98"/>
      <c r="D28" s="98"/>
      <c r="E28" s="99"/>
      <c r="F28" s="98"/>
      <c r="G28" s="100"/>
      <c r="H28" s="98"/>
      <c r="I28" s="100"/>
    </row>
    <row r="29" spans="2:9">
      <c r="B29" s="98"/>
      <c r="C29" s="98"/>
      <c r="D29" s="98"/>
      <c r="E29" s="99"/>
      <c r="F29" s="98"/>
      <c r="G29" s="100"/>
      <c r="H29" s="98"/>
      <c r="I29" s="100"/>
    </row>
    <row r="30" spans="2:9">
      <c r="B30" s="98"/>
      <c r="C30" s="98"/>
      <c r="D30" s="98"/>
      <c r="E30" s="99"/>
      <c r="F30" s="98"/>
      <c r="G30" s="100"/>
      <c r="H30" s="98"/>
      <c r="I30" s="100"/>
    </row>
    <row r="31" spans="2:9">
      <c r="B31" s="98"/>
      <c r="C31" s="98"/>
      <c r="D31" s="98"/>
      <c r="E31" s="99"/>
      <c r="F31" s="98"/>
      <c r="G31" s="100"/>
      <c r="H31" s="98"/>
      <c r="I31" s="100"/>
    </row>
    <row r="32" spans="2:9">
      <c r="B32" s="98"/>
      <c r="C32" s="98"/>
      <c r="D32" s="98"/>
      <c r="E32" s="99"/>
      <c r="F32" s="98"/>
      <c r="G32" s="100"/>
      <c r="H32" s="98"/>
      <c r="I32" s="100"/>
    </row>
    <row r="33" spans="2:9">
      <c r="B33" s="98"/>
      <c r="C33" s="98"/>
      <c r="D33" s="98"/>
      <c r="E33" s="99"/>
      <c r="F33" s="98"/>
      <c r="G33" s="100"/>
      <c r="H33" s="98"/>
      <c r="I33" s="100"/>
    </row>
    <row r="34" spans="2:9">
      <c r="B34" s="98"/>
      <c r="C34" s="98"/>
      <c r="D34" s="98"/>
      <c r="E34" s="99"/>
      <c r="F34" s="98"/>
      <c r="G34" s="100"/>
      <c r="H34" s="98"/>
      <c r="I34" s="100"/>
    </row>
    <row r="35" spans="2:9">
      <c r="B35" s="98"/>
      <c r="C35" s="98"/>
      <c r="D35" s="98"/>
      <c r="E35" s="99"/>
      <c r="F35" s="98"/>
      <c r="G35" s="100"/>
      <c r="H35" s="98"/>
      <c r="I35" s="100"/>
    </row>
    <row r="36" spans="2:9">
      <c r="B36" s="98"/>
      <c r="C36" s="98"/>
      <c r="D36" s="98"/>
      <c r="E36" s="99"/>
      <c r="F36" s="98"/>
      <c r="G36" s="100"/>
      <c r="H36" s="98"/>
      <c r="I36" s="100"/>
    </row>
    <row r="37" spans="2:9">
      <c r="B37" s="98"/>
      <c r="C37" s="98"/>
      <c r="D37" s="98"/>
      <c r="E37" s="99"/>
      <c r="F37" s="98"/>
      <c r="G37" s="100"/>
      <c r="H37" s="98"/>
      <c r="I37" s="100"/>
    </row>
    <row r="38" spans="2:9">
      <c r="B38" s="98"/>
      <c r="C38" s="98"/>
      <c r="D38" s="98"/>
      <c r="E38" s="99"/>
      <c r="F38" s="98"/>
      <c r="G38" s="100"/>
      <c r="H38" s="98"/>
      <c r="I38" s="100"/>
    </row>
    <row r="39" spans="2:9">
      <c r="B39" s="98"/>
      <c r="C39" s="98"/>
      <c r="D39" s="98"/>
      <c r="E39" s="99"/>
      <c r="F39" s="98"/>
      <c r="G39" s="100"/>
      <c r="H39" s="98"/>
      <c r="I39" s="100"/>
    </row>
    <row r="40" spans="2:9">
      <c r="B40" s="98"/>
      <c r="C40" s="98"/>
      <c r="D40" s="98"/>
      <c r="E40" s="99"/>
      <c r="F40" s="98"/>
      <c r="G40" s="100"/>
      <c r="H40" s="98"/>
      <c r="I40" s="100"/>
    </row>
    <row r="41" spans="2:9">
      <c r="B41" s="98"/>
      <c r="C41" s="98"/>
      <c r="D41" s="98"/>
      <c r="E41" s="99"/>
      <c r="F41" s="98"/>
      <c r="G41" s="100"/>
      <c r="H41" s="98"/>
      <c r="I41" s="100"/>
    </row>
    <row r="42" spans="2:9">
      <c r="B42" s="98"/>
      <c r="C42" s="98"/>
      <c r="D42" s="98"/>
      <c r="E42" s="99"/>
      <c r="F42" s="98"/>
      <c r="G42" s="100"/>
      <c r="H42" s="98"/>
      <c r="I42" s="100"/>
    </row>
    <row r="43" spans="2:9">
      <c r="B43" s="98"/>
      <c r="C43" s="98"/>
      <c r="D43" s="98"/>
      <c r="E43" s="99"/>
      <c r="F43" s="98"/>
      <c r="G43" s="100"/>
      <c r="H43" s="98"/>
      <c r="I43" s="100"/>
    </row>
    <row r="44" spans="2:9">
      <c r="B44" s="98"/>
      <c r="C44" s="98"/>
      <c r="D44" s="98"/>
      <c r="E44" s="99"/>
      <c r="F44" s="98"/>
      <c r="G44" s="100"/>
      <c r="H44" s="98"/>
      <c r="I44" s="100"/>
    </row>
    <row r="45" spans="2:9">
      <c r="B45" s="98"/>
      <c r="C45" s="98"/>
      <c r="D45" s="98"/>
      <c r="E45" s="99"/>
      <c r="F45" s="98"/>
      <c r="G45" s="100"/>
      <c r="H45" s="98"/>
      <c r="I45" s="100"/>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54" orientation="portrait" r:id="rId1"/>
  <headerFooter alignWithMargins="0">
    <oddFooter>&amp;C&amp;10&amp;P/&amp;N&amp; Information Technology Service Agreement&amp;R&amp;G</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2:I17"/>
  <sheetViews>
    <sheetView view="pageBreakPreview" zoomScale="115" zoomScaleNormal="75" zoomScaleSheetLayoutView="115" workbookViewId="0">
      <pane xSplit="9" ySplit="4" topLeftCell="J5" activePane="bottomRight" state="frozen"/>
      <selection sqref="A1:XFD1048576"/>
      <selection pane="topRight" sqref="A1:XFD1048576"/>
      <selection pane="bottomLeft" sqref="A1:XFD1048576"/>
      <selection pane="bottomRight" activeCell="B1" sqref="B1:I18"/>
    </sheetView>
  </sheetViews>
  <sheetFormatPr defaultColWidth="8.875" defaultRowHeight="15"/>
  <cols>
    <col min="1" max="1" width="1.75" style="7" customWidth="1"/>
    <col min="2" max="2" width="15.125" style="32" bestFit="1" customWidth="1"/>
    <col min="3" max="3" width="20.1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ustomHeight="1">
      <c r="B2" s="224" t="s">
        <v>619</v>
      </c>
      <c r="C2" s="224"/>
      <c r="D2" s="224"/>
      <c r="E2" s="224"/>
      <c r="F2" s="224"/>
      <c r="G2" s="224"/>
      <c r="H2" s="224"/>
      <c r="I2" s="224"/>
    </row>
    <row r="3" spans="1:9" s="3" customFormat="1">
      <c r="A3" s="5"/>
      <c r="B3" s="33"/>
      <c r="C3" s="33"/>
      <c r="D3" s="33"/>
      <c r="E3" s="33"/>
      <c r="F3" s="33"/>
      <c r="G3" s="33"/>
      <c r="H3" s="33"/>
      <c r="I3" s="33"/>
    </row>
    <row r="4" spans="1:9" s="4" customFormat="1">
      <c r="A4" s="7"/>
      <c r="B4" s="163" t="s">
        <v>367</v>
      </c>
      <c r="C4" s="163" t="s">
        <v>368</v>
      </c>
      <c r="D4" s="163" t="s">
        <v>369</v>
      </c>
      <c r="E4" s="163" t="s">
        <v>370</v>
      </c>
      <c r="F4" s="163" t="s">
        <v>371</v>
      </c>
      <c r="G4" s="163" t="s">
        <v>372</v>
      </c>
      <c r="H4" s="163" t="s">
        <v>373</v>
      </c>
      <c r="I4" s="163" t="s">
        <v>374</v>
      </c>
    </row>
    <row r="5" spans="1:9" ht="25.5">
      <c r="B5" s="164" t="str">
        <f>INDEX('Interface List'!$D$7:$D$45,MATCH($C5,'Interface List'!$E$7:$E$45,0))</f>
        <v>IFMDFIX0003</v>
      </c>
      <c r="C5" s="164" t="s">
        <v>619</v>
      </c>
      <c r="D5" s="164"/>
      <c r="E5" s="165" t="s">
        <v>375</v>
      </c>
      <c r="F5" s="164" t="s">
        <v>376</v>
      </c>
      <c r="G5" s="164"/>
      <c r="H5" s="164"/>
      <c r="I5" s="165" t="s">
        <v>377</v>
      </c>
    </row>
    <row r="6" spans="1:9" ht="140.25">
      <c r="B6" s="49" t="str">
        <f>INDEX('Interface List'!$D$7:$D$45,MATCH($C6,'Interface List'!$E$7:$E$45,0))</f>
        <v>IFMDFIX0003</v>
      </c>
      <c r="C6" s="49" t="s">
        <v>619</v>
      </c>
      <c r="D6" s="36">
        <v>30001</v>
      </c>
      <c r="E6" s="37"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49" t="str">
        <f>INDEX('Interface List'!$D$7:$D$45,MATCH($C7,'Interface List'!$E$7:$E$45,0))</f>
        <v>IFMDFIX0003</v>
      </c>
      <c r="C7" s="49" t="s">
        <v>619</v>
      </c>
      <c r="D7" s="36">
        <v>20004</v>
      </c>
      <c r="E7" s="37" t="str">
        <f>VLOOKUP($D7,'Tag(Glossary)'!$B:$G,2,0)</f>
        <v>BoardID</v>
      </c>
      <c r="F7" s="36" t="s">
        <v>85</v>
      </c>
      <c r="G7" s="36" t="str">
        <f>VLOOKUP($D7,'Tag(Glossary)'!$B:$G,4,0)</f>
        <v>String</v>
      </c>
      <c r="H7" s="36">
        <f>VLOOKUP($D7,'Tag(Glossary)'!$B:$G,5,0)</f>
        <v>2</v>
      </c>
      <c r="I7" s="37"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49" t="str">
        <f>INDEX('Interface List'!$D$7:$D$45,MATCH($C8,'Interface List'!$E$7:$E$45,0))</f>
        <v>IFMDFIX0003</v>
      </c>
      <c r="C8" s="49" t="s">
        <v>619</v>
      </c>
      <c r="D8" s="39">
        <v>55</v>
      </c>
      <c r="E8" s="37" t="str">
        <f>VLOOKUP($D8,'Tag(Glossary)'!$B:$G,2,0)</f>
        <v>Symbol</v>
      </c>
      <c r="F8" s="36" t="s">
        <v>85</v>
      </c>
      <c r="G8" s="36" t="str">
        <f>VLOOKUP($D8,'Tag(Glossary)'!$B:$G,4,0)</f>
        <v>String</v>
      </c>
      <c r="H8" s="36">
        <f>VLOOKUP($D8,'Tag(Glossary)'!$B:$G,5,0)</f>
        <v>12</v>
      </c>
      <c r="I8" s="37" t="str">
        <f>VLOOKUP($D8,'Tag(Glossary)'!$B:$H,6,0)&amp;IF(ISBLANK(VLOOKUP($D8,'Tag(Glossary)'!$B:$H,7,0)),"",CHAR(10))&amp;VLOOKUP($D8,'Tag(Glossary)'!$B:$H,7,0)</f>
        <v>The unique code of an issue (a.k.a. instrument or symbol). Generally it is ISIN code but in case of Repo market it is defined as the exchange staffs want</v>
      </c>
    </row>
    <row r="9" spans="1:9" ht="25.5">
      <c r="B9" s="49" t="str">
        <f>INDEX('Interface List'!$D$7:$D$45,MATCH($C9,'Interface List'!$E$7:$E$45,0))</f>
        <v>IFMDFIX0003</v>
      </c>
      <c r="C9" s="49" t="s">
        <v>619</v>
      </c>
      <c r="D9" s="39">
        <v>20013</v>
      </c>
      <c r="E9" s="38" t="str">
        <f>VLOOKUP($D9,'Tag(Glossary)'!$B:$G,2,0)</f>
        <v>ReferencePrice</v>
      </c>
      <c r="F9" s="39" t="s">
        <v>622</v>
      </c>
      <c r="G9" s="39" t="str">
        <f>VLOOKUP($D9,'Tag(Glossary)'!$B:$G,4,0)</f>
        <v>Price</v>
      </c>
      <c r="H9" s="39" t="str">
        <f>VLOOKUP($D9,'Tag(Glossary)'!$B:$G,5,0)</f>
        <v>15(9.4)</v>
      </c>
      <c r="I9" s="38" t="str">
        <f>VLOOKUP($D9,'Tag(Glossary)'!$B:$H,6,0)&amp;IF(ISBLANK(VLOOKUP($D9,'Tag(Glossary)'!$B:$H,7,0)),"",CHAR(10))&amp;VLOOKUP($D9,'Tag(Glossary)'!$B:$H,7,0)</f>
        <v>Reference price of a given instrument. Price limit is determined based on this price.</v>
      </c>
    </row>
    <row r="10" spans="1:9" ht="25.5">
      <c r="B10" s="49" t="str">
        <f>INDEX('Interface List'!$D$7:$D$45,MATCH($C10,'Interface List'!$E$7:$E$45,0))</f>
        <v>IFMDFIX0003</v>
      </c>
      <c r="C10" s="49" t="s">
        <v>619</v>
      </c>
      <c r="D10" s="39">
        <v>1149</v>
      </c>
      <c r="E10" s="38" t="str">
        <f>VLOOKUP($D10,'Tag(Glossary)'!$B:$G,2,0)</f>
        <v>HighLimitPrice</v>
      </c>
      <c r="F10" s="39" t="s">
        <v>622</v>
      </c>
      <c r="G10" s="39" t="str">
        <f>VLOOKUP($D10,'Tag(Glossary)'!$B:$G,4,0)</f>
        <v>Price</v>
      </c>
      <c r="H10" s="39" t="str">
        <f>VLOOKUP($D10,'Tag(Glossary)'!$B:$G,5,0)</f>
        <v>15(9.4)</v>
      </c>
      <c r="I10" s="38" t="str">
        <f>VLOOKUP($D10,'Tag(Glossary)'!$B:$H,6,0)&amp;IF(ISBLANK(VLOOKUP($D10,'Tag(Glossary)'!$B:$H,7,0)),"",CHAR(10))&amp;VLOOKUP($D10,'Tag(Glossary)'!$B:$H,7,0)</f>
        <v>Available high limit price for the tradig day</v>
      </c>
    </row>
    <row r="11" spans="1:9" ht="25.5">
      <c r="B11" s="49" t="str">
        <f>INDEX('Interface List'!$D$7:$D$45,MATCH($C11,'Interface List'!$E$7:$E$45,0))</f>
        <v>IFMDFIX0003</v>
      </c>
      <c r="C11" s="49" t="s">
        <v>619</v>
      </c>
      <c r="D11" s="39">
        <v>1148</v>
      </c>
      <c r="E11" s="38" t="str">
        <f>VLOOKUP($D11,'Tag(Glossary)'!$B:$G,2,0)</f>
        <v>LowLimitPrice</v>
      </c>
      <c r="F11" s="39" t="s">
        <v>622</v>
      </c>
      <c r="G11" s="39" t="str">
        <f>VLOOKUP($D11,'Tag(Glossary)'!$B:$G,4,0)</f>
        <v>Price</v>
      </c>
      <c r="H11" s="39" t="str">
        <f>VLOOKUP($D11,'Tag(Glossary)'!$B:$G,5,0)</f>
        <v>15(9.4)</v>
      </c>
      <c r="I11" s="38" t="str">
        <f>VLOOKUP($D11,'Tag(Glossary)'!$B:$H,6,0)&amp;IF(ISBLANK(VLOOKUP($D11,'Tag(Glossary)'!$B:$H,7,0)),"",CHAR(10))&amp;VLOOKUP($D11,'Tag(Glossary)'!$B:$H,7,0)</f>
        <v>Available low limit price for the tradig day</v>
      </c>
    </row>
    <row r="12" spans="1:9" ht="51">
      <c r="B12" s="49" t="str">
        <f>INDEX('Interface List'!$D$7:$D$45,MATCH($C12,'Interface List'!$E$7:$E$45,0))</f>
        <v>IFMDFIX0003</v>
      </c>
      <c r="C12" s="49" t="s">
        <v>619</v>
      </c>
      <c r="D12" s="39">
        <v>20014</v>
      </c>
      <c r="E12" s="38" t="str">
        <f>VLOOKUP($D12,'Tag(Glossary)'!$B:$G,2,0)</f>
        <v>EvaluationPrice</v>
      </c>
      <c r="F12" s="39" t="s">
        <v>536</v>
      </c>
      <c r="G12" s="39" t="str">
        <f>VLOOKUP($D12,'Tag(Glossary)'!$B:$G,4,0)</f>
        <v>Price</v>
      </c>
      <c r="H12" s="39" t="str">
        <f>VLOOKUP($D12,'Tag(Glossary)'!$B:$G,5,0)</f>
        <v>15(9.4)</v>
      </c>
      <c r="I12" s="38" t="str">
        <f>VLOOKUP($D12,'Tag(Glossary)'!$B:$H,6,0)&amp;IF(ISBLANK(VLOOKUP($D12,'Tag(Glossary)'!$B:$H,7,0)),"",CHAR(10))&amp;VLOOKUP($D12,'Tag(Glossary)'!$B:$H,7,0)</f>
        <v>Valuation price for a 'Re-Valuation' instrument. For such instrument, price limit is set based on this price until the first execution. Once the first execution is occurred, price limit is set again base on the price of the first execution.</v>
      </c>
    </row>
    <row r="13" spans="1:9" ht="25.5">
      <c r="B13" s="49" t="str">
        <f>INDEX('Interface List'!$D$7:$D$45,MATCH($C13,'Interface List'!$E$7:$E$45,0))</f>
        <v>IFMDFIX0003</v>
      </c>
      <c r="C13" s="49" t="s">
        <v>619</v>
      </c>
      <c r="D13" s="39">
        <v>20015</v>
      </c>
      <c r="E13" s="38" t="str">
        <f>VLOOKUP($D13,'Tag(Glossary)'!$B:$G,2,0)</f>
        <v>HgstOrderPrice</v>
      </c>
      <c r="F13" s="39" t="s">
        <v>536</v>
      </c>
      <c r="G13" s="39" t="str">
        <f>VLOOKUP($D13,'Tag(Glossary)'!$B:$G,4,0)</f>
        <v>Price</v>
      </c>
      <c r="H13" s="39" t="str">
        <f>VLOOKUP($D13,'Tag(Glossary)'!$B:$G,5,0)</f>
        <v>15 (9.4)</v>
      </c>
      <c r="I13" s="38" t="str">
        <f>VLOOKUP($D13,'Tag(Glossary)'!$B:$H,6,0)&amp;IF(ISBLANK(VLOOKUP($D13,'Tag(Glossary)'!$B:$H,7,0)),"",CHAR(10))&amp;VLOOKUP($D13,'Tag(Glossary)'!$B:$H,7,0)</f>
        <v>Upper price limit for a 'Re-Valuation' instrument during the opening call auction (or until the first execution).</v>
      </c>
    </row>
    <row r="14" spans="1:9" ht="25.5">
      <c r="B14" s="49" t="str">
        <f>INDEX('Interface List'!$D$7:$D$45,MATCH($C14,'Interface List'!$E$7:$E$45,0))</f>
        <v>IFMDFIX0003</v>
      </c>
      <c r="C14" s="49" t="s">
        <v>619</v>
      </c>
      <c r="D14" s="39">
        <v>20016</v>
      </c>
      <c r="E14" s="38" t="str">
        <f>VLOOKUP($D14,'Tag(Glossary)'!$B:$G,2,0)</f>
        <v>LwstOrderPrice</v>
      </c>
      <c r="F14" s="39" t="s">
        <v>536</v>
      </c>
      <c r="G14" s="39" t="str">
        <f>VLOOKUP($D14,'Tag(Glossary)'!$B:$G,4,0)</f>
        <v>Price</v>
      </c>
      <c r="H14" s="39" t="str">
        <f>VLOOKUP($D14,'Tag(Glossary)'!$B:$G,5,0)</f>
        <v>15 (9.4)</v>
      </c>
      <c r="I14" s="38" t="str">
        <f>VLOOKUP($D14,'Tag(Glossary)'!$B:$H,6,0)&amp;IF(ISBLANK(VLOOKUP($D14,'Tag(Glossary)'!$B:$H,7,0)),"",CHAR(10))&amp;VLOOKUP($D14,'Tag(Glossary)'!$B:$H,7,0)</f>
        <v>Lower price limit for a 'Re-Valuation' instrument during the opening call auction (or until the first execution).</v>
      </c>
    </row>
    <row r="15" spans="1:9" ht="25.5">
      <c r="B15" s="49" t="str">
        <f>INDEX('Interface List'!$D$7:$D$45,MATCH($C15,'Interface List'!$E$7:$E$45,0))</f>
        <v>IFMDFIX0003</v>
      </c>
      <c r="C15" s="49" t="s">
        <v>619</v>
      </c>
      <c r="D15" s="39">
        <v>20020</v>
      </c>
      <c r="E15" s="38" t="str">
        <f>VLOOKUP($D15,'Tag(Glossary)'!$B:$G,2,0)</f>
        <v>ListedShares</v>
      </c>
      <c r="F15" s="39" t="s">
        <v>622</v>
      </c>
      <c r="G15" s="39" t="str">
        <f>VLOOKUP($D15,'Tag(Glossary)'!$B:$G,4,0)</f>
        <v>Int</v>
      </c>
      <c r="H15" s="39">
        <f>VLOOKUP($D15,'Tag(Glossary)'!$B:$G,5,0)</f>
        <v>16</v>
      </c>
      <c r="I15" s="38" t="str">
        <f>VLOOKUP($D15,'Tag(Glossary)'!$B:$H,6,0)&amp;IF(ISBLANK(VLOOKUP($D15,'Tag(Glossary)'!$B:$H,7,0)),"",CHAR(10))&amp;VLOOKUP($D15,'Tag(Glossary)'!$B:$H,7,0)</f>
        <v xml:space="preserve">Number of listed stocks </v>
      </c>
    </row>
    <row r="16" spans="1:9" ht="178.5">
      <c r="B16" s="49" t="str">
        <f>INDEX('Interface List'!$D$7:$D$45,MATCH($C16,'Interface List'!$E$7:$E$45,0))</f>
        <v>IFMDFIX0003</v>
      </c>
      <c r="C16" s="49" t="s">
        <v>619</v>
      </c>
      <c r="D16" s="39">
        <v>20018</v>
      </c>
      <c r="E16" s="38" t="str">
        <f>VLOOKUP($D16,'Tag(Glossary)'!$B:$G,2,0)</f>
        <v>ExClassType</v>
      </c>
      <c r="F16" s="39" t="s">
        <v>536</v>
      </c>
      <c r="G16" s="39" t="str">
        <f>VLOOKUP($D16,'Tag(Glossary)'!$B:$G,4,0)</f>
        <v>String</v>
      </c>
      <c r="H16" s="39">
        <f>VLOOKUP($D16,'Tag(Glossary)'!$B:$G,5,0)</f>
        <v>2</v>
      </c>
      <c r="I16" s="38" t="str">
        <f>VLOOKUP($D16,'Tag(Glossary)'!$B:$H,6,0)&amp;IF(ISBLANK(VLOOKUP($D16,'Tag(Glossary)'!$B:$H,7,0)),"",CHAR(10))&amp;VLOOKUP($D16,'Tag(Glossary)'!$B:$H,7,0)</f>
        <v>Corporate action type that may affect reference price.
00: N/A
01: Stock Dividend/Bonus (D/B)
02: Cash Dividend
04: Right Offering (RO)
03: Stock D/B + Cash D
05: RO + Stock D/B
06: RO + Cash D
07: RO + Stock D/B + Cash D
08: Convertible Bond
16: Treasury Stock Div.
P1: Stock Split
P2: Stock Merge
XX: Etc.</v>
      </c>
    </row>
    <row r="17" spans="2:9" ht="25.5">
      <c r="B17" s="49" t="str">
        <f>INDEX('Interface List'!$D$7:$D$45,MATCH($C17,'Interface List'!$E$7:$E$45,0))</f>
        <v>IFMDFIX0003</v>
      </c>
      <c r="C17" s="49" t="s">
        <v>619</v>
      </c>
      <c r="D17" s="36"/>
      <c r="E17" s="37" t="s">
        <v>258</v>
      </c>
      <c r="F17" s="36" t="s">
        <v>85</v>
      </c>
      <c r="G17" s="37"/>
      <c r="H17" s="36"/>
      <c r="I17" s="37"/>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5" orientation="portrait" r:id="rId1"/>
  <headerFooter alignWithMargins="0">
    <oddFooter>&amp;C&amp;10&amp;P/&amp;N&amp; Information Technology Service Agreement&amp;R&amp;G</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2:I12"/>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5.125" style="32" bestFit="1" customWidth="1"/>
    <col min="3" max="3" width="17.6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ustomHeight="1">
      <c r="B2" s="224" t="s">
        <v>378</v>
      </c>
      <c r="C2" s="224"/>
      <c r="D2" s="224"/>
      <c r="E2" s="224"/>
      <c r="F2" s="224"/>
      <c r="G2" s="224"/>
      <c r="H2" s="224"/>
      <c r="I2" s="224"/>
    </row>
    <row r="3" spans="1:9" s="3" customFormat="1">
      <c r="A3" s="5"/>
      <c r="B3" s="33"/>
      <c r="C3" s="33"/>
      <c r="D3" s="33"/>
      <c r="E3" s="33"/>
      <c r="F3" s="33"/>
      <c r="G3" s="33"/>
      <c r="H3" s="33"/>
      <c r="I3" s="33"/>
    </row>
    <row r="4" spans="1:9" s="4" customFormat="1" ht="15.75">
      <c r="A4" s="198" t="s">
        <v>894</v>
      </c>
      <c r="B4" s="163" t="s">
        <v>90</v>
      </c>
      <c r="C4" s="163" t="s">
        <v>104</v>
      </c>
      <c r="D4" s="163" t="s">
        <v>84</v>
      </c>
      <c r="E4" s="163" t="s">
        <v>98</v>
      </c>
      <c r="F4" s="163" t="s">
        <v>99</v>
      </c>
      <c r="G4" s="163" t="s">
        <v>100</v>
      </c>
      <c r="H4" s="163" t="s">
        <v>101</v>
      </c>
      <c r="I4" s="163" t="s">
        <v>102</v>
      </c>
    </row>
    <row r="5" spans="1:9" ht="25.5">
      <c r="B5" s="164" t="str">
        <f>INDEX('Interface List'!$D$7:$D$45,MATCH($C5,'Interface List'!$E$7:$E$45,0))</f>
        <v>IFMDFIX0004</v>
      </c>
      <c r="C5" s="164" t="s">
        <v>378</v>
      </c>
      <c r="D5" s="164"/>
      <c r="E5" s="165" t="s">
        <v>109</v>
      </c>
      <c r="F5" s="164" t="s">
        <v>86</v>
      </c>
      <c r="G5" s="164"/>
      <c r="H5" s="164"/>
      <c r="I5" s="165" t="s">
        <v>379</v>
      </c>
    </row>
    <row r="6" spans="1:9" ht="140.25">
      <c r="B6" s="49" t="str">
        <f>INDEX('Interface List'!$D$7:$D$45,MATCH($C6,'Interface List'!$E$7:$E$45,0))</f>
        <v>IFMDFIX0004</v>
      </c>
      <c r="C6" s="49" t="s">
        <v>378</v>
      </c>
      <c r="D6" s="36">
        <v>30001</v>
      </c>
      <c r="E6" s="37"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49" t="str">
        <f>INDEX('Interface List'!$D$7:$D$45,MATCH($C7,'Interface List'!$E$7:$E$45,0))</f>
        <v>IFMDFIX0004</v>
      </c>
      <c r="C7" s="49" t="s">
        <v>378</v>
      </c>
      <c r="D7" s="36">
        <v>20004</v>
      </c>
      <c r="E7" s="37" t="str">
        <f>VLOOKUP($D7,'Tag(Glossary)'!$B:$G,2,0)</f>
        <v>BoardID</v>
      </c>
      <c r="F7" s="36" t="s">
        <v>85</v>
      </c>
      <c r="G7" s="36" t="str">
        <f>VLOOKUP($D7,'Tag(Glossary)'!$B:$G,4,0)</f>
        <v>String</v>
      </c>
      <c r="H7" s="36">
        <f>VLOOKUP($D7,'Tag(Glossary)'!$B:$G,5,0)</f>
        <v>2</v>
      </c>
      <c r="I7" s="37"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49" t="str">
        <f>INDEX('Interface List'!$D$7:$D$45,MATCH($C8,'Interface List'!$E$7:$E$45,0))</f>
        <v>IFMDFIX0004</v>
      </c>
      <c r="C8" s="49" t="s">
        <v>378</v>
      </c>
      <c r="D8" s="39">
        <v>55</v>
      </c>
      <c r="E8" s="37" t="str">
        <f>VLOOKUP($D8,'Tag(Glossary)'!$B:$G,2,0)</f>
        <v>Symbol</v>
      </c>
      <c r="F8" s="36" t="s">
        <v>85</v>
      </c>
      <c r="G8" s="36" t="str">
        <f>VLOOKUP($D8,'Tag(Glossary)'!$B:$G,4,0)</f>
        <v>String</v>
      </c>
      <c r="H8" s="36">
        <f>VLOOKUP($D8,'Tag(Glossary)'!$B:$G,5,0)</f>
        <v>12</v>
      </c>
      <c r="I8" s="37" t="str">
        <f>VLOOKUP($D8,'Tag(Glossary)'!$B:$H,6,0)&amp;IF(ISBLANK(VLOOKUP($D8,'Tag(Glossary)'!$B:$H,7,0)),"",CHAR(10))&amp;VLOOKUP($D8,'Tag(Glossary)'!$B:$H,7,0)</f>
        <v>The unique code of an issue (a.k.a. instrument or symbol). Generally it is ISIN code but in case of Repo market it is defined as the exchange staffs want</v>
      </c>
    </row>
    <row r="9" spans="1:9" ht="38.25">
      <c r="B9" s="49" t="str">
        <f>INDEX('Interface List'!$D$7:$D$45,MATCH($C9,'Interface List'!$E$7:$E$45,0))</f>
        <v>IFMDFIX0004</v>
      </c>
      <c r="C9" s="49" t="s">
        <v>378</v>
      </c>
      <c r="D9" s="36">
        <v>20026</v>
      </c>
      <c r="E9" s="37" t="str">
        <f>VLOOKUP($D9,'Tag(Glossary)'!$B:$G,2,0)</f>
        <v>SymbolCloseInfoPx</v>
      </c>
      <c r="F9" s="36" t="s">
        <v>85</v>
      </c>
      <c r="G9" s="36" t="str">
        <f>VLOOKUP($D9,'Tag(Glossary)'!$B:$G,4,0)</f>
        <v>Price</v>
      </c>
      <c r="H9" s="36" t="str">
        <f>VLOOKUP($D9,'Tag(Glossary)'!$B:$G,5,0)</f>
        <v>15(9.4)</v>
      </c>
      <c r="I9" s="37" t="str">
        <f>VLOOKUP($D9,'Tag(Glossary)'!$B:$H,6,0)&amp;IF(ISBLANK(VLOOKUP($D9,'Tag(Glossary)'!$B:$H,7,0)),"",CHAR(10))&amp;VLOOKUP($D9,'Tag(Glossary)'!$B:$H,7,0)</f>
        <v>The last execution price of that day. If there is no execution it is replaced with the reference price, and if no reference price is given then it will be 0 (zero)</v>
      </c>
    </row>
    <row r="10" spans="1:9" ht="25.5">
      <c r="B10" s="49" t="str">
        <f>INDEX('Interface List'!$D$7:$D$45,MATCH($C10,'Interface List'!$E$7:$E$45,0))</f>
        <v>IFMDFIX0004</v>
      </c>
      <c r="C10" s="49" t="s">
        <v>378</v>
      </c>
      <c r="D10" s="36">
        <v>30541</v>
      </c>
      <c r="E10" s="37" t="str">
        <f>VLOOKUP($D10,'Tag(Glossary)'!$B:$G,2,0)</f>
        <v>SymbolCloseInfoYield</v>
      </c>
      <c r="F10" s="36" t="s">
        <v>85</v>
      </c>
      <c r="G10" s="36" t="str">
        <f>VLOOKUP($D10,'Tag(Glossary)'!$B:$G,4,0)</f>
        <v>Float</v>
      </c>
      <c r="H10" s="36" t="str">
        <f>VLOOKUP($D10,'Tag(Glossary)'!$B:$G,5,0)</f>
        <v>13(5.6)</v>
      </c>
      <c r="I10" s="37" t="str">
        <f>VLOOKUP($D10,'Tag(Glossary)'!$B:$H,6,0)&amp;IF(ISBLANK(VLOOKUP($D10,'Tag(Glossary)'!$B:$H,7,0)),"",CHAR(10))&amp;VLOOKUP($D10,'Tag(Glossary)'!$B:$H,7,0)</f>
        <v>Final yield of a bond calculated using the closing price of that day</v>
      </c>
    </row>
    <row r="11" spans="1:9" ht="63.75">
      <c r="B11" s="49" t="str">
        <f>INDEX('Interface List'!$D$7:$D$45,MATCH($C11,'Interface List'!$E$7:$E$45,0))</f>
        <v>IFMDFIX0004</v>
      </c>
      <c r="C11" s="49" t="s">
        <v>378</v>
      </c>
      <c r="D11" s="36">
        <v>20027</v>
      </c>
      <c r="E11" s="37" t="str">
        <f>VLOOKUP($D11,'Tag(Glossary)'!$B:$G,2,0)</f>
        <v>SymbolCloseInfoPxType</v>
      </c>
      <c r="F11" s="36" t="s">
        <v>85</v>
      </c>
      <c r="G11" s="36" t="str">
        <f>VLOOKUP($D11,'Tag(Glossary)'!$B:$G,4,0)</f>
        <v>String</v>
      </c>
      <c r="H11" s="36">
        <f>VLOOKUP($D11,'Tag(Glossary)'!$B:$G,5,0)</f>
        <v>1</v>
      </c>
      <c r="I11" s="37" t="str">
        <f>VLOOKUP($D11,'Tag(Glossary)'!$B:$H,6,0)&amp;IF(ISBLANK(VLOOKUP($D11,'Tag(Glossary)'!$B:$H,7,0)),"",CHAR(10))&amp;VLOOKUP($D11,'Tag(Glossary)'!$B:$H,7,0)</f>
        <v>Type of closing price
1: Actual Trade
2: Biased Quotation
3: No Trade
4: Biased Quotation of an Re-Valuation Instr.</v>
      </c>
    </row>
    <row r="12" spans="1:9" ht="25.5">
      <c r="B12" s="49" t="str">
        <f>INDEX('Interface List'!$D$7:$D$45,MATCH($C12,'Interface List'!$E$7:$E$45,0))</f>
        <v>IFMDFIX0004</v>
      </c>
      <c r="C12" s="49" t="s">
        <v>378</v>
      </c>
      <c r="D12" s="36"/>
      <c r="E12" s="37" t="s">
        <v>258</v>
      </c>
      <c r="F12" s="36" t="s">
        <v>85</v>
      </c>
      <c r="G12" s="37"/>
      <c r="H12" s="36"/>
      <c r="I12" s="37"/>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2:I16"/>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5.125" style="32" bestFit="1" customWidth="1"/>
    <col min="3" max="3" width="14.87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304</v>
      </c>
      <c r="C2" s="224"/>
      <c r="D2" s="224"/>
      <c r="E2" s="224"/>
      <c r="F2" s="224"/>
      <c r="G2" s="224"/>
      <c r="H2" s="224"/>
      <c r="I2" s="224"/>
    </row>
    <row r="3" spans="1:9" s="3" customFormat="1">
      <c r="A3" s="5"/>
      <c r="B3" s="33"/>
      <c r="C3" s="33"/>
      <c r="D3" s="33"/>
      <c r="E3" s="33"/>
      <c r="F3" s="33"/>
      <c r="G3" s="33"/>
      <c r="H3" s="33"/>
      <c r="I3" s="33"/>
    </row>
    <row r="4" spans="1:9" s="4" customFormat="1">
      <c r="A4" s="7"/>
      <c r="B4" s="169" t="s">
        <v>90</v>
      </c>
      <c r="C4" s="169" t="s">
        <v>104</v>
      </c>
      <c r="D4" s="169" t="s">
        <v>84</v>
      </c>
      <c r="E4" s="169" t="s">
        <v>98</v>
      </c>
      <c r="F4" s="169" t="s">
        <v>99</v>
      </c>
      <c r="G4" s="169" t="s">
        <v>100</v>
      </c>
      <c r="H4" s="169" t="s">
        <v>101</v>
      </c>
      <c r="I4" s="169" t="s">
        <v>102</v>
      </c>
    </row>
    <row r="5" spans="1:9" ht="25.5">
      <c r="B5" s="166" t="str">
        <f>INDEX('Interface List'!$D$7:$D$45,MATCH($C5,'Interface List'!$E$7:$E$45,0))</f>
        <v>IFMDFIX0005</v>
      </c>
      <c r="C5" s="167" t="s">
        <v>304</v>
      </c>
      <c r="D5" s="167"/>
      <c r="E5" s="168" t="s">
        <v>109</v>
      </c>
      <c r="F5" s="167" t="s">
        <v>86</v>
      </c>
      <c r="G5" s="167"/>
      <c r="H5" s="167"/>
      <c r="I5" s="168" t="s">
        <v>380</v>
      </c>
    </row>
    <row r="6" spans="1:9" ht="140.25">
      <c r="B6" s="49" t="str">
        <f>INDEX('Interface List'!$D$7:$D$45,MATCH($C6,'Interface List'!$E$7:$E$45,0))</f>
        <v>IFMDFIX0005</v>
      </c>
      <c r="C6" s="74" t="s">
        <v>304</v>
      </c>
      <c r="D6" s="72">
        <v>30001</v>
      </c>
      <c r="E6" s="37"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49" t="str">
        <f>INDEX('Interface List'!$D$7:$D$45,MATCH($C7,'Interface List'!$E$7:$E$45,0))</f>
        <v>IFMDFIX0005</v>
      </c>
      <c r="C7" s="74" t="s">
        <v>304</v>
      </c>
      <c r="D7" s="72">
        <v>20004</v>
      </c>
      <c r="E7" s="37" t="str">
        <f>VLOOKUP($D7,'Tag(Glossary)'!$B:$G,2,0)</f>
        <v>BoardID</v>
      </c>
      <c r="F7" s="36" t="s">
        <v>85</v>
      </c>
      <c r="G7" s="36" t="str">
        <f>VLOOKUP($D7,'Tag(Glossary)'!$B:$G,4,0)</f>
        <v>String</v>
      </c>
      <c r="H7" s="36">
        <f>VLOOKUP($D7,'Tag(Glossary)'!$B:$G,5,0)</f>
        <v>2</v>
      </c>
      <c r="I7" s="37"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49" t="str">
        <f>INDEX('Interface List'!$D$7:$D$45,MATCH($C8,'Interface List'!$E$7:$E$45,0))</f>
        <v>IFMDFIX0005</v>
      </c>
      <c r="C8" s="74" t="s">
        <v>381</v>
      </c>
      <c r="D8" s="140">
        <v>55</v>
      </c>
      <c r="E8" s="37" t="str">
        <f>VLOOKUP($D8,'Tag(Glossary)'!$B:$G,2,0)</f>
        <v>Symbol</v>
      </c>
      <c r="F8" s="36" t="s">
        <v>85</v>
      </c>
      <c r="G8" s="36" t="str">
        <f>VLOOKUP($D8,'Tag(Glossary)'!$B:$G,4,0)</f>
        <v>String</v>
      </c>
      <c r="H8" s="36">
        <f>VLOOKUP($D8,'Tag(Glossary)'!$B:$G,5,0)</f>
        <v>12</v>
      </c>
      <c r="I8" s="37" t="str">
        <f>VLOOKUP($D8,'Tag(Glossary)'!$B:$H,6,0)&amp;IF(ISBLANK(VLOOKUP($D8,'Tag(Glossary)'!$B:$H,7,0)),"",CHAR(10))&amp;VLOOKUP($D8,'Tag(Glossary)'!$B:$H,7,0)</f>
        <v>The unique code of an issue (a.k.a. instrument or symbol). Generally it is ISIN code but in case of Repo market it is defined as the exchange staffs want</v>
      </c>
    </row>
    <row r="9" spans="1:9" ht="38.25">
      <c r="B9" s="49" t="str">
        <f>INDEX('Interface List'!$D$7:$D$45,MATCH($C9,'Interface List'!$E$7:$E$45,0))</f>
        <v>IFMDFIX0005</v>
      </c>
      <c r="C9" s="74" t="s">
        <v>304</v>
      </c>
      <c r="D9" s="72">
        <v>20030</v>
      </c>
      <c r="E9" s="37" t="str">
        <f>VLOOKUP($D9,'Tag(Glossary)'!$B:$G,2,0)</f>
        <v>VITypeCode</v>
      </c>
      <c r="F9" s="36" t="s">
        <v>85</v>
      </c>
      <c r="G9" s="36" t="str">
        <f>VLOOKUP($D9,'Tag(Glossary)'!$B:$G,4,0)</f>
        <v>String</v>
      </c>
      <c r="H9" s="36">
        <f>VLOOKUP($D9,'Tag(Glossary)'!$B:$G,5,0)</f>
        <v>1</v>
      </c>
      <c r="I9" s="37" t="str">
        <f>VLOOKUP($D9,'Tag(Glossary)'!$B:$H,6,0)&amp;IF(ISBLANK(VLOOKUP($D9,'Tag(Glossary)'!$B:$H,7,0)),"",CHAR(10))&amp;VLOOKUP($D9,'Tag(Glossary)'!$B:$H,7,0)</f>
        <v>Indicates whether VI is activated or released.
1 = Activated
2 = Released</v>
      </c>
    </row>
    <row r="10" spans="1:9" ht="51">
      <c r="B10" s="49" t="str">
        <f>INDEX('Interface List'!$D$7:$D$45,MATCH($C10,'Interface List'!$E$7:$E$45,0))</f>
        <v>IFMDFIX0005</v>
      </c>
      <c r="C10" s="74" t="s">
        <v>304</v>
      </c>
      <c r="D10" s="72">
        <v>20031</v>
      </c>
      <c r="E10" s="37" t="str">
        <f>VLOOKUP($D10,'Tag(Glossary)'!$B:$G,2,0)</f>
        <v>VIKindCode</v>
      </c>
      <c r="F10" s="36" t="s">
        <v>85</v>
      </c>
      <c r="G10" s="36" t="str">
        <f>VLOOKUP($D10,'Tag(Glossary)'!$B:$G,4,0)</f>
        <v>String</v>
      </c>
      <c r="H10" s="36">
        <f>VLOOKUP($D10,'Tag(Glossary)'!$B:$G,5,0)</f>
        <v>1</v>
      </c>
      <c r="I10" s="37" t="str">
        <f>VLOOKUP($D10,'Tag(Glossary)'!$B:$H,6,0)&amp;IF(ISBLANK(VLOOKUP($D10,'Tag(Glossary)'!$B:$H,7,0)),"",CHAR(10))&amp;VLOOKUP($D10,'Tag(Glossary)'!$B:$H,7,0)</f>
        <v>Indicates which kind of VI is activated or released.
1 = Static VI
2 = Dynamic VI
3 = Static VI + Dynamic VI</v>
      </c>
    </row>
    <row r="11" spans="1:9" ht="38.25">
      <c r="B11" s="49" t="str">
        <f>INDEX('Interface List'!$D$7:$D$45,MATCH($C11,'Interface List'!$E$7:$E$45,0))</f>
        <v>IFMDFIX0005</v>
      </c>
      <c r="C11" s="74" t="s">
        <v>304</v>
      </c>
      <c r="D11" s="140">
        <v>20032</v>
      </c>
      <c r="E11" s="37" t="str">
        <f>VLOOKUP($D11,'Tag(Glossary)'!$B:$G,2,0)</f>
        <v>StaticVIBasePrice</v>
      </c>
      <c r="F11" s="36" t="s">
        <v>85</v>
      </c>
      <c r="G11" s="36" t="str">
        <f>VLOOKUP($D11,'Tag(Glossary)'!$B:$G,4,0)</f>
        <v>Price</v>
      </c>
      <c r="H11" s="36" t="str">
        <f>VLOOKUP($D11,'Tag(Glossary)'!$B:$G,5,0)</f>
        <v>15 (9.4)</v>
      </c>
      <c r="I11" s="37" t="str">
        <f>VLOOKUP($D11,'Tag(Glossary)'!$B:$H,6,0)&amp;IF(ISBLANK(VLOOKUP($D11,'Tag(Glossary)'!$B:$H,7,0)),"",CHAR(10))&amp;VLOOKUP($D11,'Tag(Glossary)'!$B:$H,7,0)</f>
        <v>Indicates static VI reference price. Price range for static VI is determined based on this price, and static VI is activated when an order is about to be executed outside the VI price range.</v>
      </c>
    </row>
    <row r="12" spans="1:9" ht="38.25">
      <c r="B12" s="49" t="str">
        <f>INDEX('Interface List'!$D$7:$D$45,MATCH($C12,'Interface List'!$E$7:$E$45,0))</f>
        <v>IFMDFIX0005</v>
      </c>
      <c r="C12" s="74" t="s">
        <v>304</v>
      </c>
      <c r="D12" s="140">
        <v>20047</v>
      </c>
      <c r="E12" s="37" t="str">
        <f>VLOOKUP($D12,'Tag(Glossary)'!$B:$G,2,0)</f>
        <v>DynamicVIBasePrice</v>
      </c>
      <c r="F12" s="36" t="s">
        <v>85</v>
      </c>
      <c r="G12" s="36" t="str">
        <f>VLOOKUP($D12,'Tag(Glossary)'!$B:$G,4,0)</f>
        <v>Price</v>
      </c>
      <c r="H12" s="36" t="str">
        <f>VLOOKUP($D12,'Tag(Glossary)'!$B:$G,5,0)</f>
        <v>15 (9.4)</v>
      </c>
      <c r="I12" s="37" t="str">
        <f>VLOOKUP($D12,'Tag(Glossary)'!$B:$H,6,0)&amp;IF(ISBLANK(VLOOKUP($D12,'Tag(Glossary)'!$B:$H,7,0)),"",CHAR(10))&amp;VLOOKUP($D12,'Tag(Glossary)'!$B:$H,7,0)</f>
        <v>Indicates dynamic VI reference price. Price range for dynamic VI is determined based on this price, and dynamic VI is activated when an order is about to be executed outside the VI price range.</v>
      </c>
    </row>
    <row r="13" spans="1:9" ht="25.5">
      <c r="B13" s="49" t="str">
        <f>INDEX('Interface List'!$D$7:$D$45,MATCH($C13,'Interface List'!$E$7:$E$45,0))</f>
        <v>IFMDFIX0005</v>
      </c>
      <c r="C13" s="74" t="s">
        <v>304</v>
      </c>
      <c r="D13" s="140">
        <v>20033</v>
      </c>
      <c r="E13" s="37" t="str">
        <f>VLOOKUP($D13,'Tag(Glossary)'!$B:$G,2,0)</f>
        <v>VIPrice</v>
      </c>
      <c r="F13" s="36" t="s">
        <v>85</v>
      </c>
      <c r="G13" s="36" t="str">
        <f>VLOOKUP($D13,'Tag(Glossary)'!$B:$G,4,0)</f>
        <v>Price</v>
      </c>
      <c r="H13" s="36" t="str">
        <f>VLOOKUP($D13,'Tag(Glossary)'!$B:$G,5,0)</f>
        <v>15 (9.4)</v>
      </c>
      <c r="I13" s="37" t="str">
        <f>VLOOKUP($D13,'Tag(Glossary)'!$B:$H,6,0)&amp;IF(ISBLANK(VLOOKUP($D13,'Tag(Glossary)'!$B:$H,7,0)),"",CHAR(10))&amp;VLOOKUP($D13,'Tag(Glossary)'!$B:$H,7,0)</f>
        <v>VI Triggering Price</v>
      </c>
    </row>
    <row r="14" spans="1:9" ht="51">
      <c r="B14" s="49" t="str">
        <f>INDEX('Interface List'!$D$7:$D$45,MATCH($C14,'Interface List'!$E$7:$E$45,0))</f>
        <v>IFMDFIX0005</v>
      </c>
      <c r="C14" s="74" t="s">
        <v>304</v>
      </c>
      <c r="D14" s="140">
        <v>20034</v>
      </c>
      <c r="E14" s="37" t="str">
        <f>VLOOKUP($D14,'Tag(Glossary)'!$B:$G,2,0)</f>
        <v>StaticVIDispartiyRatio</v>
      </c>
      <c r="F14" s="36" t="s">
        <v>85</v>
      </c>
      <c r="G14" s="36" t="str">
        <f>VLOOKUP($D14,'Tag(Glossary)'!$B:$G,4,0)</f>
        <v>Price</v>
      </c>
      <c r="H14" s="36" t="str">
        <f>VLOOKUP($D14,'Tag(Glossary)'!$B:$G,5,0)</f>
        <v>8(3.3)</v>
      </c>
      <c r="I14" s="37" t="str">
        <f>VLOOKUP($D14,'Tag(Glossary)'!$B:$H,6,0)&amp;IF(ISBLANK(VLOOKUP($D14,'Tag(Glossary)'!$B:$H,7,0)),"",CHAR(10))&amp;VLOOKUP($D14,'Tag(Glossary)'!$B:$H,7,0)</f>
        <v>Indicates static VI activation ratio expressed in percent. static VI price range is defined as range from static VI reference price plus/minus this ratio. For example, if static VI reference price is 1000 and this ratio is 2.5, then static VI price range.</v>
      </c>
    </row>
    <row r="15" spans="1:9" ht="51">
      <c r="B15" s="49" t="str">
        <f>INDEX('Interface List'!$D$7:$D$45,MATCH($C15,'Interface List'!$E$7:$E$45,0))</f>
        <v>IFMDFIX0005</v>
      </c>
      <c r="C15" s="74" t="s">
        <v>304</v>
      </c>
      <c r="D15" s="140">
        <v>20048</v>
      </c>
      <c r="E15" s="37" t="str">
        <f>VLOOKUP($D15,'Tag(Glossary)'!$B:$G,2,0)</f>
        <v>DynamicVIDispartiyRatio</v>
      </c>
      <c r="F15" s="36" t="s">
        <v>85</v>
      </c>
      <c r="G15" s="36" t="str">
        <f>VLOOKUP($D15,'Tag(Glossary)'!$B:$G,4,0)</f>
        <v>Price</v>
      </c>
      <c r="H15" s="36" t="str">
        <f>VLOOKUP($D15,'Tag(Glossary)'!$B:$G,5,0)</f>
        <v>8(3.3)</v>
      </c>
      <c r="I15" s="37" t="str">
        <f>VLOOKUP($D15,'Tag(Glossary)'!$B:$H,6,0)&amp;IF(ISBLANK(VLOOKUP($D15,'Tag(Glossary)'!$B:$H,7,0)),"",CHAR(10))&amp;VLOOKUP($D15,'Tag(Glossary)'!$B:$H,7,0)</f>
        <v>Indicates dynamic VI activation ratio expressed in percent. Dynamic VI price range is defined as range from Dynamic VI reference price plus/minus this ratio. For example, if Dynamic VI reference price is 1000 and this ratio is 2, then Dynamic VI price range is from 980 to 1020.</v>
      </c>
    </row>
    <row r="16" spans="1:9" ht="25.5">
      <c r="B16" s="49" t="str">
        <f>INDEX('Interface List'!$D$7:$D$45,MATCH($C16,'Interface List'!$E$7:$E$45,0))</f>
        <v>IFMDFIX0005</v>
      </c>
      <c r="C16" s="74" t="s">
        <v>304</v>
      </c>
      <c r="D16" s="72"/>
      <c r="E16" s="73" t="s">
        <v>258</v>
      </c>
      <c r="F16" s="72" t="s">
        <v>85</v>
      </c>
      <c r="G16" s="73"/>
      <c r="H16" s="72"/>
      <c r="I16" s="73"/>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8" orientation="portrait" r:id="rId1"/>
  <headerFooter alignWithMargins="0">
    <oddFooter>&amp;C&amp;10&amp;P/&amp;N&amp; Information Technology Service Agreement&amp;R&amp;G</oddFooter>
  </headerFooter>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2:I9"/>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0"/>
    </sheetView>
  </sheetViews>
  <sheetFormatPr defaultColWidth="8.875" defaultRowHeight="15"/>
  <cols>
    <col min="1" max="1" width="1.75" style="7" customWidth="1"/>
    <col min="2" max="2" width="16.5" style="32" customWidth="1"/>
    <col min="3" max="3" width="17.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308</v>
      </c>
      <c r="C2" s="224"/>
      <c r="D2" s="224"/>
      <c r="E2" s="224"/>
      <c r="F2" s="224"/>
      <c r="G2" s="224"/>
      <c r="H2" s="224"/>
      <c r="I2" s="224"/>
    </row>
    <row r="3" spans="1:9" s="3" customFormat="1">
      <c r="A3" s="5"/>
      <c r="B3" s="33"/>
      <c r="C3" s="33"/>
      <c r="D3" s="33"/>
      <c r="E3" s="33"/>
      <c r="F3" s="33"/>
      <c r="G3" s="33"/>
      <c r="H3" s="33"/>
      <c r="I3" s="33"/>
    </row>
    <row r="4" spans="1:9" s="4" customFormat="1">
      <c r="A4" s="7"/>
      <c r="B4" s="171" t="s">
        <v>90</v>
      </c>
      <c r="C4" s="171" t="s">
        <v>104</v>
      </c>
      <c r="D4" s="171" t="s">
        <v>84</v>
      </c>
      <c r="E4" s="171" t="s">
        <v>98</v>
      </c>
      <c r="F4" s="171" t="s">
        <v>99</v>
      </c>
      <c r="G4" s="171" t="s">
        <v>100</v>
      </c>
      <c r="H4" s="171" t="s">
        <v>101</v>
      </c>
      <c r="I4" s="171" t="s">
        <v>102</v>
      </c>
    </row>
    <row r="5" spans="1:9" ht="25.5">
      <c r="B5" s="166" t="str">
        <f>INDEX('Interface List'!$D$7:$D$45,MATCH($C5,'Interface List'!$E$7:$E$45,0))</f>
        <v>IFMDFIX0006</v>
      </c>
      <c r="C5" s="166" t="s">
        <v>308</v>
      </c>
      <c r="D5" s="166"/>
      <c r="E5" s="170" t="s">
        <v>109</v>
      </c>
      <c r="F5" s="166" t="s">
        <v>86</v>
      </c>
      <c r="G5" s="166"/>
      <c r="H5" s="166"/>
      <c r="I5" s="170" t="s">
        <v>382</v>
      </c>
    </row>
    <row r="6" spans="1:9" ht="140.25">
      <c r="B6" s="76" t="str">
        <f>INDEX('Interface List'!$D$7:$D$45,MATCH($C6,'Interface List'!$E$7:$E$45,0))</f>
        <v>IFMDFIX0006</v>
      </c>
      <c r="C6" s="117" t="s">
        <v>308</v>
      </c>
      <c r="D6" s="102">
        <v>30001</v>
      </c>
      <c r="E6" s="38"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76" t="str">
        <f>INDEX('Interface List'!$D$7:$D$45,MATCH($C7,'Interface List'!$E$7:$E$45,0))</f>
        <v>IFMDFIX0006</v>
      </c>
      <c r="C7" s="117" t="s">
        <v>308</v>
      </c>
      <c r="D7" s="143">
        <v>30574</v>
      </c>
      <c r="E7" s="38" t="str">
        <f>VLOOKUP($D7,'Tag(Glossary)'!$B:$G,2,0)</f>
        <v>MarketMakerContractCode</v>
      </c>
      <c r="F7" s="39" t="s">
        <v>85</v>
      </c>
      <c r="G7" s="39" t="str">
        <f>VLOOKUP($D7,'Tag(Glossary)'!$B:$G,4,0)</f>
        <v>String</v>
      </c>
      <c r="H7" s="39">
        <f>VLOOKUP($D7,'Tag(Glossary)'!$B:$G,5,0)</f>
        <v>12</v>
      </c>
      <c r="I7" s="38" t="str">
        <f>VLOOKUP($D7,'Tag(Glossary)'!$B:$H,6,0)&amp;IF(ISBLANK(VLOOKUP($D7,'Tag(Glossary)'!$B:$H,7,0)),"",CHAR(10))&amp;VLOOKUP($D7,'Tag(Glossary)'!$B:$H,7,0)</f>
        <v>Unit of agreement objects for market making
1) Stock/Bond Market: Instrument ISIN code
2) Derivatives Market: Product ID</v>
      </c>
    </row>
    <row r="8" spans="1:9" ht="25.5">
      <c r="B8" s="76" t="str">
        <f>INDEX('Interface List'!$D$7:$D$45,MATCH($C8,'Interface List'!$E$7:$E$45,0))</f>
        <v>IFMDFIX0006</v>
      </c>
      <c r="C8" s="76" t="s">
        <v>308</v>
      </c>
      <c r="D8" s="71">
        <v>20023</v>
      </c>
      <c r="E8" s="37" t="str">
        <f>VLOOKUP($D8,'Tag(Glossary)'!$B:$G,2,0)</f>
        <v>MemberNo</v>
      </c>
      <c r="F8" s="36" t="s">
        <v>85</v>
      </c>
      <c r="G8" s="36" t="str">
        <f>VLOOKUP($D8,'Tag(Glossary)'!$B:$G,4,0)</f>
        <v>String</v>
      </c>
      <c r="H8" s="36">
        <f>VLOOKUP($D8,'Tag(Glossary)'!$B:$G,5,0)</f>
        <v>5</v>
      </c>
      <c r="I8" s="37" t="str">
        <f>VLOOKUP($D8,'Tag(Glossary)'!$B:$H,6,0)&amp;IF(ISBLANK(VLOOKUP($D8,'Tag(Glossary)'!$B:$H,7,0)),"",CHAR(10))&amp;VLOOKUP($D8,'Tag(Glossary)'!$B:$H,7,0)</f>
        <v>ID to identify or distinguish market participants or members with 5-digit numeric characters</v>
      </c>
    </row>
    <row r="9" spans="1:9" ht="25.5">
      <c r="B9" s="76" t="str">
        <f>INDEX('Interface List'!$D$7:$D$45,MATCH($C9,'Interface List'!$E$7:$E$45,0))</f>
        <v>IFMDFIX0006</v>
      </c>
      <c r="C9" s="76" t="s">
        <v>308</v>
      </c>
      <c r="D9" s="71"/>
      <c r="E9" s="75" t="s">
        <v>258</v>
      </c>
      <c r="F9" s="71" t="s">
        <v>85</v>
      </c>
      <c r="G9" s="75"/>
      <c r="H9" s="71"/>
      <c r="I9" s="7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5" orientation="portrait" r:id="rId1"/>
  <headerFooter alignWithMargins="0">
    <oddFooter>&amp;C&amp;10&amp;P/&amp;N&amp; Information Technology Service Agreement&amp;R&amp;G</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2:I12"/>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3"/>
    </sheetView>
  </sheetViews>
  <sheetFormatPr defaultColWidth="8.875" defaultRowHeight="15"/>
  <cols>
    <col min="1" max="1" width="1.75" style="7" customWidth="1"/>
    <col min="2" max="2" width="17.625" style="32" bestFit="1" customWidth="1"/>
    <col min="3" max="3" width="20.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311</v>
      </c>
      <c r="C2" s="224"/>
      <c r="D2" s="224"/>
      <c r="E2" s="224"/>
      <c r="F2" s="224"/>
      <c r="G2" s="224"/>
      <c r="H2" s="224"/>
      <c r="I2" s="224"/>
    </row>
    <row r="3" spans="1:9" s="3" customFormat="1">
      <c r="A3" s="5"/>
      <c r="B3" s="33"/>
      <c r="C3" s="33"/>
      <c r="D3" s="33"/>
      <c r="E3" s="33"/>
      <c r="F3" s="33"/>
      <c r="G3" s="33"/>
      <c r="H3" s="33"/>
      <c r="I3" s="33"/>
    </row>
    <row r="4" spans="1:9" s="4" customFormat="1">
      <c r="A4" s="7"/>
      <c r="B4" s="171" t="s">
        <v>90</v>
      </c>
      <c r="C4" s="171" t="s">
        <v>104</v>
      </c>
      <c r="D4" s="171" t="s">
        <v>84</v>
      </c>
      <c r="E4" s="171" t="s">
        <v>98</v>
      </c>
      <c r="F4" s="171" t="s">
        <v>99</v>
      </c>
      <c r="G4" s="171" t="s">
        <v>100</v>
      </c>
      <c r="H4" s="171" t="s">
        <v>101</v>
      </c>
      <c r="I4" s="171" t="s">
        <v>102</v>
      </c>
    </row>
    <row r="5" spans="1:9">
      <c r="B5" s="166" t="str">
        <f>INDEX('Interface List'!$D$7:$D$45,MATCH($C5,'Interface List'!$E$7:$E$45,0))</f>
        <v>IFMDFIX0007</v>
      </c>
      <c r="C5" s="166" t="s">
        <v>383</v>
      </c>
      <c r="D5" s="166"/>
      <c r="E5" s="170" t="s">
        <v>384</v>
      </c>
      <c r="F5" s="166" t="s">
        <v>385</v>
      </c>
      <c r="G5" s="166"/>
      <c r="H5" s="166"/>
      <c r="I5" s="170" t="s">
        <v>386</v>
      </c>
    </row>
    <row r="6" spans="1:9" ht="140.25">
      <c r="B6" s="76" t="str">
        <f>INDEX('Interface List'!$D$7:$D$45,MATCH($C6,'Interface List'!$E$7:$E$45,0))</f>
        <v>IFMDFIX0007</v>
      </c>
      <c r="C6" s="76" t="s">
        <v>383</v>
      </c>
      <c r="D6" s="102">
        <v>30001</v>
      </c>
      <c r="E6" s="38"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76" t="str">
        <f>INDEX('Interface List'!$D$7:$D$45,MATCH($C7,'Interface List'!$E$7:$E$45,0))</f>
        <v>IFMDFIX0007</v>
      </c>
      <c r="C7" s="76" t="s">
        <v>383</v>
      </c>
      <c r="D7" s="102">
        <v>55</v>
      </c>
      <c r="E7" s="38" t="str">
        <f>VLOOKUP($D7,'Tag(Glossary)'!$B:$G,2,0)</f>
        <v>Symbol</v>
      </c>
      <c r="F7" s="36" t="s">
        <v>85</v>
      </c>
      <c r="G7" s="36" t="str">
        <f>VLOOKUP($D7,'Tag(Glossary)'!$B:$G,4,0)</f>
        <v>String</v>
      </c>
      <c r="H7" s="36">
        <f>VLOOKUP($D7,'Tag(Glossary)'!$B:$G,5,0)</f>
        <v>12</v>
      </c>
      <c r="I7" s="37" t="str">
        <f>VLOOKUP($D7,'Tag(Glossary)'!$B:$H,6,0)&amp;IF(ISBLANK(VLOOKUP($D7,'Tag(Glossary)'!$B:$H,7,0)),"",CHAR(10))&amp;VLOOKUP($D7,'Tag(Glossary)'!$B:$H,7,0)</f>
        <v>The unique code of an issue (a.k.a. instrument or symbol). Generally it is ISIN code but in case of Repo market it is defined as the exchange staffs want</v>
      </c>
    </row>
    <row r="8" spans="1:9" ht="76.5">
      <c r="B8" s="76" t="str">
        <f>INDEX('Interface List'!$D$7:$D$45,MATCH($C8,'Interface List'!$E$7:$E$45,0))</f>
        <v>IFMDFIX0007</v>
      </c>
      <c r="C8" s="76" t="s">
        <v>311</v>
      </c>
      <c r="D8" s="143">
        <v>30575</v>
      </c>
      <c r="E8" s="38" t="str">
        <f>VLOOKUP($D8,'Tag(Glossary)'!$B:$G,2,0)</f>
        <v>EventKindCode</v>
      </c>
      <c r="F8" s="36" t="s">
        <v>85</v>
      </c>
      <c r="G8" s="36" t="str">
        <f>VLOOKUP($D8,'Tag(Glossary)'!$B:$G,4,0)</f>
        <v>String</v>
      </c>
      <c r="H8" s="36">
        <f>VLOOKUP($D8,'Tag(Glossary)'!$B:$G,5,0)</f>
        <v>2</v>
      </c>
      <c r="I8" s="37" t="str">
        <f>VLOOKUP($D8,'Tag(Glossary)'!$B:$H,6,0)&amp;IF(ISBLANK(VLOOKUP($D8,'Tag(Glossary)'!$B:$H,7,0)),"",CHAR(10))&amp;VLOOKUP($D8,'Tag(Glossary)'!$B:$H,7,0)</f>
        <v>Event code for such as trading halt, low liquidation and so forth. Code '91' (Trading Halt for Repo) is only used in Gateway Repo trading system, not the Terminal Repo trading system
01: Trading Halt
04: Liquidation Trading
91: Trading Halt for Repo</v>
      </c>
    </row>
    <row r="9" spans="1:9" ht="25.5">
      <c r="B9" s="76" t="str">
        <f>INDEX('Interface List'!$D$7:$D$45,MATCH($C9,'Interface List'!$E$7:$E$45,0))</f>
        <v>IFMDFIX0007</v>
      </c>
      <c r="C9" s="76" t="s">
        <v>311</v>
      </c>
      <c r="D9" s="77">
        <v>30576</v>
      </c>
      <c r="E9" s="37" t="str">
        <f>VLOOKUP($D9,'Tag(Glossary)'!$B:$G,2,0)</f>
        <v>EventOccurrenceReasonCode</v>
      </c>
      <c r="F9" s="36" t="s">
        <v>85</v>
      </c>
      <c r="G9" s="36" t="str">
        <f>VLOOKUP($D9,'Tag(Glossary)'!$B:$G,4,0)</f>
        <v>String</v>
      </c>
      <c r="H9" s="36">
        <f>VLOOKUP($D9,'Tag(Glossary)'!$B:$G,5,0)</f>
        <v>4</v>
      </c>
      <c r="I9" s="37" t="str">
        <f>VLOOKUP($D9,'Tag(Glossary)'!$B:$H,6,0)&amp;IF(ISBLANK(VLOOKUP($D9,'Tag(Glossary)'!$B:$H,7,0)),"",CHAR(10))&amp;VLOOKUP($D9,'Tag(Glossary)'!$B:$H,7,0)</f>
        <v>Reason for designating a specific event (trading halt, administrative instrument, etc.) to an instrument or a product</v>
      </c>
    </row>
    <row r="10" spans="1:9" ht="25.5">
      <c r="B10" s="76" t="str">
        <f>INDEX('Interface List'!$D$7:$D$45,MATCH($C10,'Interface List'!$E$7:$E$45,0))</f>
        <v>IFMDFIX0007</v>
      </c>
      <c r="C10" s="76" t="s">
        <v>311</v>
      </c>
      <c r="D10" s="77">
        <v>30577</v>
      </c>
      <c r="E10" s="37" t="str">
        <f>VLOOKUP($D10,'Tag(Glossary)'!$B:$G,2,0)</f>
        <v>EventStartDate</v>
      </c>
      <c r="F10" s="36" t="s">
        <v>85</v>
      </c>
      <c r="G10" s="36" t="str">
        <f>VLOOKUP($D10,'Tag(Glossary)'!$B:$G,4,0)</f>
        <v>LocalMktDate</v>
      </c>
      <c r="H10" s="36">
        <f>VLOOKUP($D10,'Tag(Glossary)'!$B:$G,5,0)</f>
        <v>8</v>
      </c>
      <c r="I10" s="37" t="str">
        <f>VLOOKUP($D10,'Tag(Glossary)'!$B:$H,6,0)&amp;IF(ISBLANK(VLOOKUP($D10,'Tag(Glossary)'!$B:$H,7,0)),"",CHAR(10))&amp;VLOOKUP($D10,'Tag(Glossary)'!$B:$H,7,0)</f>
        <v>Starting date of an event</v>
      </c>
    </row>
    <row r="11" spans="1:9" ht="25.5">
      <c r="B11" s="76" t="str">
        <f>INDEX('Interface List'!$D$7:$D$45,MATCH($C11,'Interface List'!$E$7:$E$45,0))</f>
        <v>IFMDFIX0007</v>
      </c>
      <c r="C11" s="76" t="s">
        <v>311</v>
      </c>
      <c r="D11" s="77">
        <v>30578</v>
      </c>
      <c r="E11" s="37" t="str">
        <f>VLOOKUP($D11,'Tag(Glossary)'!$B:$G,2,0)</f>
        <v>EventEndDate</v>
      </c>
      <c r="F11" s="36" t="s">
        <v>85</v>
      </c>
      <c r="G11" s="36" t="str">
        <f>VLOOKUP($D11,'Tag(Glossary)'!$B:$G,4,0)</f>
        <v>LocalMktDate</v>
      </c>
      <c r="H11" s="36">
        <f>VLOOKUP($D11,'Tag(Glossary)'!$B:$G,5,0)</f>
        <v>8</v>
      </c>
      <c r="I11" s="37" t="str">
        <f>VLOOKUP($D11,'Tag(Glossary)'!$B:$H,6,0)&amp;IF(ISBLANK(VLOOKUP($D11,'Tag(Glossary)'!$B:$H,7,0)),"",CHAR(10))&amp;VLOOKUP($D11,'Tag(Glossary)'!$B:$H,7,0)</f>
        <v>Ending date of an event</v>
      </c>
    </row>
    <row r="12" spans="1:9">
      <c r="B12" s="76" t="str">
        <f>INDEX('Interface List'!$D$7:$D$45,MATCH($C12,'Interface List'!$E$7:$E$45,0))</f>
        <v>IFMDFIX0007</v>
      </c>
      <c r="C12" s="76" t="s">
        <v>311</v>
      </c>
      <c r="D12" s="71"/>
      <c r="E12" s="75" t="s">
        <v>258</v>
      </c>
      <c r="F12" s="71" t="s">
        <v>85</v>
      </c>
      <c r="G12" s="75"/>
      <c r="H12" s="71"/>
      <c r="I12" s="7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2:I15"/>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6"/>
    </sheetView>
  </sheetViews>
  <sheetFormatPr defaultColWidth="8.875" defaultRowHeight="15"/>
  <cols>
    <col min="1" max="1" width="1.75" style="7" customWidth="1"/>
    <col min="2" max="2" width="15.125" style="32" bestFit="1" customWidth="1"/>
    <col min="3" max="3" width="20.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387</v>
      </c>
      <c r="C2" s="224"/>
      <c r="D2" s="224"/>
      <c r="E2" s="224"/>
      <c r="F2" s="224"/>
      <c r="G2" s="224"/>
      <c r="H2" s="224"/>
      <c r="I2" s="224"/>
    </row>
    <row r="3" spans="1:9" s="3" customFormat="1">
      <c r="A3" s="5"/>
      <c r="B3" s="33"/>
      <c r="C3" s="33"/>
      <c r="D3" s="33"/>
      <c r="E3" s="33"/>
      <c r="F3" s="33"/>
      <c r="G3" s="33"/>
      <c r="H3" s="33"/>
      <c r="I3" s="33"/>
    </row>
    <row r="4" spans="1:9" s="4" customFormat="1">
      <c r="A4" s="7"/>
      <c r="B4" s="171" t="s">
        <v>388</v>
      </c>
      <c r="C4" s="171" t="s">
        <v>389</v>
      </c>
      <c r="D4" s="171" t="s">
        <v>390</v>
      </c>
      <c r="E4" s="171" t="s">
        <v>391</v>
      </c>
      <c r="F4" s="171" t="s">
        <v>392</v>
      </c>
      <c r="G4" s="171" t="s">
        <v>393</v>
      </c>
      <c r="H4" s="171" t="s">
        <v>394</v>
      </c>
      <c r="I4" s="171" t="s">
        <v>395</v>
      </c>
    </row>
    <row r="5" spans="1:9" ht="25.5">
      <c r="B5" s="166" t="str">
        <f>INDEX('Interface List'!$D$7:$D$45,MATCH($C5,'Interface List'!$E$7:$E$45,0))</f>
        <v>IFMDFIX0008</v>
      </c>
      <c r="C5" s="166" t="s">
        <v>315</v>
      </c>
      <c r="D5" s="166"/>
      <c r="E5" s="170" t="s">
        <v>109</v>
      </c>
      <c r="F5" s="166" t="s">
        <v>86</v>
      </c>
      <c r="G5" s="166"/>
      <c r="H5" s="166"/>
      <c r="I5" s="170" t="s">
        <v>396</v>
      </c>
    </row>
    <row r="6" spans="1:9" ht="140.25">
      <c r="B6" s="76" t="str">
        <f>INDEX('Interface List'!$D$7:$D$45,MATCH($C6,'Interface List'!$E$7:$E$45,0))</f>
        <v>IFMDFIX0008</v>
      </c>
      <c r="C6" s="76" t="s">
        <v>315</v>
      </c>
      <c r="D6" s="71">
        <v>30001</v>
      </c>
      <c r="E6" s="37"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63.75">
      <c r="B7" s="76" t="str">
        <f>INDEX('Interface List'!$D$7:$D$45,MATCH($C7,'Interface List'!$E$7:$E$45,0))</f>
        <v>IFMDFIX0008</v>
      </c>
      <c r="C7" s="76" t="s">
        <v>315</v>
      </c>
      <c r="D7" s="71">
        <v>30569</v>
      </c>
      <c r="E7" s="37" t="str">
        <f>VLOOKUP($D7,'Tag(Glossary)'!$B:$G,2,0)</f>
        <v>MarketIndexClass</v>
      </c>
      <c r="F7" s="36" t="s">
        <v>85</v>
      </c>
      <c r="G7" s="36" t="str">
        <f>VLOOKUP($D7,'Tag(Glossary)'!$B:$G,4,0)</f>
        <v>String</v>
      </c>
      <c r="H7" s="36">
        <f>VLOOKUP($D7,'Tag(Glossary)'!$B:$G,5,0)</f>
        <v>1</v>
      </c>
      <c r="I7" s="37" t="str">
        <f>VLOOKUP($D7,'Tag(Glossary)'!$B:$H,6,0)&amp;IF(ISBLANK(VLOOKUP($D7,'Tag(Glossary)'!$B:$H,7,0)),"",CHAR(10))&amp;VLOOKUP($D7,'Tag(Glossary)'!$B:$H,7,0)</f>
        <v>Market code of an index
1: HoSE
2: HNX
3: Composite (HoSE + HNX)
4. UPX</v>
      </c>
    </row>
    <row r="8" spans="1:9" ht="63.75">
      <c r="B8" s="76" t="str">
        <f>INDEX('Interface List'!$D$7:$D$45,MATCH($C8,'Interface List'!$E$7:$E$45,0))</f>
        <v>IFMDFIX0008</v>
      </c>
      <c r="C8" s="76" t="s">
        <v>315</v>
      </c>
      <c r="D8" s="71">
        <v>30167</v>
      </c>
      <c r="E8" s="37" t="str">
        <f>VLOOKUP($D8,'Tag(Glossary)'!$B:$G,2,0)</f>
        <v>IndexsTypeCode</v>
      </c>
      <c r="F8" s="36" t="s">
        <v>85</v>
      </c>
      <c r="G8" s="36" t="str">
        <f>VLOOKUP($D8,'Tag(Glossary)'!$B:$G,4,0)</f>
        <v>String</v>
      </c>
      <c r="H8" s="36">
        <f>VLOOKUP($D8,'Tag(Glossary)'!$B:$G,5,0)</f>
        <v>8</v>
      </c>
      <c r="I8" s="37" t="str">
        <f>VLOOKUP($D8,'Tag(Glossary)'!$B:$H,6,0)&amp;IF(ISBLANK(VLOOKUP($D8,'Tag(Glossary)'!$B:$H,7,0)),"",CHAR(10))&amp;VLOOKUP($D8,'Tag(Glossary)'!$B:$H,7,0)</f>
        <v>Industry Index Code
for example
001: Composite index
002: VNALLshare index
100: VN30 index</v>
      </c>
    </row>
    <row r="9" spans="1:9" ht="51">
      <c r="B9" s="76" t="str">
        <f>INDEX('Interface List'!$D$7:$D$45,MATCH($C9,'Interface List'!$E$7:$E$45,0))</f>
        <v>IFMDFIX0008</v>
      </c>
      <c r="C9" s="76" t="s">
        <v>315</v>
      </c>
      <c r="D9" s="71">
        <v>15</v>
      </c>
      <c r="E9" s="37" t="str">
        <f>VLOOKUP($D9,'Tag(Glossary)'!$B:$G,2,0)</f>
        <v>Currency</v>
      </c>
      <c r="F9" s="36" t="s">
        <v>85</v>
      </c>
      <c r="G9" s="36" t="str">
        <f>VLOOKUP($D9,'Tag(Glossary)'!$B:$G,4,0)</f>
        <v>String</v>
      </c>
      <c r="H9" s="36">
        <f>VLOOKUP($D9,'Tag(Glossary)'!$B:$G,5,0)</f>
        <v>3</v>
      </c>
      <c r="I9" s="37" t="str">
        <f>VLOOKUP($D9,'Tag(Glossary)'!$B:$H,6,0)&amp;IF(ISBLANK(VLOOKUP($D9,'Tag(Glossary)'!$B:$H,7,0)),"",CHAR(10))&amp;VLOOKUP($D9,'Tag(Glossary)'!$B:$H,7,0)</f>
        <v>Currency code on ISO 4217
VND: Vietnamese Dong
USD: US Dollar
EUR: Euro</v>
      </c>
    </row>
    <row r="10" spans="1:9" ht="25.5">
      <c r="B10" s="76" t="str">
        <f>INDEX('Interface List'!$D$7:$D$45,MATCH($C10,'Interface List'!$E$7:$E$45,0))</f>
        <v>IFMDFIX0008</v>
      </c>
      <c r="C10" s="76" t="s">
        <v>315</v>
      </c>
      <c r="D10" s="102">
        <v>30632</v>
      </c>
      <c r="E10" s="38" t="str">
        <f>VLOOKUP($D10,'Tag(Glossary)'!$B:$G,2,0)</f>
        <v>IdxName</v>
      </c>
      <c r="F10" s="39" t="s">
        <v>85</v>
      </c>
      <c r="G10" s="39" t="str">
        <f>VLOOKUP($D10,'Tag(Glossary)'!$B:$G,4,0)</f>
        <v>String</v>
      </c>
      <c r="H10" s="39">
        <f>VLOOKUP($D10,'Tag(Glossary)'!$B:$G,5,0)</f>
        <v>120</v>
      </c>
      <c r="I10" s="38" t="str">
        <f>VLOOKUP($D10,'Tag(Glossary)'!$B:$H,6,0)&amp;IF(ISBLANK(VLOOKUP($D10,'Tag(Glossary)'!$B:$H,7,0)),"",CHAR(10))&amp;VLOOKUP($D10,'Tag(Glossary)'!$B:$H,7,0)</f>
        <v>Index Name</v>
      </c>
    </row>
    <row r="11" spans="1:9" ht="25.5">
      <c r="B11" s="76" t="str">
        <f>INDEX('Interface List'!$D$7:$D$45,MATCH($C11,'Interface List'!$E$7:$E$45,0))</f>
        <v>IFMDFIX0008</v>
      </c>
      <c r="C11" s="76" t="s">
        <v>315</v>
      </c>
      <c r="D11" s="102">
        <v>30633</v>
      </c>
      <c r="E11" s="38" t="str">
        <f>VLOOKUP($D11,'Tag(Glossary)'!$B:$G,2,0)</f>
        <v>IdxEnglishName</v>
      </c>
      <c r="F11" s="39" t="s">
        <v>85</v>
      </c>
      <c r="G11" s="39" t="str">
        <f>VLOOKUP($D11,'Tag(Glossary)'!$B:$G,4,0)</f>
        <v>String</v>
      </c>
      <c r="H11" s="39">
        <f>VLOOKUP($D11,'Tag(Glossary)'!$B:$G,5,0)</f>
        <v>80</v>
      </c>
      <c r="I11" s="38" t="str">
        <f>VLOOKUP($D11,'Tag(Glossary)'!$B:$H,6,0)&amp;IF(ISBLANK(VLOOKUP($D11,'Tag(Glossary)'!$B:$H,7,0)),"",CHAR(10))&amp;VLOOKUP($D11,'Tag(Glossary)'!$B:$H,7,0)</f>
        <v>Index English Name</v>
      </c>
    </row>
    <row r="12" spans="1:9" ht="51">
      <c r="B12" s="76" t="str">
        <f>INDEX('Interface List'!$D$7:$D$45,MATCH($C12,'Interface List'!$E$7:$E$45,0))</f>
        <v>IFMDFIX0008</v>
      </c>
      <c r="C12" s="76" t="s">
        <v>315</v>
      </c>
      <c r="D12" s="71">
        <v>30606</v>
      </c>
      <c r="E12" s="37" t="str">
        <f>VLOOKUP($D12,'Tag(Glossary)'!$B:$G,2,0)</f>
        <v>TotalMsgNo</v>
      </c>
      <c r="F12" s="36" t="s">
        <v>85</v>
      </c>
      <c r="G12" s="36" t="str">
        <f>VLOOKUP($D12,'Tag(Glossary)'!$B:$G,4,0)</f>
        <v>Int</v>
      </c>
      <c r="H12" s="36">
        <f>VLOOKUP($D12,'Tag(Glossary)'!$B:$G,5,0)</f>
        <v>16</v>
      </c>
      <c r="I12" s="37" t="str">
        <f>VLOOKUP($D12,'Tag(Glossary)'!$B:$H,6,0)&amp;IF(ISBLANK(VLOOKUP($D12,'Tag(Glossary)'!$B:$H,7,0)),"",CHAR(10))&amp;VLOOKUP($D12,'Tag(Glossary)'!$B:$H,7,0)</f>
        <v>1. Disclosure : Total message number of messages for a discosure when the length of text is over the size
2. Index Constituents Information : Total number of contituents for an index</v>
      </c>
    </row>
    <row r="13" spans="1:9" ht="51">
      <c r="B13" s="76" t="str">
        <f>INDEX('Interface List'!$D$7:$D$45,MATCH($C13,'Interface List'!$E$7:$E$45,0))</f>
        <v>IFMDFIX0008</v>
      </c>
      <c r="C13" s="76" t="s">
        <v>315</v>
      </c>
      <c r="D13" s="71">
        <v>30607</v>
      </c>
      <c r="E13" s="37" t="str">
        <f>VLOOKUP($D13,'Tag(Glossary)'!$B:$G,2,0)</f>
        <v>CurrentMsgNo</v>
      </c>
      <c r="F13" s="36" t="s">
        <v>85</v>
      </c>
      <c r="G13" s="36" t="str">
        <f>VLOOKUP($D13,'Tag(Glossary)'!$B:$G,4,0)</f>
        <v>Int</v>
      </c>
      <c r="H13" s="36">
        <f>VLOOKUP($D13,'Tag(Glossary)'!$B:$G,5,0)</f>
        <v>16</v>
      </c>
      <c r="I13" s="37" t="str">
        <f>VLOOKUP($D13,'Tag(Glossary)'!$B:$H,6,0)&amp;IF(ISBLANK(VLOOKUP($D13,'Tag(Glossary)'!$B:$H,7,0)),"",CHAR(10))&amp;VLOOKUP($D13,'Tag(Glossary)'!$B:$H,7,0)</f>
        <v>1. Disclosure : Current message number of messages for a disclosure when the length of text is over the size
2. Index Constituents Information : Current sequence number of contituents for an index</v>
      </c>
    </row>
    <row r="14" spans="1:9" ht="38.25">
      <c r="B14" s="76" t="str">
        <f>INDEX('Interface List'!$D$7:$D$45,MATCH($C14,'Interface List'!$E$7:$E$45,0))</f>
        <v>IFMDFIX0008</v>
      </c>
      <c r="C14" s="76" t="s">
        <v>387</v>
      </c>
      <c r="D14" s="102">
        <v>55</v>
      </c>
      <c r="E14" s="37" t="str">
        <f>VLOOKUP($D14,'Tag(Glossary)'!$B:$G,2,0)</f>
        <v>Symbol</v>
      </c>
      <c r="F14" s="36" t="s">
        <v>85</v>
      </c>
      <c r="G14" s="36" t="str">
        <f>VLOOKUP($D14,'Tag(Glossary)'!$B:$G,4,0)</f>
        <v>String</v>
      </c>
      <c r="H14" s="36">
        <f>VLOOKUP($D14,'Tag(Glossary)'!$B:$G,5,0)</f>
        <v>12</v>
      </c>
      <c r="I14" s="37" t="str">
        <f>VLOOKUP($D14,'Tag(Glossary)'!$B:$H,6,0)&amp;IF(ISBLANK(VLOOKUP($D14,'Tag(Glossary)'!$B:$H,7,0)),"",CHAR(10))&amp;VLOOKUP($D14,'Tag(Glossary)'!$B:$H,7,0)</f>
        <v>The unique code of an issue (a.k.a. instrument or symbol). Generally it is ISIN code but in case of Repo market it is defined as the exchange staffs want</v>
      </c>
    </row>
    <row r="15" spans="1:9" ht="25.5">
      <c r="B15" s="76" t="str">
        <f>INDEX('Interface List'!$D$7:$D$45,MATCH($C15,'Interface List'!$E$7:$E$45,0))</f>
        <v>IFMDFIX0008</v>
      </c>
      <c r="C15" s="76" t="s">
        <v>315</v>
      </c>
      <c r="D15" s="71"/>
      <c r="E15" s="75" t="s">
        <v>258</v>
      </c>
      <c r="F15" s="71" t="s">
        <v>85</v>
      </c>
      <c r="G15" s="75"/>
      <c r="H15" s="71"/>
      <c r="I15" s="7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2:I19"/>
  <sheetViews>
    <sheetView view="pageBreakPreview" zoomScaleNormal="75" zoomScaleSheetLayoutView="100" workbookViewId="0">
      <pane xSplit="9" ySplit="4" topLeftCell="J14" activePane="bottomRight" state="frozen"/>
      <selection sqref="A1:XFD1048576"/>
      <selection pane="topRight" sqref="A1:XFD1048576"/>
      <selection pane="bottomLeft" sqref="A1:XFD1048576"/>
      <selection pane="bottomRight" activeCell="B1" sqref="B1:I20"/>
    </sheetView>
  </sheetViews>
  <sheetFormatPr defaultColWidth="8.875" defaultRowHeight="15"/>
  <cols>
    <col min="1" max="1" width="1.75" style="7" customWidth="1"/>
    <col min="2" max="2" width="15.125" style="32" bestFit="1" customWidth="1"/>
    <col min="3" max="3" width="20.25" style="32" customWidth="1"/>
    <col min="4" max="4" width="5.75" style="32" customWidth="1"/>
    <col min="5" max="5" width="2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568</v>
      </c>
      <c r="C2" s="224"/>
      <c r="D2" s="224"/>
      <c r="E2" s="224"/>
      <c r="F2" s="224"/>
      <c r="G2" s="224"/>
      <c r="H2" s="224"/>
      <c r="I2" s="224"/>
    </row>
    <row r="3" spans="1:9" s="3" customFormat="1">
      <c r="A3" s="5"/>
      <c r="B3" s="33"/>
      <c r="C3" s="33"/>
      <c r="D3" s="33"/>
      <c r="E3" s="33"/>
      <c r="F3" s="33"/>
      <c r="G3" s="33"/>
      <c r="H3" s="33"/>
      <c r="I3" s="33"/>
    </row>
    <row r="4" spans="1:9" s="4" customFormat="1">
      <c r="A4" s="7"/>
      <c r="B4" s="171" t="s">
        <v>90</v>
      </c>
      <c r="C4" s="171" t="s">
        <v>104</v>
      </c>
      <c r="D4" s="171" t="s">
        <v>84</v>
      </c>
      <c r="E4" s="171" t="s">
        <v>98</v>
      </c>
      <c r="F4" s="171" t="s">
        <v>99</v>
      </c>
      <c r="G4" s="171" t="s">
        <v>100</v>
      </c>
      <c r="H4" s="171" t="s">
        <v>101</v>
      </c>
      <c r="I4" s="171" t="s">
        <v>102</v>
      </c>
    </row>
    <row r="5" spans="1:9">
      <c r="B5" s="166" t="str">
        <f>INDEX('Interface List'!$D$7:$D$45,MATCH($C5,'Interface List'!$E$7:$E$45,0))</f>
        <v>IFMDFIX0023</v>
      </c>
      <c r="C5" s="166" t="s">
        <v>569</v>
      </c>
      <c r="D5" s="166"/>
      <c r="E5" s="170" t="s">
        <v>109</v>
      </c>
      <c r="F5" s="166" t="s">
        <v>86</v>
      </c>
      <c r="G5" s="166"/>
      <c r="H5" s="166"/>
      <c r="I5" s="170" t="s">
        <v>617</v>
      </c>
    </row>
    <row r="6" spans="1:9" ht="140.25">
      <c r="B6" s="76" t="str">
        <f>INDEX('Interface List'!$D$7:$D$45,MATCH($C6,'Interface List'!$E$7:$E$45,0))</f>
        <v>IFMDFIX0023</v>
      </c>
      <c r="C6" s="76" t="s">
        <v>569</v>
      </c>
      <c r="D6" s="71">
        <v>30001</v>
      </c>
      <c r="E6" s="37" t="str">
        <f>VLOOKUP($D6,'Tag(Glossary)'!$B:$G,2,0)</f>
        <v>MarketID</v>
      </c>
      <c r="F6" s="36" t="s">
        <v>85</v>
      </c>
      <c r="G6" s="36" t="str">
        <f>VLOOKUP($D6,'Tag(Glossary)'!$B:$G,4,0)</f>
        <v>String</v>
      </c>
      <c r="H6" s="36">
        <f>VLOOKUP($D6,'Tag(Glossary)'!$B:$G,5,0)</f>
        <v>3</v>
      </c>
      <c r="I6" s="37"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76" t="str">
        <f>INDEX('Interface List'!$D$7:$D$45,MATCH($C7,'Interface List'!$E$7:$E$45,0))</f>
        <v>IFMDFIX0023</v>
      </c>
      <c r="C7" s="76" t="s">
        <v>569</v>
      </c>
      <c r="D7" s="71">
        <v>20004</v>
      </c>
      <c r="E7" s="37" t="str">
        <f>VLOOKUP($D7,'Tag(Glossary)'!$B:$G,2,0)</f>
        <v>BoardID</v>
      </c>
      <c r="F7" s="36" t="s">
        <v>85</v>
      </c>
      <c r="G7" s="36" t="str">
        <f>VLOOKUP($D7,'Tag(Glossary)'!$B:$G,4,0)</f>
        <v>String</v>
      </c>
      <c r="H7" s="36">
        <f>VLOOKUP($D7,'Tag(Glossary)'!$B:$G,5,0)</f>
        <v>2</v>
      </c>
      <c r="I7" s="37"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76" t="str">
        <f>INDEX('Interface List'!$D$7:$D$45,MATCH($C8,'Interface List'!$E$7:$E$45,0))</f>
        <v>IFMDFIX0023</v>
      </c>
      <c r="C8" s="76" t="s">
        <v>569</v>
      </c>
      <c r="D8" s="102">
        <v>55</v>
      </c>
      <c r="E8" s="37" t="str">
        <f>VLOOKUP($D8,'Tag(Glossary)'!$B:$G,2,0)</f>
        <v>Symbol</v>
      </c>
      <c r="F8" s="36" t="s">
        <v>85</v>
      </c>
      <c r="G8" s="36" t="str">
        <f>VLOOKUP($D8,'Tag(Glossary)'!$B:$G,4,0)</f>
        <v>String</v>
      </c>
      <c r="H8" s="36">
        <f>VLOOKUP($D8,'Tag(Glossary)'!$B:$G,5,0)</f>
        <v>12</v>
      </c>
      <c r="I8" s="37" t="str">
        <f>VLOOKUP($D8,'Tag(Glossary)'!$B:$H,6,0)&amp;IF(ISBLANK(VLOOKUP($D8,'Tag(Glossary)'!$B:$H,7,0)),"",CHAR(10))&amp;VLOOKUP($D8,'Tag(Glossary)'!$B:$H,7,0)</f>
        <v>The unique code of an issue (a.k.a. instrument or symbol). Generally it is ISIN code but in case of Repo market it is defined as the exchange staffs want</v>
      </c>
    </row>
    <row r="9" spans="1:9" ht="25.5">
      <c r="B9" s="76" t="str">
        <f>INDEX('Interface List'!$D$7:$D$45,MATCH($C9,'Interface List'!$E$7:$E$45,0))</f>
        <v>IFMDFIX0023</v>
      </c>
      <c r="C9" s="76" t="s">
        <v>569</v>
      </c>
      <c r="D9" s="71">
        <v>60</v>
      </c>
      <c r="E9" s="37" t="str">
        <f>VLOOKUP($D9,'Tag(Glossary)'!$B:$G,2,0)</f>
        <v>TransactTime</v>
      </c>
      <c r="F9" s="36" t="s">
        <v>85</v>
      </c>
      <c r="G9" s="36" t="str">
        <f>VLOOKUP($D9,'Tag(Glossary)'!$B:$G,4,0)</f>
        <v>UTCTime</v>
      </c>
      <c r="H9" s="36">
        <f>VLOOKUP($D9,'Tag(Glossary)'!$B:$G,5,0)</f>
        <v>9</v>
      </c>
      <c r="I9" s="37" t="str">
        <f>VLOOKUP($D9,'Tag(Glossary)'!$B:$H,6,0)&amp;IF(ISBLANK(VLOOKUP($D9,'Tag(Glossary)'!$B:$H,7,0)),"",CHAR(10))&amp;VLOOKUP($D9,'Tag(Glossary)'!$B:$H,7,0)</f>
        <v>Time of execution/order creation
HHmmSSsss : Normal Case</v>
      </c>
    </row>
    <row r="10" spans="1:9" ht="89.25">
      <c r="B10" s="76" t="str">
        <f>INDEX('Interface List'!$D$7:$D$45,MATCH($C10,'Interface List'!$E$7:$E$45,0))</f>
        <v>IFMDFIX0023</v>
      </c>
      <c r="C10" s="76" t="s">
        <v>569</v>
      </c>
      <c r="D10" s="113">
        <v>30615</v>
      </c>
      <c r="E10" s="37" t="str">
        <f>VLOOKUP($D10,'Tag(Glossary)'!$B:$G,2,0)</f>
        <v>RandomEndApplyClassification</v>
      </c>
      <c r="F10" s="36" t="s">
        <v>85</v>
      </c>
      <c r="G10" s="36" t="str">
        <f>VLOOKUP($D10,'Tag(Glossary)'!$B:$G,4,0)</f>
        <v>String</v>
      </c>
      <c r="H10" s="36">
        <f>VLOOKUP($D10,'Tag(Glossary)'!$B:$G,5,0)</f>
        <v>1</v>
      </c>
      <c r="I10" s="37" t="str">
        <f>VLOOKUP($D10,'Tag(Glossary)'!$B:$H,6,0)&amp;IF(ISBLANK(VLOOKUP($D10,'Tag(Glossary)'!$B:$H,7,0)),"",CHAR(10))&amp;VLOOKUP($D10,'Tag(Glossary)'!$B:$H,7,0)</f>
        <v>Value of type code for applying or releasing random end
1: Opening call auction session RE set 
2: Opening call auction session RE release 
3: Closing single price auction session RE set 
4: Closing single price auction session RE release
5: Post-market off-hour RE set
6: Post-market off-hour RE release</v>
      </c>
    </row>
    <row r="11" spans="1:9" ht="25.5">
      <c r="B11" s="76" t="str">
        <f>INDEX('Interface List'!$D$7:$D$45,MATCH($C11,'Interface List'!$E$7:$E$45,0))</f>
        <v>IFMDFIX0023</v>
      </c>
      <c r="C11" s="76" t="s">
        <v>569</v>
      </c>
      <c r="D11" s="113">
        <v>30616</v>
      </c>
      <c r="E11" s="37" t="str">
        <f>VLOOKUP($D11,'Tag(Glossary)'!$B:$G,2,0)</f>
        <v>RandomEndTentativeExecutionPrice</v>
      </c>
      <c r="F11" s="36" t="s">
        <v>85</v>
      </c>
      <c r="G11" s="36" t="str">
        <f>VLOOKUP($D11,'Tag(Glossary)'!$B:$G,4,0)</f>
        <v>Price</v>
      </c>
      <c r="H11" s="36" t="str">
        <f>VLOOKUP($D11,'Tag(Glossary)'!$B:$G,5,0)</f>
        <v>15(9.4)</v>
      </c>
      <c r="I11" s="37" t="str">
        <f>VLOOKUP($D11,'Tag(Glossary)'!$B:$H,6,0)&amp;IF(ISBLANK(VLOOKUP($D11,'Tag(Glossary)'!$B:$H,7,0)),"",CHAR(10))&amp;VLOOKUP($D11,'Tag(Glossary)'!$B:$H,7,0)</f>
        <v>Tentative price of the execution in the call auction when the random end is applied</v>
      </c>
    </row>
    <row r="12" spans="1:9" ht="25.5">
      <c r="B12" s="76" t="str">
        <f>INDEX('Interface List'!$D$7:$D$45,MATCH($C12,'Interface List'!$E$7:$E$45,0))</f>
        <v>IFMDFIX0023</v>
      </c>
      <c r="C12" s="76" t="s">
        <v>569</v>
      </c>
      <c r="D12" s="113">
        <v>30617</v>
      </c>
      <c r="E12" s="37" t="str">
        <f>VLOOKUP($D12,'Tag(Glossary)'!$B:$G,2,0)</f>
        <v>RandomEndEstimatedHighestPrice</v>
      </c>
      <c r="F12" s="36" t="s">
        <v>85</v>
      </c>
      <c r="G12" s="36" t="str">
        <f>VLOOKUP($D12,'Tag(Glossary)'!$B:$G,4,0)</f>
        <v>Price</v>
      </c>
      <c r="H12" s="36" t="str">
        <f>VLOOKUP($D12,'Tag(Glossary)'!$B:$G,5,0)</f>
        <v>15(9.4)</v>
      </c>
      <c r="I12" s="37" t="str">
        <f>VLOOKUP($D12,'Tag(Glossary)'!$B:$H,6,0)&amp;IF(ISBLANK(VLOOKUP($D12,'Tag(Glossary)'!$B:$H,7,0)),"",CHAR(10))&amp;VLOOKUP($D12,'Tag(Glossary)'!$B:$H,7,0)</f>
        <v>Estimated highest price in the call auction when the random end is applied</v>
      </c>
    </row>
    <row r="13" spans="1:9" ht="25.5">
      <c r="B13" s="76" t="str">
        <f>INDEX('Interface List'!$D$7:$D$45,MATCH($C13,'Interface List'!$E$7:$E$45,0))</f>
        <v>IFMDFIX0023</v>
      </c>
      <c r="C13" s="76" t="s">
        <v>569</v>
      </c>
      <c r="D13" s="113">
        <v>30618</v>
      </c>
      <c r="E13" s="37" t="str">
        <f>VLOOKUP($D13,'Tag(Glossary)'!$B:$G,2,0)</f>
        <v>RandomEndEstimatedHighestPriceDisparateRatio</v>
      </c>
      <c r="F13" s="36" t="s">
        <v>85</v>
      </c>
      <c r="G13" s="36" t="str">
        <f>VLOOKUP($D13,'Tag(Glossary)'!$B:$G,4,0)</f>
        <v>Float</v>
      </c>
      <c r="H13" s="36" t="str">
        <f>VLOOKUP($D13,'Tag(Glossary)'!$B:$G,5,0)</f>
        <v>13(5.6)</v>
      </c>
      <c r="I13" s="37" t="str">
        <f>VLOOKUP($D13,'Tag(Glossary)'!$B:$H,6,0)&amp;IF(ISBLANK(VLOOKUP($D13,'Tag(Glossary)'!$B:$H,7,0)),"",CHAR(10))&amp;VLOOKUP($D13,'Tag(Glossary)'!$B:$H,7,0)</f>
        <v>Disparate ration between estimated the highest price and tentative price in a call auction</v>
      </c>
    </row>
    <row r="14" spans="1:9" ht="25.5">
      <c r="B14" s="76" t="str">
        <f>INDEX('Interface List'!$D$7:$D$45,MATCH($C14,'Interface List'!$E$7:$E$45,0))</f>
        <v>IFMDFIX0023</v>
      </c>
      <c r="C14" s="76" t="s">
        <v>569</v>
      </c>
      <c r="D14" s="113">
        <v>30619</v>
      </c>
      <c r="E14" s="37" t="str">
        <f>VLOOKUP($D14,'Tag(Glossary)'!$B:$G,2,0)</f>
        <v>RandomEndEstimatedLowestPrice</v>
      </c>
      <c r="F14" s="36" t="s">
        <v>85</v>
      </c>
      <c r="G14" s="36" t="str">
        <f>VLOOKUP($D14,'Tag(Glossary)'!$B:$G,4,0)</f>
        <v>Price</v>
      </c>
      <c r="H14" s="36" t="str">
        <f>VLOOKUP($D14,'Tag(Glossary)'!$B:$G,5,0)</f>
        <v>15(9.4)</v>
      </c>
      <c r="I14" s="37" t="str">
        <f>VLOOKUP($D14,'Tag(Glossary)'!$B:$H,6,0)&amp;IF(ISBLANK(VLOOKUP($D14,'Tag(Glossary)'!$B:$H,7,0)),"",CHAR(10))&amp;VLOOKUP($D14,'Tag(Glossary)'!$B:$H,7,0)</f>
        <v>Estimated lowest price in the call auction when the random end is applied</v>
      </c>
    </row>
    <row r="15" spans="1:9" ht="25.5">
      <c r="B15" s="76" t="str">
        <f>INDEX('Interface List'!$D$7:$D$45,MATCH($C15,'Interface List'!$E$7:$E$45,0))</f>
        <v>IFMDFIX0023</v>
      </c>
      <c r="C15" s="76" t="s">
        <v>569</v>
      </c>
      <c r="D15" s="113">
        <v>30620</v>
      </c>
      <c r="E15" s="37" t="str">
        <f>VLOOKUP($D15,'Tag(Glossary)'!$B:$G,2,0)</f>
        <v>RandomEndEstimatedLowestPriceDisparateRatio</v>
      </c>
      <c r="F15" s="36" t="s">
        <v>85</v>
      </c>
      <c r="G15" s="36" t="str">
        <f>VLOOKUP($D15,'Tag(Glossary)'!$B:$G,4,0)</f>
        <v>Float</v>
      </c>
      <c r="H15" s="36" t="str">
        <f>VLOOKUP($D15,'Tag(Glossary)'!$B:$G,5,0)</f>
        <v>13(5.6)</v>
      </c>
      <c r="I15" s="37" t="str">
        <f>VLOOKUP($D15,'Tag(Glossary)'!$B:$H,6,0)&amp;IF(ISBLANK(VLOOKUP($D15,'Tag(Glossary)'!$B:$H,7,0)),"",CHAR(10))&amp;VLOOKUP($D15,'Tag(Glossary)'!$B:$H,7,0)</f>
        <v>Disparate ration between estimated the lowest price and tentative price in a call auction</v>
      </c>
    </row>
    <row r="16" spans="1:9">
      <c r="B16" s="76" t="str">
        <f>INDEX('Interface List'!$D$7:$D$45,MATCH($C16,'Interface List'!$E$7:$E$45,0))</f>
        <v>IFMDFIX0023</v>
      </c>
      <c r="C16" s="76" t="s">
        <v>569</v>
      </c>
      <c r="D16" s="113">
        <v>30621</v>
      </c>
      <c r="E16" s="37" t="str">
        <f>VLOOKUP($D16,'Tag(Glossary)'!$B:$G,2,0)</f>
        <v>LatestPrice</v>
      </c>
      <c r="F16" s="36" t="s">
        <v>85</v>
      </c>
      <c r="G16" s="36" t="str">
        <f>VLOOKUP($D16,'Tag(Glossary)'!$B:$G,4,0)</f>
        <v>Price</v>
      </c>
      <c r="H16" s="36" t="str">
        <f>VLOOKUP($D16,'Tag(Glossary)'!$B:$G,5,0)</f>
        <v>15(9.4)</v>
      </c>
      <c r="I16" s="37" t="str">
        <f>VLOOKUP($D16,'Tag(Glossary)'!$B:$H,6,0)&amp;IF(ISBLANK(VLOOKUP($D16,'Tag(Glossary)'!$B:$H,7,0)),"",CHAR(10))&amp;VLOOKUP($D16,'Tag(Glossary)'!$B:$H,7,0)</f>
        <v>Price of the latest execution before the call auction</v>
      </c>
    </row>
    <row r="17" spans="2:9" ht="25.5">
      <c r="B17" s="76" t="str">
        <f>INDEX('Interface List'!$D$7:$D$45,MATCH($C17,'Interface List'!$E$7:$E$45,0))</f>
        <v>IFMDFIX0023</v>
      </c>
      <c r="C17" s="76" t="s">
        <v>569</v>
      </c>
      <c r="D17" s="113">
        <v>30622</v>
      </c>
      <c r="E17" s="37" t="str">
        <f>VLOOKUP($D17,'Tag(Glossary)'!$B:$G,2,0)</f>
        <v>LatestPriceDisparateRatio</v>
      </c>
      <c r="F17" s="36" t="s">
        <v>85</v>
      </c>
      <c r="G17" s="36" t="str">
        <f>VLOOKUP($D17,'Tag(Glossary)'!$B:$G,4,0)</f>
        <v>Float</v>
      </c>
      <c r="H17" s="36" t="str">
        <f>VLOOKUP($D17,'Tag(Glossary)'!$B:$G,5,0)</f>
        <v>13(5.6)</v>
      </c>
      <c r="I17" s="37" t="str">
        <f>VLOOKUP($D17,'Tag(Glossary)'!$B:$H,6,0)&amp;IF(ISBLANK(VLOOKUP($D17,'Tag(Glossary)'!$B:$H,7,0)),"",CHAR(10))&amp;VLOOKUP($D17,'Tag(Glossary)'!$B:$H,7,0)</f>
        <v>Disparate ration between the latest execution price and tentative price in a call auction</v>
      </c>
    </row>
    <row r="18" spans="2:9" ht="25.5">
      <c r="B18" s="76" t="str">
        <f>INDEX('Interface List'!$D$7:$D$45,MATCH($C18,'Interface List'!$E$7:$E$45,0))</f>
        <v>IFMDFIX0023</v>
      </c>
      <c r="C18" s="76" t="s">
        <v>569</v>
      </c>
      <c r="D18" s="113">
        <v>30623</v>
      </c>
      <c r="E18" s="37" t="str">
        <f>VLOOKUP($D18,'Tag(Glossary)'!$B:$G,2,0)</f>
        <v>RandomEndReleaseTime</v>
      </c>
      <c r="F18" s="39" t="s">
        <v>917</v>
      </c>
      <c r="G18" s="36" t="str">
        <f>VLOOKUP($D18,'Tag(Glossary)'!$B:$G,4,0)</f>
        <v>String</v>
      </c>
      <c r="H18" s="36">
        <f>VLOOKUP($D18,'Tag(Glossary)'!$B:$G,5,0)</f>
        <v>9</v>
      </c>
      <c r="I18" s="37" t="str">
        <f>VLOOKUP($D18,'Tag(Glossary)'!$B:$H,6,0)&amp;IF(ISBLANK(VLOOKUP($D18,'Tag(Glossary)'!$B:$H,7,0)),"",CHAR(10))&amp;VLOOKUP($D18,'Tag(Glossary)'!$B:$H,7,0)</f>
        <v>Time of releasing the random end
HHmmSSsss</v>
      </c>
    </row>
    <row r="19" spans="2:9">
      <c r="B19" s="76" t="str">
        <f>INDEX('Interface List'!$D$7:$D$45,MATCH($C19,'Interface List'!$E$7:$E$45,0))</f>
        <v>IFMDFIX0023</v>
      </c>
      <c r="C19" s="76" t="s">
        <v>569</v>
      </c>
      <c r="D19" s="71"/>
      <c r="E19" s="75" t="s">
        <v>258</v>
      </c>
      <c r="F19" s="71" t="s">
        <v>85</v>
      </c>
      <c r="G19" s="75"/>
      <c r="H19" s="71"/>
      <c r="I19" s="7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I30"/>
  <sheetViews>
    <sheetView view="pageBreakPreview" zoomScaleSheetLayoutView="100" workbookViewId="0">
      <pane xSplit="9" ySplit="4" topLeftCell="J17" activePane="bottomRight" state="frozen"/>
      <selection pane="topRight" activeCell="J1" sqref="J1"/>
      <selection pane="bottomLeft" activeCell="A5" sqref="A5"/>
      <selection pane="bottomRight" activeCell="B1" sqref="B1:I30"/>
    </sheetView>
  </sheetViews>
  <sheetFormatPr defaultRowHeight="13.5"/>
  <cols>
    <col min="1" max="1" width="1.75" customWidth="1"/>
    <col min="2" max="2" width="15.125" bestFit="1" customWidth="1"/>
    <col min="3" max="3" width="12.125" bestFit="1" customWidth="1"/>
    <col min="4" max="4" width="5.75" customWidth="1"/>
    <col min="5" max="5" width="20.625" customWidth="1"/>
    <col min="6" max="6" width="5.375" bestFit="1" customWidth="1"/>
    <col min="7" max="7" width="7.75" bestFit="1" customWidth="1"/>
    <col min="8" max="8" width="6.125" bestFit="1" customWidth="1"/>
    <col min="9" max="9" width="51.625" customWidth="1"/>
  </cols>
  <sheetData>
    <row r="1" spans="1:9" ht="15">
      <c r="A1" s="7"/>
      <c r="B1" s="32"/>
      <c r="C1" s="32"/>
      <c r="D1" s="32"/>
      <c r="E1" s="7"/>
      <c r="F1" s="32"/>
      <c r="G1" s="35"/>
      <c r="H1" s="32"/>
      <c r="I1" s="35"/>
    </row>
    <row r="2" spans="1:9" ht="18.75">
      <c r="A2" s="7"/>
      <c r="B2" s="224" t="s">
        <v>318</v>
      </c>
      <c r="C2" s="224"/>
      <c r="D2" s="224"/>
      <c r="E2" s="224"/>
      <c r="F2" s="224"/>
      <c r="G2" s="224"/>
      <c r="H2" s="224"/>
      <c r="I2" s="224"/>
    </row>
    <row r="3" spans="1:9" ht="15">
      <c r="A3" s="5"/>
      <c r="B3" s="33"/>
      <c r="C3" s="33"/>
      <c r="D3" s="33"/>
      <c r="E3" s="33"/>
      <c r="F3" s="33"/>
      <c r="G3" s="33"/>
      <c r="H3" s="33"/>
      <c r="I3" s="33"/>
    </row>
    <row r="4" spans="1:9" ht="15">
      <c r="A4" s="7"/>
      <c r="B4" s="171" t="s">
        <v>90</v>
      </c>
      <c r="C4" s="171" t="s">
        <v>104</v>
      </c>
      <c r="D4" s="171" t="s">
        <v>84</v>
      </c>
      <c r="E4" s="171" t="s">
        <v>98</v>
      </c>
      <c r="F4" s="171" t="s">
        <v>99</v>
      </c>
      <c r="G4" s="171" t="s">
        <v>100</v>
      </c>
      <c r="H4" s="171" t="s">
        <v>101</v>
      </c>
      <c r="I4" s="171" t="s">
        <v>102</v>
      </c>
    </row>
    <row r="5" spans="1:9" ht="15">
      <c r="A5" s="7"/>
      <c r="B5" s="166" t="str">
        <f>INDEX('Interface List'!$D$7:$D$45,MATCH($C5,'Interface List'!$E$7:$E$45,0))</f>
        <v>IFMDFIX0009</v>
      </c>
      <c r="C5" s="166" t="s">
        <v>318</v>
      </c>
      <c r="D5" s="166"/>
      <c r="E5" s="170" t="s">
        <v>109</v>
      </c>
      <c r="F5" s="166" t="s">
        <v>86</v>
      </c>
      <c r="G5" s="166"/>
      <c r="H5" s="166"/>
      <c r="I5" s="170" t="s">
        <v>397</v>
      </c>
    </row>
    <row r="6" spans="1:9" ht="140.25">
      <c r="A6" s="7"/>
      <c r="B6" s="117" t="str">
        <f>INDEX('Interface List'!$D$7:$D$45,MATCH($C6,'Interface List'!$E$7:$E$45,0))</f>
        <v>IFMDFIX0009</v>
      </c>
      <c r="C6" s="117" t="s">
        <v>318</v>
      </c>
      <c r="D6" s="102">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A7" s="7"/>
      <c r="B7" s="117" t="str">
        <f>INDEX('Interface List'!$D$7:$D$45,MATCH($C7,'Interface List'!$E$7:$E$45,0))</f>
        <v>IFMDFIX0009</v>
      </c>
      <c r="C7" s="117" t="s">
        <v>318</v>
      </c>
      <c r="D7" s="102">
        <v>20004</v>
      </c>
      <c r="E7" s="38" t="str">
        <f>VLOOKUP($D7,'Tag(Glossary)'!$B:$G,2,0)</f>
        <v>BoardID</v>
      </c>
      <c r="F7" s="39" t="s">
        <v>85</v>
      </c>
      <c r="G7" s="39" t="str">
        <f>VLOOKUP($D7,'Tag(Glossary)'!$B:$G,4,0)</f>
        <v>String</v>
      </c>
      <c r="H7" s="39">
        <f>VLOOKUP($D7,'Tag(Glossary)'!$B:$G,5,0)</f>
        <v>2</v>
      </c>
      <c r="I7" s="3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A8" s="7"/>
      <c r="B8" s="117" t="str">
        <f>INDEX('Interface List'!$D$7:$D$45,MATCH($C8,'Interface List'!$E$7:$E$45,0))</f>
        <v>IFMDFIX0009</v>
      </c>
      <c r="C8" s="117" t="s">
        <v>318</v>
      </c>
      <c r="D8" s="102">
        <v>336</v>
      </c>
      <c r="E8" s="38" t="str">
        <f>VLOOKUP($D8,'Tag(Glossary)'!$B:$G,2,0)</f>
        <v>TradingSessionID</v>
      </c>
      <c r="F8" s="39" t="s">
        <v>85</v>
      </c>
      <c r="G8" s="39" t="str">
        <f>VLOOKUP($D8,'Tag(Glossary)'!$B:$G,4,0)</f>
        <v>String</v>
      </c>
      <c r="H8" s="39">
        <f>VLOOKUP($D8,'Tag(Glossary)'!$B:$G,5,0)</f>
        <v>2</v>
      </c>
      <c r="I8" s="38"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A9" s="7"/>
      <c r="B9" s="117" t="str">
        <f>INDEX('Interface List'!$D$7:$D$45,MATCH($C9,'Interface List'!$E$7:$E$45,0))</f>
        <v>IFMDFIX0009</v>
      </c>
      <c r="C9" s="117" t="s">
        <v>318</v>
      </c>
      <c r="D9" s="102">
        <v>55</v>
      </c>
      <c r="E9" s="38" t="str">
        <f>VLOOKUP($D9,'Tag(Glossary)'!$B:$G,2,0)</f>
        <v>Symbol</v>
      </c>
      <c r="F9" s="39" t="s">
        <v>85</v>
      </c>
      <c r="G9" s="39" t="str">
        <f>VLOOKUP($D9,'Tag(Glossary)'!$B:$G,4,0)</f>
        <v>String</v>
      </c>
      <c r="H9" s="39">
        <f>VLOOKUP($D9,'Tag(Glossary)'!$B:$G,5,0)</f>
        <v>12</v>
      </c>
      <c r="I9" s="38" t="str">
        <f>VLOOKUP($D9,'Tag(Glossary)'!$B:$H,6,0)&amp;IF(ISBLANK(VLOOKUP($D9,'Tag(Glossary)'!$B:$H,7,0)),"",CHAR(10))&amp;VLOOKUP($D9,'Tag(Glossary)'!$B:$H,7,0)</f>
        <v>The unique code of an issue (a.k.a. instrument or symbol). Generally it is ISIN code but in case of Repo market it is defined as the exchange staffs want</v>
      </c>
    </row>
    <row r="10" spans="1:9" ht="38.25">
      <c r="A10" s="7"/>
      <c r="B10" s="117" t="str">
        <f>INDEX('Interface List'!$D$7:$D$45,MATCH($C10,'Interface List'!$E$7:$E$45,0))</f>
        <v>IFMDFIX0009</v>
      </c>
      <c r="C10" s="117" t="s">
        <v>318</v>
      </c>
      <c r="D10" s="102">
        <v>75</v>
      </c>
      <c r="E10" s="38" t="str">
        <f>VLOOKUP($D10,'Tag(Glossary)'!$B:$G,2,0)</f>
        <v>TradeDate</v>
      </c>
      <c r="F10" s="39" t="s">
        <v>565</v>
      </c>
      <c r="G10" s="39" t="str">
        <f>VLOOKUP($D10,'Tag(Glossary)'!$B:$G,4,0)</f>
        <v>LocalMktDate</v>
      </c>
      <c r="H10" s="39">
        <f>VLOOKUP($D10,'Tag(Glossary)'!$B:$G,5,0)</f>
        <v>8</v>
      </c>
      <c r="I10" s="38" t="str">
        <f>VLOOKUP($D10,'Tag(Glossary)'!$B:$H,6,0)&amp;IF(ISBLANK(VLOOKUP($D10,'Tag(Glossary)'!$B:$H,7,0)),"",CHAR(10))&amp;VLOOKUP($D10,'Tag(Glossary)'!$B:$H,7,0)</f>
        <v>Indicates local date of trade refereneced in this message in YYYYMMDD format.
YYYYMMDD</v>
      </c>
    </row>
    <row r="11" spans="1:9" ht="25.5">
      <c r="A11" s="7"/>
      <c r="B11" s="117" t="str">
        <f>INDEX('Interface List'!$D$7:$D$45,MATCH($C11,'Interface List'!$E$7:$E$45,0))</f>
        <v>IFMDFIX0009</v>
      </c>
      <c r="C11" s="117" t="s">
        <v>318</v>
      </c>
      <c r="D11" s="102">
        <v>60</v>
      </c>
      <c r="E11" s="38" t="str">
        <f>VLOOKUP($D11,'Tag(Glossary)'!$B:$G,2,0)</f>
        <v>TransactTime</v>
      </c>
      <c r="F11" s="39" t="s">
        <v>565</v>
      </c>
      <c r="G11" s="39" t="str">
        <f>VLOOKUP($D11,'Tag(Glossary)'!$B:$G,4,0)</f>
        <v>UTCTime</v>
      </c>
      <c r="H11" s="39">
        <f>VLOOKUP($D11,'Tag(Glossary)'!$B:$G,5,0)</f>
        <v>9</v>
      </c>
      <c r="I11" s="38" t="str">
        <f>VLOOKUP($D11,'Tag(Glossary)'!$B:$H,6,0)&amp;IF(ISBLANK(VLOOKUP($D11,'Tag(Glossary)'!$B:$H,7,0)),"",CHAR(10))&amp;VLOOKUP($D11,'Tag(Glossary)'!$B:$H,7,0)</f>
        <v>Time of execution/order creation
HHmmSSsss : Normal Case</v>
      </c>
    </row>
    <row r="12" spans="1:9" ht="15">
      <c r="A12" s="7"/>
      <c r="B12" s="117" t="str">
        <f>INDEX('Interface List'!$D$7:$D$45,MATCH($C12,'Interface List'!$E$7:$E$45,0))</f>
        <v>IFMDFIX0009</v>
      </c>
      <c r="C12" s="117" t="s">
        <v>318</v>
      </c>
      <c r="D12" s="102">
        <v>387</v>
      </c>
      <c r="E12" s="38" t="str">
        <f>VLOOKUP($D12,'Tag(Glossary)'!$B:$G,2,0)</f>
        <v>TotalVolumeTraded</v>
      </c>
      <c r="F12" s="39" t="s">
        <v>536</v>
      </c>
      <c r="G12" s="39" t="str">
        <f>VLOOKUP($D12,'Tag(Glossary)'!$B:$G,4,0)</f>
        <v>Int</v>
      </c>
      <c r="H12" s="39">
        <f>VLOOKUP($D12,'Tag(Glossary)'!$B:$G,5,0)</f>
        <v>12</v>
      </c>
      <c r="I12" s="38" t="str">
        <f>VLOOKUP($D12,'Tag(Glossary)'!$B:$H,6,0)&amp;IF(ISBLANK(VLOOKUP($D12,'Tag(Glossary)'!$B:$H,7,0)),"",CHAR(10))&amp;VLOOKUP($D12,'Tag(Glossary)'!$B:$H,7,0)</f>
        <v>Total volume traded</v>
      </c>
    </row>
    <row r="13" spans="1:9" ht="15">
      <c r="A13" s="7"/>
      <c r="B13" s="117" t="str">
        <f>INDEX('Interface List'!$D$7:$D$45,MATCH($C13,'Interface List'!$E$7:$E$45,0))</f>
        <v>IFMDFIX0009</v>
      </c>
      <c r="C13" s="117" t="s">
        <v>318</v>
      </c>
      <c r="D13" s="102">
        <v>381</v>
      </c>
      <c r="E13" s="38" t="str">
        <f>VLOOKUP($D13,'Tag(Glossary)'!$B:$G,2,0)</f>
        <v>GrossTradeAmt</v>
      </c>
      <c r="F13" s="39" t="s">
        <v>536</v>
      </c>
      <c r="G13" s="39" t="str">
        <f>VLOOKUP($D13,'Tag(Glossary)'!$B:$G,4,0)</f>
        <v>Float</v>
      </c>
      <c r="H13" s="39" t="str">
        <f>VLOOKUP($D13,'Tag(Glossary)'!$B:$G,5,0)</f>
        <v>23(18.4)</v>
      </c>
      <c r="I13" s="38" t="str">
        <f>VLOOKUP($D13,'Tag(Glossary)'!$B:$H,6,0)&amp;IF(ISBLANK(VLOOKUP($D13,'Tag(Glossary)'!$B:$H,7,0)),"",CHAR(10))&amp;VLOOKUP($D13,'Tag(Glossary)'!$B:$H,7,0)</f>
        <v>Gross amount traded</v>
      </c>
    </row>
    <row r="14" spans="1:9" ht="15">
      <c r="A14" s="7"/>
      <c r="B14" s="117" t="str">
        <f>INDEX('Interface List'!$D$7:$D$45,MATCH($C14,'Interface List'!$E$7:$E$45,0))</f>
        <v>IFMDFIX0009</v>
      </c>
      <c r="C14" s="117" t="s">
        <v>318</v>
      </c>
      <c r="D14" s="102">
        <v>30521</v>
      </c>
      <c r="E14" s="38" t="str">
        <f>VLOOKUP($D14,'Tag(Glossary)'!$B:$G,2,0)</f>
        <v>SellTotOrderQty</v>
      </c>
      <c r="F14" s="39" t="s">
        <v>536</v>
      </c>
      <c r="G14" s="39" t="str">
        <f>VLOOKUP($D14,'Tag(Glossary)'!$B:$G,4,0)</f>
        <v>Int</v>
      </c>
      <c r="H14" s="39">
        <f>VLOOKUP($D14,'Tag(Glossary)'!$B:$G,5,0)</f>
        <v>12</v>
      </c>
      <c r="I14" s="38" t="str">
        <f>VLOOKUP($D14,'Tag(Glossary)'!$B:$H,6,0)&amp;IF(ISBLANK(VLOOKUP($D14,'Tag(Glossary)'!$B:$H,7,0)),"",CHAR(10))&amp;VLOOKUP($D14,'Tag(Glossary)'!$B:$H,7,0)</f>
        <v>Total quantity of remaining orders in ask side</v>
      </c>
    </row>
    <row r="15" spans="1:9" ht="15">
      <c r="A15" s="7"/>
      <c r="B15" s="117" t="str">
        <f>INDEX('Interface List'!$D$7:$D$45,MATCH($C15,'Interface List'!$E$7:$E$45,0))</f>
        <v>IFMDFIX0009</v>
      </c>
      <c r="C15" s="117" t="s">
        <v>318</v>
      </c>
      <c r="D15" s="102">
        <v>30522</v>
      </c>
      <c r="E15" s="38" t="str">
        <f>VLOOKUP($D15,'Tag(Glossary)'!$B:$G,2,0)</f>
        <v>BuyTotOrderQty</v>
      </c>
      <c r="F15" s="39" t="s">
        <v>536</v>
      </c>
      <c r="G15" s="39" t="str">
        <f>VLOOKUP($D15,'Tag(Glossary)'!$B:$G,4,0)</f>
        <v>Int</v>
      </c>
      <c r="H15" s="39">
        <f>VLOOKUP($D15,'Tag(Glossary)'!$B:$G,5,0)</f>
        <v>12</v>
      </c>
      <c r="I15" s="38" t="str">
        <f>VLOOKUP($D15,'Tag(Glossary)'!$B:$H,6,0)&amp;IF(ISBLANK(VLOOKUP($D15,'Tag(Glossary)'!$B:$H,7,0)),"",CHAR(10))&amp;VLOOKUP($D15,'Tag(Glossary)'!$B:$H,7,0)</f>
        <v>Total quantity of remaining orders in bid side</v>
      </c>
    </row>
    <row r="16" spans="1:9" ht="15">
      <c r="A16" s="7"/>
      <c r="B16" s="117" t="str">
        <f>INDEX('Interface List'!$D$7:$D$45,MATCH($C16,'Interface List'!$E$7:$E$45,0))</f>
        <v>IFMDFIX0009</v>
      </c>
      <c r="C16" s="117" t="s">
        <v>318</v>
      </c>
      <c r="D16" s="102">
        <v>30523</v>
      </c>
      <c r="E16" s="38" t="str">
        <f>VLOOKUP($D16,'Tag(Glossary)'!$B:$G,2,0)</f>
        <v>SellValidOrderCnt</v>
      </c>
      <c r="F16" s="39" t="s">
        <v>536</v>
      </c>
      <c r="G16" s="39" t="str">
        <f>VLOOKUP($D16,'Tag(Glossary)'!$B:$G,4,0)</f>
        <v>Int</v>
      </c>
      <c r="H16" s="39">
        <f>VLOOKUP($D16,'Tag(Glossary)'!$B:$G,5,0)</f>
        <v>11</v>
      </c>
      <c r="I16" s="38" t="str">
        <f>VLOOKUP($D16,'Tag(Glossary)'!$B:$H,6,0)&amp;IF(ISBLANK(VLOOKUP($D16,'Tag(Glossary)'!$B:$H,7,0)),"",CHAR(10))&amp;VLOOKUP($D16,'Tag(Glossary)'!$B:$H,7,0)</f>
        <v>Valid count of orders in ask side</v>
      </c>
    </row>
    <row r="17" spans="1:9" ht="15">
      <c r="A17" s="7"/>
      <c r="B17" s="117" t="str">
        <f>INDEX('Interface List'!$D$7:$D$45,MATCH($C17,'Interface List'!$E$7:$E$45,0))</f>
        <v>IFMDFIX0009</v>
      </c>
      <c r="C17" s="117" t="s">
        <v>318</v>
      </c>
      <c r="D17" s="102">
        <v>30524</v>
      </c>
      <c r="E17" s="38" t="str">
        <f>VLOOKUP($D17,'Tag(Glossary)'!$B:$G,2,0)</f>
        <v>BuyValidOrderCnt</v>
      </c>
      <c r="F17" s="39" t="s">
        <v>536</v>
      </c>
      <c r="G17" s="39" t="str">
        <f>VLOOKUP($D17,'Tag(Glossary)'!$B:$G,4,0)</f>
        <v>Int</v>
      </c>
      <c r="H17" s="39">
        <f>VLOOKUP($D17,'Tag(Glossary)'!$B:$G,5,0)</f>
        <v>11</v>
      </c>
      <c r="I17" s="38" t="str">
        <f>VLOOKUP($D17,'Tag(Glossary)'!$B:$H,6,0)&amp;IF(ISBLANK(VLOOKUP($D17,'Tag(Glossary)'!$B:$H,7,0)),"",CHAR(10))&amp;VLOOKUP($D17,'Tag(Glossary)'!$B:$H,7,0)</f>
        <v>Valid count of orders in bid side</v>
      </c>
    </row>
    <row r="18" spans="1:9" ht="15.75" thickBot="1">
      <c r="A18" s="7"/>
      <c r="B18" s="118" t="str">
        <f>INDEX('Interface List'!$D$7:$D$45,MATCH($C18,'Interface List'!$E$7:$E$45,0))</f>
        <v>IFMDFIX0009</v>
      </c>
      <c r="C18" s="117" t="s">
        <v>318</v>
      </c>
      <c r="D18" s="119">
        <v>268</v>
      </c>
      <c r="E18" s="38" t="str">
        <f>VLOOKUP($D18,'Tag(Glossary)'!$B:$G,2,0)</f>
        <v>NoMDEntries</v>
      </c>
      <c r="F18" s="39" t="s">
        <v>85</v>
      </c>
      <c r="G18" s="39" t="str">
        <f>VLOOKUP($D18,'Tag(Glossary)'!$B:$G,4,0)</f>
        <v>Int</v>
      </c>
      <c r="H18" s="39">
        <f>VLOOKUP($D18,'Tag(Glossary)'!$B:$G,5,0)</f>
        <v>9</v>
      </c>
      <c r="I18" s="38" t="str">
        <f>VLOOKUP($D18,'Tag(Glossary)'!$B:$H,6,0)&amp;IF(ISBLANK(VLOOKUP($D18,'Tag(Glossary)'!$B:$H,7,0)),"",CHAR(10))&amp;VLOOKUP($D18,'Tag(Glossary)'!$B:$H,7,0)</f>
        <v>Number(Depth) of market data entries repeated as following</v>
      </c>
    </row>
    <row r="19" spans="1:9" ht="15">
      <c r="A19" s="7"/>
      <c r="B19" s="240" t="s">
        <v>399</v>
      </c>
      <c r="C19" s="241"/>
      <c r="D19" s="241"/>
      <c r="E19" s="241"/>
      <c r="F19" s="241"/>
      <c r="G19" s="241"/>
      <c r="H19" s="241"/>
      <c r="I19" s="242"/>
    </row>
    <row r="20" spans="1:9" ht="15">
      <c r="A20" s="7"/>
      <c r="B20" s="120" t="str">
        <f>INDEX('Interface List'!$D$7:$D$45,MATCH($C20,'Interface List'!$E$7:$E$45,0))</f>
        <v>IFMDFIX0009</v>
      </c>
      <c r="C20" s="117" t="s">
        <v>318</v>
      </c>
      <c r="D20" s="102">
        <v>83</v>
      </c>
      <c r="E20" s="38" t="str">
        <f>VLOOKUP($D20,'Tag(Glossary)'!$B:$G,2,0)</f>
        <v>RptSeq</v>
      </c>
      <c r="F20" s="39" t="s">
        <v>537</v>
      </c>
      <c r="G20" s="39" t="str">
        <f>VLOOKUP($D20,'Tag(Glossary)'!$B:$G,4,0)</f>
        <v>Int</v>
      </c>
      <c r="H20" s="39">
        <f>VLOOKUP($D20,'Tag(Glossary)'!$B:$G,5,0)</f>
        <v>9</v>
      </c>
      <c r="I20" s="122" t="str">
        <f>VLOOKUP($D20,'Tag(Glossary)'!$B:$H,6,0)&amp;IF(ISBLANK(VLOOKUP($D20,'Tag(Glossary)'!$B:$H,7,0)),"",CHAR(10))&amp;VLOOKUP($D20,'Tag(Glossary)'!$B:$H,7,0)</f>
        <v>Data sequential number within repeated record</v>
      </c>
    </row>
    <row r="21" spans="1:9" ht="25.5">
      <c r="A21" s="7"/>
      <c r="B21" s="120" t="str">
        <f>INDEX('Interface List'!$D$7:$D$45,MATCH($C21,'Interface List'!$E$7:$E$45,0))</f>
        <v>IFMDFIX0009</v>
      </c>
      <c r="C21" s="117" t="s">
        <v>318</v>
      </c>
      <c r="D21" s="102">
        <v>279</v>
      </c>
      <c r="E21" s="121" t="str">
        <f>VLOOKUP($D21,'Tag(Glossary)'!$B:$G,2,0)</f>
        <v>MDUpdateAction</v>
      </c>
      <c r="F21" s="102" t="s">
        <v>85</v>
      </c>
      <c r="G21" s="102" t="str">
        <f>VLOOKUP($D21,'Tag(Glossary)'!$B:$G,4,0)</f>
        <v>String</v>
      </c>
      <c r="H21" s="102">
        <f>VLOOKUP($D21,'Tag(Glossary)'!$B:$G,5,0)</f>
        <v>1</v>
      </c>
      <c r="I21" s="122" t="str">
        <f>VLOOKUP($D21,'Tag(Glossary)'!$B:$H,6,0)&amp;IF(ISBLANK(VLOOKUP($D21,'Tag(Glossary)'!$B:$H,7,0)),"",CHAR(10))&amp;VLOOKUP($D21,'Tag(Glossary)'!$B:$H,7,0)</f>
        <v xml:space="preserve">Type code of update action for an entry of market data
0 = New </v>
      </c>
    </row>
    <row r="22" spans="1:9" ht="178.5">
      <c r="A22" s="7"/>
      <c r="B22" s="120" t="str">
        <f>INDEX('Interface List'!$D$7:$D$45,MATCH($C22,'Interface List'!$E$7:$E$45,0))</f>
        <v>IFMDFIX0009</v>
      </c>
      <c r="C22" s="117" t="s">
        <v>318</v>
      </c>
      <c r="D22" s="102">
        <v>269</v>
      </c>
      <c r="E22" s="121" t="str">
        <f>VLOOKUP($D22,'Tag(Glossary)'!$B:$G,2,0)</f>
        <v>MDEntryType</v>
      </c>
      <c r="F22" s="102" t="s">
        <v>85</v>
      </c>
      <c r="G22" s="102" t="str">
        <f>VLOOKUP($D22,'Tag(Glossary)'!$B:$G,4,0)</f>
        <v>String</v>
      </c>
      <c r="H22" s="102">
        <f>VLOOKUP($D22,'Tag(Glossary)'!$B:$G,5,0)</f>
        <v>1</v>
      </c>
      <c r="I22" s="122" t="str">
        <f>VLOOKUP($D22,'Tag(Glossary)'!$B:$H,6,0)&amp;IF(ISBLANK(VLOOKUP($D22,'Tag(Glossary)'!$B:$H,7,0)),"",CHAR(10))&amp;VLOOKUP($D22,'Tag(Glossary)'!$B:$H,7,0)</f>
        <v xml:space="preserve">Data classification for an entry of market data
Possible values in message X (Price) .
0 = Bid 
1 = Offer 
2 = Trade 
4 = Opening Price 
7 = Trading Session High Price
8 = Trading Session Low Price
Possible values in message W (Price Recovery) .
0 = Bid 
1 = Offer 
</v>
      </c>
    </row>
    <row r="23" spans="1:9" ht="15">
      <c r="A23" s="7"/>
      <c r="B23" s="120" t="str">
        <f>INDEX('Interface List'!$D$7:$D$45,MATCH($C23,'Interface List'!$E$7:$E$45,0))</f>
        <v>IFMDFIX0009</v>
      </c>
      <c r="C23" s="117" t="s">
        <v>318</v>
      </c>
      <c r="D23" s="102">
        <v>290</v>
      </c>
      <c r="E23" s="121" t="str">
        <f>VLOOKUP($D23,'Tag(Glossary)'!$B:$G,2,0)</f>
        <v>MDEntryPositionNo</v>
      </c>
      <c r="F23" s="102" t="s">
        <v>85</v>
      </c>
      <c r="G23" s="102" t="str">
        <f>VLOOKUP($D23,'Tag(Glossary)'!$B:$G,4,0)</f>
        <v>Int</v>
      </c>
      <c r="H23" s="102">
        <f>VLOOKUP($D23,'Tag(Glossary)'!$B:$G,5,0)</f>
        <v>2</v>
      </c>
      <c r="I23" s="122" t="str">
        <f>VLOOKUP($D23,'Tag(Glossary)'!$B:$H,6,0)&amp;IF(ISBLANK(VLOOKUP($D23,'Tag(Glossary)'!$B:$H,7,0)),"",CHAR(10))&amp;VLOOKUP($D23,'Tag(Glossary)'!$B:$H,7,0)</f>
        <v>Position no (or level) for an entry of market data</v>
      </c>
    </row>
    <row r="24" spans="1:9" ht="15">
      <c r="A24" s="7"/>
      <c r="B24" s="120" t="str">
        <f>INDEX('Interface List'!$D$7:$D$45,MATCH($C24,'Interface List'!$E$7:$E$45,0))</f>
        <v>IFMDFIX0009</v>
      </c>
      <c r="C24" s="117" t="s">
        <v>318</v>
      </c>
      <c r="D24" s="102">
        <v>270</v>
      </c>
      <c r="E24" s="121" t="str">
        <f>VLOOKUP($D24,'Tag(Glossary)'!$B:$G,2,0)</f>
        <v>MDEntryPx</v>
      </c>
      <c r="F24" s="102" t="s">
        <v>85</v>
      </c>
      <c r="G24" s="102" t="str">
        <f>VLOOKUP($D24,'Tag(Glossary)'!$B:$G,4,0)</f>
        <v>Price</v>
      </c>
      <c r="H24" s="102" t="str">
        <f>VLOOKUP($D24,'Tag(Glossary)'!$B:$G,5,0)</f>
        <v>15(9.4)</v>
      </c>
      <c r="I24" s="122" t="str">
        <f>VLOOKUP($D24,'Tag(Glossary)'!$B:$H,6,0)&amp;IF(ISBLANK(VLOOKUP($D24,'Tag(Glossary)'!$B:$H,7,0)),"",CHAR(10))&amp;VLOOKUP($D24,'Tag(Glossary)'!$B:$H,7,0)</f>
        <v>Price for an entry of market data</v>
      </c>
    </row>
    <row r="25" spans="1:9" ht="15">
      <c r="A25" s="7"/>
      <c r="B25" s="120" t="str">
        <f>INDEX('Interface List'!$D$7:$D$45,MATCH($C25,'Interface List'!$E$7:$E$45,0))</f>
        <v>IFMDFIX0009</v>
      </c>
      <c r="C25" s="117" t="s">
        <v>318</v>
      </c>
      <c r="D25" s="102">
        <v>271</v>
      </c>
      <c r="E25" s="121" t="str">
        <f>VLOOKUP($D25,'Tag(Glossary)'!$B:$G,2,0)</f>
        <v>MDEntrySize</v>
      </c>
      <c r="F25" s="102" t="s">
        <v>85</v>
      </c>
      <c r="G25" s="102" t="str">
        <f>VLOOKUP($D25,'Tag(Glossary)'!$B:$G,4,0)</f>
        <v>Int</v>
      </c>
      <c r="H25" s="102">
        <f>VLOOKUP($D25,'Tag(Glossary)'!$B:$G,5,0)</f>
        <v>12</v>
      </c>
      <c r="I25" s="122" t="str">
        <f>VLOOKUP($D25,'Tag(Glossary)'!$B:$H,6,0)&amp;IF(ISBLANK(VLOOKUP($D25,'Tag(Glossary)'!$B:$H,7,0)),"",CHAR(10))&amp;VLOOKUP($D25,'Tag(Glossary)'!$B:$H,7,0)</f>
        <v>Size (or quantity) for an entry of market data</v>
      </c>
    </row>
    <row r="26" spans="1:9" ht="15">
      <c r="A26" s="7"/>
      <c r="B26" s="120" t="str">
        <f>INDEX('Interface List'!$D$7:$D$45,MATCH($C26,'Interface List'!$E$7:$E$45,0))</f>
        <v>IFMDFIX0009</v>
      </c>
      <c r="C26" s="117" t="s">
        <v>318</v>
      </c>
      <c r="D26" s="102">
        <v>346</v>
      </c>
      <c r="E26" s="121" t="str">
        <f>VLOOKUP($D26,'Tag(Glossary)'!$B:$G,2,0)</f>
        <v>NumberOfOrders</v>
      </c>
      <c r="F26" s="102" t="s">
        <v>708</v>
      </c>
      <c r="G26" s="102" t="str">
        <f>VLOOKUP($D26,'Tag(Glossary)'!$B:$G,4,0)</f>
        <v>Int</v>
      </c>
      <c r="H26" s="102">
        <f>VLOOKUP($D26,'Tag(Glossary)'!$B:$G,5,0)</f>
        <v>11</v>
      </c>
      <c r="I26" s="122" t="str">
        <f>VLOOKUP($D26,'Tag(Glossary)'!$B:$H,6,0)&amp;IF(ISBLANK(VLOOKUP($D26,'Tag(Glossary)'!$B:$H,7,0)),"",CHAR(10))&amp;VLOOKUP($D26,'Tag(Glossary)'!$B:$H,7,0)</f>
        <v>Number of orders</v>
      </c>
    </row>
    <row r="27" spans="1:9" ht="15">
      <c r="A27" s="7"/>
      <c r="B27" s="120" t="str">
        <f>INDEX('Interface List'!$D$7:$D$45,MATCH($C27,'Interface List'!$E$7:$E$45,0))</f>
        <v>IFMDFIX0009</v>
      </c>
      <c r="C27" s="117" t="s">
        <v>318</v>
      </c>
      <c r="D27" s="102">
        <v>30270</v>
      </c>
      <c r="E27" s="121" t="str">
        <f>VLOOKUP($D27,'Tag(Glossary)'!$B:$G,2,0)</f>
        <v>MDEntryYield</v>
      </c>
      <c r="F27" s="102" t="s">
        <v>706</v>
      </c>
      <c r="G27" s="102" t="str">
        <f>VLOOKUP($D27,'Tag(Glossary)'!$B:$G,4,0)</f>
        <v>Float</v>
      </c>
      <c r="H27" s="102" t="str">
        <f>VLOOKUP($D27,'Tag(Glossary)'!$B:$G,5,0)</f>
        <v>13(5.6)</v>
      </c>
      <c r="I27" s="122" t="str">
        <f>VLOOKUP($D27,'Tag(Glossary)'!$B:$H,6,0)&amp;IF(ISBLANK(VLOOKUP($D27,'Tag(Glossary)'!$B:$H,7,0)),"",CHAR(10))&amp;VLOOKUP($D27,'Tag(Glossary)'!$B:$H,7,0)</f>
        <v>Yield of the entry. Bond market only.</v>
      </c>
    </row>
    <row r="28" spans="1:9" ht="15.75" thickBot="1">
      <c r="A28" s="7"/>
      <c r="B28" s="123" t="str">
        <f>INDEX('Interface List'!$D$7:$D$45,MATCH($C28,'Interface List'!$E$7:$E$45,0))</f>
        <v>IFMDFIX0009</v>
      </c>
      <c r="C28" s="124" t="s">
        <v>318</v>
      </c>
      <c r="D28" s="125">
        <v>30271</v>
      </c>
      <c r="E28" s="142" t="str">
        <f>VLOOKUP($D28,'Tag(Glossary)'!$B:$G,2,0)</f>
        <v>MDEntryMMSize</v>
      </c>
      <c r="F28" s="125" t="s">
        <v>707</v>
      </c>
      <c r="G28" s="125" t="str">
        <f>VLOOKUP($D28,'Tag(Glossary)'!$B:$G,4,0)</f>
        <v>Int</v>
      </c>
      <c r="H28" s="125">
        <f>VLOOKUP($D28,'Tag(Glossary)'!$B:$G,5,0)</f>
        <v>12</v>
      </c>
      <c r="I28" s="126" t="str">
        <f>VLOOKUP($D28,'Tag(Glossary)'!$B:$H,6,0)&amp;IF(ISBLANK(VLOOKUP($D28,'Tag(Glossary)'!$B:$H,7,0)),"",CHAR(10))&amp;VLOOKUP($D28,'Tag(Glossary)'!$B:$H,7,0)</f>
        <v>Size of the entry provided from market makers</v>
      </c>
    </row>
    <row r="29" spans="1:9" ht="15">
      <c r="A29" s="7"/>
      <c r="B29" s="117" t="str">
        <f>INDEX('Interface List'!$D$7:$D$45,MATCH($C29,'Interface List'!$E$7:$E$45,0))</f>
        <v>IFMDFIX0009</v>
      </c>
      <c r="C29" s="117" t="s">
        <v>318</v>
      </c>
      <c r="D29" s="102"/>
      <c r="E29" s="38" t="s">
        <v>258</v>
      </c>
      <c r="F29" s="39" t="s">
        <v>86</v>
      </c>
      <c r="G29" s="39"/>
      <c r="H29" s="39"/>
      <c r="I29" s="38"/>
    </row>
    <row r="30" spans="1:9" ht="15">
      <c r="A30" s="7"/>
      <c r="B30" s="32"/>
      <c r="C30" s="32"/>
      <c r="D30" s="32"/>
      <c r="E30" s="7"/>
      <c r="F30" s="32"/>
      <c r="G30" s="35"/>
      <c r="H30" s="32"/>
      <c r="I30" s="35"/>
    </row>
  </sheetData>
  <mergeCells count="2">
    <mergeCell ref="B2:I2"/>
    <mergeCell ref="B19:I19"/>
  </mergeCells>
  <phoneticPr fontId="8" type="noConversion"/>
  <pageMargins left="0.7" right="0.7" top="0.75" bottom="0.75" header="0.3" footer="0.3"/>
  <pageSetup paperSize="9" scale="60" orientation="portrait" horizontalDpi="4294967292"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2:I30"/>
  <sheetViews>
    <sheetView view="pageBreakPreview" zoomScale="115" zoomScaleNormal="75" zoomScaleSheetLayoutView="115" workbookViewId="0">
      <pane xSplit="9" ySplit="4" topLeftCell="J15" activePane="bottomRight" state="frozen"/>
      <selection sqref="A1:XFD1048576"/>
      <selection pane="topRight" sqref="A1:XFD1048576"/>
      <selection pane="bottomLeft" sqref="A1:XFD1048576"/>
      <selection pane="bottomRight" activeCell="B1" sqref="B1:I31"/>
    </sheetView>
  </sheetViews>
  <sheetFormatPr defaultColWidth="8.875" defaultRowHeight="15"/>
  <cols>
    <col min="1" max="1" width="1.75" style="7" customWidth="1"/>
    <col min="2" max="2" width="15.125" style="32" bestFit="1" customWidth="1"/>
    <col min="3" max="3" width="12.12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400</v>
      </c>
      <c r="C2" s="224"/>
      <c r="D2" s="224"/>
      <c r="E2" s="224"/>
      <c r="F2" s="224"/>
      <c r="G2" s="224"/>
      <c r="H2" s="224"/>
      <c r="I2" s="224"/>
    </row>
    <row r="3" spans="1:9" s="3" customFormat="1">
      <c r="A3" s="5"/>
      <c r="B3" s="33"/>
      <c r="C3" s="33"/>
      <c r="D3" s="33"/>
      <c r="E3" s="33"/>
      <c r="F3" s="33"/>
      <c r="G3" s="33"/>
      <c r="H3" s="33"/>
      <c r="I3" s="33"/>
    </row>
    <row r="4" spans="1:9" s="4" customFormat="1">
      <c r="A4" s="7"/>
      <c r="B4" s="174" t="s">
        <v>90</v>
      </c>
      <c r="C4" s="174" t="s">
        <v>104</v>
      </c>
      <c r="D4" s="174" t="s">
        <v>84</v>
      </c>
      <c r="E4" s="174" t="s">
        <v>98</v>
      </c>
      <c r="F4" s="174" t="s">
        <v>99</v>
      </c>
      <c r="G4" s="174" t="s">
        <v>100</v>
      </c>
      <c r="H4" s="174" t="s">
        <v>101</v>
      </c>
      <c r="I4" s="174" t="s">
        <v>102</v>
      </c>
    </row>
    <row r="5" spans="1:9">
      <c r="B5" s="166" t="str">
        <f>INDEX('Interface List'!$D$7:$D$45,MATCH($C5,'Interface List'!$E$7:$E$45,0))</f>
        <v>IFMDFIX0010</v>
      </c>
      <c r="C5" s="172" t="s">
        <v>320</v>
      </c>
      <c r="D5" s="172"/>
      <c r="E5" s="173" t="s">
        <v>109</v>
      </c>
      <c r="F5" s="172" t="s">
        <v>86</v>
      </c>
      <c r="G5" s="172"/>
      <c r="H5" s="172"/>
      <c r="I5" s="173" t="s">
        <v>401</v>
      </c>
    </row>
    <row r="6" spans="1:9" ht="140.25">
      <c r="B6" s="86" t="str">
        <f>INDEX('Interface List'!$D$7:$D$45,MATCH($C6,'Interface List'!$E$7:$E$45,0))</f>
        <v>IFMDFIX0010</v>
      </c>
      <c r="C6" s="86" t="s">
        <v>320</v>
      </c>
      <c r="D6" s="87">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86" t="str">
        <f>INDEX('Interface List'!$D$7:$D$45,MATCH($C7,'Interface List'!$E$7:$E$45,0))</f>
        <v>IFMDFIX0010</v>
      </c>
      <c r="C7" s="86" t="s">
        <v>320</v>
      </c>
      <c r="D7" s="87">
        <v>20004</v>
      </c>
      <c r="E7" s="88" t="str">
        <f>VLOOKUP($D7,'Tag(Glossary)'!$B:$G,2,0)</f>
        <v>BoardID</v>
      </c>
      <c r="F7" s="87" t="s">
        <v>85</v>
      </c>
      <c r="G7" s="87" t="str">
        <f>VLOOKUP($D7,'Tag(Glossary)'!$B:$G,4,0)</f>
        <v>String</v>
      </c>
      <c r="H7" s="87">
        <f>VLOOKUP($D7,'Tag(Glossary)'!$B:$G,5,0)</f>
        <v>2</v>
      </c>
      <c r="I7" s="8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B8" s="86" t="str">
        <f>INDEX('Interface List'!$D$7:$D$45,MATCH($C8,'Interface List'!$E$7:$E$45,0))</f>
        <v>IFMDFIX0010</v>
      </c>
      <c r="C8" s="86" t="s">
        <v>320</v>
      </c>
      <c r="D8" s="87">
        <v>336</v>
      </c>
      <c r="E8" s="88" t="str">
        <f>VLOOKUP($D8,'Tag(Glossary)'!$B:$G,2,0)</f>
        <v>TradingSessionID</v>
      </c>
      <c r="F8" s="87" t="s">
        <v>85</v>
      </c>
      <c r="G8" s="87" t="str">
        <f>VLOOKUP($D8,'Tag(Glossary)'!$B:$G,4,0)</f>
        <v>String</v>
      </c>
      <c r="H8" s="87">
        <f>VLOOKUP($D8,'Tag(Glossary)'!$B:$G,5,0)</f>
        <v>2</v>
      </c>
      <c r="I8" s="88"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B9" s="86" t="str">
        <f>INDEX('Interface List'!$D$7:$D$45,MATCH($C9,'Interface List'!$E$7:$E$45,0))</f>
        <v>IFMDFIX0010</v>
      </c>
      <c r="C9" s="86" t="s">
        <v>320</v>
      </c>
      <c r="D9" s="87">
        <v>55</v>
      </c>
      <c r="E9" s="88" t="str">
        <f>VLOOKUP($D9,'Tag(Glossary)'!$B:$G,2,0)</f>
        <v>Symbol</v>
      </c>
      <c r="F9" s="87" t="s">
        <v>85</v>
      </c>
      <c r="G9" s="87" t="str">
        <f>VLOOKUP($D9,'Tag(Glossary)'!$B:$G,4,0)</f>
        <v>String</v>
      </c>
      <c r="H9" s="87">
        <f>VLOOKUP($D9,'Tag(Glossary)'!$B:$G,5,0)</f>
        <v>12</v>
      </c>
      <c r="I9" s="88" t="str">
        <f>VLOOKUP($D9,'Tag(Glossary)'!$B:$H,6,0)&amp;IF(ISBLANK(VLOOKUP($D9,'Tag(Glossary)'!$B:$H,7,0)),"",CHAR(10))&amp;VLOOKUP($D9,'Tag(Glossary)'!$B:$H,7,0)</f>
        <v>The unique code of an issue (a.k.a. instrument or symbol). Generally it is ISIN code but in case of Repo market it is defined as the exchange staffs want</v>
      </c>
    </row>
    <row r="10" spans="1:9">
      <c r="B10" s="86" t="str">
        <f>INDEX('Interface List'!$D$7:$D$45,MATCH($C10,'Interface List'!$E$7:$E$45,0))</f>
        <v>IFMDFIX0010</v>
      </c>
      <c r="C10" s="86" t="s">
        <v>320</v>
      </c>
      <c r="D10" s="87">
        <v>30561</v>
      </c>
      <c r="E10" s="88" t="str">
        <f>VLOOKUP($D10,'Tag(Glossary)'!$B:$G,2,0)</f>
        <v>OpnPx</v>
      </c>
      <c r="F10" s="87" t="s">
        <v>85</v>
      </c>
      <c r="G10" s="87" t="str">
        <f>VLOOKUP($D10,'Tag(Glossary)'!$B:$G,4,0)</f>
        <v>Price</v>
      </c>
      <c r="H10" s="87" t="str">
        <f>VLOOKUP($D10,'Tag(Glossary)'!$B:$G,5,0)</f>
        <v>15(9.4)</v>
      </c>
      <c r="I10" s="88" t="str">
        <f>VLOOKUP($D10,'Tag(Glossary)'!$B:$H,6,0)&amp;IF(ISBLANK(VLOOKUP($D10,'Tag(Glossary)'!$B:$H,7,0)),"",CHAR(10))&amp;VLOOKUP($D10,'Tag(Glossary)'!$B:$H,7,0)</f>
        <v>The first price during that day</v>
      </c>
    </row>
    <row r="11" spans="1:9">
      <c r="B11" s="86" t="str">
        <f>INDEX('Interface List'!$D$7:$D$45,MATCH($C11,'Interface List'!$E$7:$E$45,0))</f>
        <v>IFMDFIX0010</v>
      </c>
      <c r="C11" s="86" t="s">
        <v>320</v>
      </c>
      <c r="D11" s="87">
        <v>30562</v>
      </c>
      <c r="E11" s="88" t="str">
        <f>VLOOKUP($D11,'Tag(Glossary)'!$B:$G,2,0)</f>
        <v>TrdSessnHighPx</v>
      </c>
      <c r="F11" s="87" t="s">
        <v>85</v>
      </c>
      <c r="G11" s="87" t="str">
        <f>VLOOKUP($D11,'Tag(Glossary)'!$B:$G,4,0)</f>
        <v>Price</v>
      </c>
      <c r="H11" s="87" t="str">
        <f>VLOOKUP($D11,'Tag(Glossary)'!$B:$G,5,0)</f>
        <v>15(9.4)</v>
      </c>
      <c r="I11" s="88" t="str">
        <f>VLOOKUP($D11,'Tag(Glossary)'!$B:$H,6,0)&amp;IF(ISBLANK(VLOOKUP($D11,'Tag(Glossary)'!$B:$H,7,0)),"",CHAR(10))&amp;VLOOKUP($D11,'Tag(Glossary)'!$B:$H,7,0)</f>
        <v>Highest price during that day</v>
      </c>
    </row>
    <row r="12" spans="1:9">
      <c r="B12" s="86" t="str">
        <f>INDEX('Interface List'!$D$7:$D$45,MATCH($C12,'Interface List'!$E$7:$E$45,0))</f>
        <v>IFMDFIX0010</v>
      </c>
      <c r="C12" s="86" t="s">
        <v>320</v>
      </c>
      <c r="D12" s="87">
        <v>30563</v>
      </c>
      <c r="E12" s="88" t="str">
        <f>VLOOKUP($D12,'Tag(Glossary)'!$B:$G,2,0)</f>
        <v>TrdSessnLowPx</v>
      </c>
      <c r="F12" s="87" t="s">
        <v>85</v>
      </c>
      <c r="G12" s="87" t="str">
        <f>VLOOKUP($D12,'Tag(Glossary)'!$B:$G,4,0)</f>
        <v>Price</v>
      </c>
      <c r="H12" s="87" t="str">
        <f>VLOOKUP($D12,'Tag(Glossary)'!$B:$G,5,0)</f>
        <v>15(9.4)</v>
      </c>
      <c r="I12" s="88" t="str">
        <f>VLOOKUP($D12,'Tag(Glossary)'!$B:$H,6,0)&amp;IF(ISBLANK(VLOOKUP($D12,'Tag(Glossary)'!$B:$H,7,0)),"",CHAR(10))&amp;VLOOKUP($D12,'Tag(Glossary)'!$B:$H,7,0)</f>
        <v>Lowest price during that day</v>
      </c>
    </row>
    <row r="13" spans="1:9" ht="38.25">
      <c r="B13" s="86" t="str">
        <f>INDEX('Interface List'!$D$7:$D$45,MATCH($C13,'Interface List'!$E$7:$E$45,0))</f>
        <v>IFMDFIX0010</v>
      </c>
      <c r="C13" s="86" t="s">
        <v>400</v>
      </c>
      <c r="D13" s="87">
        <v>20026</v>
      </c>
      <c r="E13" s="88" t="str">
        <f>VLOOKUP($D13,'Tag(Glossary)'!$B:$G,2,0)</f>
        <v>SymbolCloseInfoPx</v>
      </c>
      <c r="F13" s="87" t="s">
        <v>85</v>
      </c>
      <c r="G13" s="87" t="str">
        <f>VLOOKUP($D13,'Tag(Glossary)'!$B:$G,4,0)</f>
        <v>Price</v>
      </c>
      <c r="H13" s="87" t="str">
        <f>VLOOKUP($D13,'Tag(Glossary)'!$B:$G,5,0)</f>
        <v>15(9.4)</v>
      </c>
      <c r="I13" s="88" t="str">
        <f>VLOOKUP($D13,'Tag(Glossary)'!$B:$H,6,0)&amp;IF(ISBLANK(VLOOKUP($D13,'Tag(Glossary)'!$B:$H,7,0)),"",CHAR(10))&amp;VLOOKUP($D13,'Tag(Glossary)'!$B:$H,7,0)</f>
        <v>The last execution price of that day. If there is no execution it is replaced with the reference price, and if no reference price is given then it will be 0 (zero)</v>
      </c>
    </row>
    <row r="14" spans="1:9">
      <c r="B14" s="86" t="str">
        <f>INDEX('Interface List'!$D$7:$D$45,MATCH($C14,'Interface List'!$E$7:$E$45,0))</f>
        <v>IFMDFIX0010</v>
      </c>
      <c r="C14" s="86" t="s">
        <v>320</v>
      </c>
      <c r="D14" s="87">
        <v>387</v>
      </c>
      <c r="E14" s="88" t="str">
        <f>VLOOKUP($D14,'Tag(Glossary)'!$B:$G,2,0)</f>
        <v>TotalVolumeTraded</v>
      </c>
      <c r="F14" s="87" t="s">
        <v>85</v>
      </c>
      <c r="G14" s="87" t="str">
        <f>VLOOKUP($D14,'Tag(Glossary)'!$B:$G,4,0)</f>
        <v>Int</v>
      </c>
      <c r="H14" s="87">
        <f>VLOOKUP($D14,'Tag(Glossary)'!$B:$G,5,0)</f>
        <v>12</v>
      </c>
      <c r="I14" s="88" t="str">
        <f>VLOOKUP($D14,'Tag(Glossary)'!$B:$H,6,0)&amp;IF(ISBLANK(VLOOKUP($D14,'Tag(Glossary)'!$B:$H,7,0)),"",CHAR(10))&amp;VLOOKUP($D14,'Tag(Glossary)'!$B:$H,7,0)</f>
        <v>Total volume traded</v>
      </c>
    </row>
    <row r="15" spans="1:9">
      <c r="B15" s="86" t="str">
        <f>INDEX('Interface List'!$D$7:$D$45,MATCH($C15,'Interface List'!$E$7:$E$45,0))</f>
        <v>IFMDFIX0010</v>
      </c>
      <c r="C15" s="86" t="s">
        <v>400</v>
      </c>
      <c r="D15" s="87">
        <v>381</v>
      </c>
      <c r="E15" s="88" t="str">
        <f>VLOOKUP($D15,'Tag(Glossary)'!$B:$G,2,0)</f>
        <v>GrossTradeAmt</v>
      </c>
      <c r="F15" s="87" t="s">
        <v>85</v>
      </c>
      <c r="G15" s="87" t="str">
        <f>VLOOKUP($D15,'Tag(Glossary)'!$B:$G,4,0)</f>
        <v>Float</v>
      </c>
      <c r="H15" s="87" t="str">
        <f>VLOOKUP($D15,'Tag(Glossary)'!$B:$G,5,0)</f>
        <v>23(18.4)</v>
      </c>
      <c r="I15" s="88" t="str">
        <f>VLOOKUP($D15,'Tag(Glossary)'!$B:$H,6,0)&amp;IF(ISBLANK(VLOOKUP($D15,'Tag(Glossary)'!$B:$H,7,0)),"",CHAR(10))&amp;VLOOKUP($D15,'Tag(Glossary)'!$B:$H,7,0)</f>
        <v>Gross amount traded</v>
      </c>
    </row>
    <row r="16" spans="1:9">
      <c r="B16" s="86" t="str">
        <f>INDEX('Interface List'!$D$7:$D$45,MATCH($C16,'Interface List'!$E$7:$E$45,0))</f>
        <v>IFMDFIX0010</v>
      </c>
      <c r="C16" s="86" t="s">
        <v>320</v>
      </c>
      <c r="D16" s="87">
        <v>30521</v>
      </c>
      <c r="E16" s="88" t="str">
        <f>VLOOKUP($D16,'Tag(Glossary)'!$B:$G,2,0)</f>
        <v>SellTotOrderQty</v>
      </c>
      <c r="F16" s="87" t="s">
        <v>1027</v>
      </c>
      <c r="G16" s="87" t="str">
        <f>VLOOKUP($D16,'Tag(Glossary)'!$B:$G,4,0)</f>
        <v>Int</v>
      </c>
      <c r="H16" s="87">
        <f>VLOOKUP($D16,'Tag(Glossary)'!$B:$G,5,0)</f>
        <v>12</v>
      </c>
      <c r="I16" s="88" t="str">
        <f>VLOOKUP($D16,'Tag(Glossary)'!$B:$H,6,0)&amp;IF(ISBLANK(VLOOKUP($D16,'Tag(Glossary)'!$B:$H,7,0)),"",CHAR(10))&amp;VLOOKUP($D16,'Tag(Glossary)'!$B:$H,7,0)</f>
        <v>Total quantity of remaining orders in ask side</v>
      </c>
    </row>
    <row r="17" spans="2:9">
      <c r="B17" s="86" t="str">
        <f>INDEX('Interface List'!$D$7:$D$45,MATCH($C17,'Interface List'!$E$7:$E$45,0))</f>
        <v>IFMDFIX0010</v>
      </c>
      <c r="C17" s="86" t="s">
        <v>320</v>
      </c>
      <c r="D17" s="87">
        <v>30522</v>
      </c>
      <c r="E17" s="88" t="str">
        <f>VLOOKUP($D17,'Tag(Glossary)'!$B:$G,2,0)</f>
        <v>BuyTotOrderQty</v>
      </c>
      <c r="F17" s="87" t="s">
        <v>1028</v>
      </c>
      <c r="G17" s="87" t="str">
        <f>VLOOKUP($D17,'Tag(Glossary)'!$B:$G,4,0)</f>
        <v>Int</v>
      </c>
      <c r="H17" s="87">
        <f>VLOOKUP($D17,'Tag(Glossary)'!$B:$G,5,0)</f>
        <v>12</v>
      </c>
      <c r="I17" s="88" t="str">
        <f>VLOOKUP($D17,'Tag(Glossary)'!$B:$H,6,0)&amp;IF(ISBLANK(VLOOKUP($D17,'Tag(Glossary)'!$B:$H,7,0)),"",CHAR(10))&amp;VLOOKUP($D17,'Tag(Glossary)'!$B:$H,7,0)</f>
        <v>Total quantity of remaining orders in bid side</v>
      </c>
    </row>
    <row r="18" spans="2:9">
      <c r="B18" s="86" t="str">
        <f>INDEX('Interface List'!$D$7:$D$45,MATCH($C18,'Interface List'!$E$7:$E$45,0))</f>
        <v>IFMDFIX0010</v>
      </c>
      <c r="C18" s="86" t="s">
        <v>320</v>
      </c>
      <c r="D18" s="87">
        <v>30523</v>
      </c>
      <c r="E18" s="88" t="str">
        <f>VLOOKUP($D18,'Tag(Glossary)'!$B:$G,2,0)</f>
        <v>SellValidOrderCnt</v>
      </c>
      <c r="F18" s="87" t="s">
        <v>1027</v>
      </c>
      <c r="G18" s="87" t="str">
        <f>VLOOKUP($D18,'Tag(Glossary)'!$B:$G,4,0)</f>
        <v>Int</v>
      </c>
      <c r="H18" s="87">
        <f>VLOOKUP($D18,'Tag(Glossary)'!$B:$G,5,0)</f>
        <v>11</v>
      </c>
      <c r="I18" s="88" t="str">
        <f>VLOOKUP($D18,'Tag(Glossary)'!$B:$H,6,0)&amp;IF(ISBLANK(VLOOKUP($D18,'Tag(Glossary)'!$B:$H,7,0)),"",CHAR(10))&amp;VLOOKUP($D18,'Tag(Glossary)'!$B:$H,7,0)</f>
        <v>Valid count of orders in ask side</v>
      </c>
    </row>
    <row r="19" spans="2:9">
      <c r="B19" s="86" t="str">
        <f>INDEX('Interface List'!$D$7:$D$45,MATCH($C19,'Interface List'!$E$7:$E$45,0))</f>
        <v>IFMDFIX0010</v>
      </c>
      <c r="C19" s="86" t="s">
        <v>320</v>
      </c>
      <c r="D19" s="87">
        <v>30524</v>
      </c>
      <c r="E19" s="88" t="str">
        <f>VLOOKUP($D19,'Tag(Glossary)'!$B:$G,2,0)</f>
        <v>BuyValidOrderCnt</v>
      </c>
      <c r="F19" s="87" t="s">
        <v>1029</v>
      </c>
      <c r="G19" s="87" t="str">
        <f>VLOOKUP($D19,'Tag(Glossary)'!$B:$G,4,0)</f>
        <v>Int</v>
      </c>
      <c r="H19" s="87">
        <f>VLOOKUP($D19,'Tag(Glossary)'!$B:$G,5,0)</f>
        <v>11</v>
      </c>
      <c r="I19" s="88" t="str">
        <f>VLOOKUP($D19,'Tag(Glossary)'!$B:$H,6,0)&amp;IF(ISBLANK(VLOOKUP($D19,'Tag(Glossary)'!$B:$H,7,0)),"",CHAR(10))&amp;VLOOKUP($D19,'Tag(Glossary)'!$B:$H,7,0)</f>
        <v>Valid count of orders in bid side</v>
      </c>
    </row>
    <row r="20" spans="2:9" ht="15.75" thickBot="1">
      <c r="B20" s="89" t="str">
        <f>INDEX('Interface List'!$D$7:$D$45,MATCH($C20,'Interface List'!$E$7:$E$45,0))</f>
        <v>IFMDFIX0010</v>
      </c>
      <c r="C20" s="86" t="s">
        <v>320</v>
      </c>
      <c r="D20" s="90">
        <v>268</v>
      </c>
      <c r="E20" s="88" t="str">
        <f>VLOOKUP($D20,'Tag(Glossary)'!$B:$G,2,0)</f>
        <v>NoMDEntries</v>
      </c>
      <c r="F20" s="87" t="s">
        <v>85</v>
      </c>
      <c r="G20" s="87" t="str">
        <f>VLOOKUP($D20,'Tag(Glossary)'!$B:$G,4,0)</f>
        <v>Int</v>
      </c>
      <c r="H20" s="87">
        <f>VLOOKUP($D20,'Tag(Glossary)'!$B:$G,5,0)</f>
        <v>9</v>
      </c>
      <c r="I20" s="88" t="str">
        <f>VLOOKUP($D20,'Tag(Glossary)'!$B:$H,6,0)&amp;IF(ISBLANK(VLOOKUP($D20,'Tag(Glossary)'!$B:$H,7,0)),"",CHAR(10))&amp;VLOOKUP($D20,'Tag(Glossary)'!$B:$H,7,0)</f>
        <v>Number(Depth) of market data entries repeated as following</v>
      </c>
    </row>
    <row r="21" spans="2:9">
      <c r="B21" s="240" t="s">
        <v>402</v>
      </c>
      <c r="C21" s="241"/>
      <c r="D21" s="241"/>
      <c r="E21" s="241"/>
      <c r="F21" s="241"/>
      <c r="G21" s="241"/>
      <c r="H21" s="241"/>
      <c r="I21" s="242"/>
    </row>
    <row r="22" spans="2:9">
      <c r="B22" s="91" t="str">
        <f>INDEX('Interface List'!$D$7:$D$45,MATCH($C22,'Interface List'!$E$7:$E$45,0))</f>
        <v>IFMDFIX0010</v>
      </c>
      <c r="C22" s="86" t="s">
        <v>320</v>
      </c>
      <c r="D22" s="87">
        <v>83</v>
      </c>
      <c r="E22" s="88" t="str">
        <f>VLOOKUP($D22,'Tag(Glossary)'!$B:$G,2,0)</f>
        <v>RptSeq</v>
      </c>
      <c r="F22" s="87" t="s">
        <v>85</v>
      </c>
      <c r="G22" s="87" t="str">
        <f>VLOOKUP($D22,'Tag(Glossary)'!$B:$G,4,0)</f>
        <v>Int</v>
      </c>
      <c r="H22" s="87">
        <f>VLOOKUP($D22,'Tag(Glossary)'!$B:$G,5,0)</f>
        <v>9</v>
      </c>
      <c r="I22" s="92" t="str">
        <f>VLOOKUP($D22,'Tag(Glossary)'!$B:$H,6,0)&amp;IF(ISBLANK(VLOOKUP($D22,'Tag(Glossary)'!$B:$H,7,0)),"",CHAR(10))&amp;VLOOKUP($D22,'Tag(Glossary)'!$B:$H,7,0)</f>
        <v>Data sequential number within repeated record</v>
      </c>
    </row>
    <row r="23" spans="2:9" ht="25.5">
      <c r="B23" s="91" t="str">
        <f>INDEX('Interface List'!$D$7:$D$45,MATCH($C23,'Interface List'!$E$7:$E$45,0))</f>
        <v>IFMDFIX0010</v>
      </c>
      <c r="C23" s="86" t="s">
        <v>320</v>
      </c>
      <c r="D23" s="87">
        <v>279</v>
      </c>
      <c r="E23" s="88" t="str">
        <f>VLOOKUP($D23,'Tag(Glossary)'!$B:$G,2,0)</f>
        <v>MDUpdateAction</v>
      </c>
      <c r="F23" s="87" t="s">
        <v>85</v>
      </c>
      <c r="G23" s="87" t="str">
        <f>VLOOKUP($D23,'Tag(Glossary)'!$B:$G,4,0)</f>
        <v>String</v>
      </c>
      <c r="H23" s="87">
        <f>VLOOKUP($D23,'Tag(Glossary)'!$B:$G,5,0)</f>
        <v>1</v>
      </c>
      <c r="I23" s="92" t="str">
        <f>VLOOKUP($D23,'Tag(Glossary)'!$B:$H,6,0)&amp;IF(ISBLANK(VLOOKUP($D23,'Tag(Glossary)'!$B:$H,7,0)),"",CHAR(10))&amp;VLOOKUP($D23,'Tag(Glossary)'!$B:$H,7,0)</f>
        <v xml:space="preserve">Type code of update action for an entry of market data
0 = New </v>
      </c>
    </row>
    <row r="24" spans="2:9" ht="178.5">
      <c r="B24" s="91" t="str">
        <f>INDEX('Interface List'!$D$7:$D$45,MATCH($C24,'Interface List'!$E$7:$E$45,0))</f>
        <v>IFMDFIX0010</v>
      </c>
      <c r="C24" s="86" t="s">
        <v>320</v>
      </c>
      <c r="D24" s="87">
        <v>269</v>
      </c>
      <c r="E24" s="88" t="str">
        <f>VLOOKUP($D24,'Tag(Glossary)'!$B:$G,2,0)</f>
        <v>MDEntryType</v>
      </c>
      <c r="F24" s="87" t="s">
        <v>85</v>
      </c>
      <c r="G24" s="87" t="str">
        <f>VLOOKUP($D24,'Tag(Glossary)'!$B:$G,4,0)</f>
        <v>String</v>
      </c>
      <c r="H24" s="87">
        <f>VLOOKUP($D24,'Tag(Glossary)'!$B:$G,5,0)</f>
        <v>1</v>
      </c>
      <c r="I24" s="92" t="str">
        <f>VLOOKUP($D24,'Tag(Glossary)'!$B:$H,6,0)&amp;IF(ISBLANK(VLOOKUP($D24,'Tag(Glossary)'!$B:$H,7,0)),"",CHAR(10))&amp;VLOOKUP($D24,'Tag(Glossary)'!$B:$H,7,0)</f>
        <v xml:space="preserve">Data classification for an entry of market data
Possible values in message X (Price) .
0 = Bid 
1 = Offer 
2 = Trade 
4 = Opening Price 
7 = Trading Session High Price
8 = Trading Session Low Price
Possible values in message W (Price Recovery) .
0 = Bid 
1 = Offer 
</v>
      </c>
    </row>
    <row r="25" spans="2:9">
      <c r="B25" s="91" t="str">
        <f>INDEX('Interface List'!$D$7:$D$45,MATCH($C25,'Interface List'!$E$7:$E$45,0))</f>
        <v>IFMDFIX0010</v>
      </c>
      <c r="C25" s="86" t="s">
        <v>320</v>
      </c>
      <c r="D25" s="87">
        <v>290</v>
      </c>
      <c r="E25" s="88" t="str">
        <f>VLOOKUP($D25,'Tag(Glossary)'!$B:$G,2,0)</f>
        <v>MDEntryPositionNo</v>
      </c>
      <c r="F25" s="87" t="s">
        <v>85</v>
      </c>
      <c r="G25" s="87" t="str">
        <f>VLOOKUP($D25,'Tag(Glossary)'!$B:$G,4,0)</f>
        <v>Int</v>
      </c>
      <c r="H25" s="87">
        <f>VLOOKUP($D25,'Tag(Glossary)'!$B:$G,5,0)</f>
        <v>2</v>
      </c>
      <c r="I25" s="92" t="str">
        <f>VLOOKUP($D25,'Tag(Glossary)'!$B:$H,6,0)&amp;IF(ISBLANK(VLOOKUP($D25,'Tag(Glossary)'!$B:$H,7,0)),"",CHAR(10))&amp;VLOOKUP($D25,'Tag(Glossary)'!$B:$H,7,0)</f>
        <v>Position no (or level) for an entry of market data</v>
      </c>
    </row>
    <row r="26" spans="2:9">
      <c r="B26" s="91" t="str">
        <f>INDEX('Interface List'!$D$7:$D$45,MATCH($C26,'Interface List'!$E$7:$E$45,0))</f>
        <v>IFMDFIX0010</v>
      </c>
      <c r="C26" s="86" t="s">
        <v>320</v>
      </c>
      <c r="D26" s="87">
        <v>270</v>
      </c>
      <c r="E26" s="88" t="str">
        <f>VLOOKUP($D26,'Tag(Glossary)'!$B:$G,2,0)</f>
        <v>MDEntryPx</v>
      </c>
      <c r="F26" s="87" t="s">
        <v>85</v>
      </c>
      <c r="G26" s="87" t="str">
        <f>VLOOKUP($D26,'Tag(Glossary)'!$B:$G,4,0)</f>
        <v>Price</v>
      </c>
      <c r="H26" s="87" t="str">
        <f>VLOOKUP($D26,'Tag(Glossary)'!$B:$G,5,0)</f>
        <v>15(9.4)</v>
      </c>
      <c r="I26" s="92" t="str">
        <f>VLOOKUP($D26,'Tag(Glossary)'!$B:$H,6,0)&amp;IF(ISBLANK(VLOOKUP($D26,'Tag(Glossary)'!$B:$H,7,0)),"",CHAR(10))&amp;VLOOKUP($D26,'Tag(Glossary)'!$B:$H,7,0)</f>
        <v>Price for an entry of market data</v>
      </c>
    </row>
    <row r="27" spans="2:9">
      <c r="B27" s="91" t="str">
        <f>INDEX('Interface List'!$D$7:$D$45,MATCH($C27,'Interface List'!$E$7:$E$45,0))</f>
        <v>IFMDFIX0010</v>
      </c>
      <c r="C27" s="86" t="s">
        <v>400</v>
      </c>
      <c r="D27" s="87">
        <v>271</v>
      </c>
      <c r="E27" s="88" t="str">
        <f>VLOOKUP($D27,'Tag(Glossary)'!$B:$G,2,0)</f>
        <v>MDEntrySize</v>
      </c>
      <c r="F27" s="87" t="s">
        <v>85</v>
      </c>
      <c r="G27" s="87" t="str">
        <f>VLOOKUP($D27,'Tag(Glossary)'!$B:$G,4,0)</f>
        <v>Int</v>
      </c>
      <c r="H27" s="87">
        <f>VLOOKUP($D27,'Tag(Glossary)'!$B:$G,5,0)</f>
        <v>12</v>
      </c>
      <c r="I27" s="92" t="str">
        <f>VLOOKUP($D27,'Tag(Glossary)'!$B:$H,6,0)&amp;IF(ISBLANK(VLOOKUP($D27,'Tag(Glossary)'!$B:$H,7,0)),"",CHAR(10))&amp;VLOOKUP($D27,'Tag(Glossary)'!$B:$H,7,0)</f>
        <v>Size (or quantity) for an entry of market data</v>
      </c>
    </row>
    <row r="28" spans="2:9">
      <c r="B28" s="91" t="str">
        <f>INDEX('Interface List'!$D$7:$D$45,MATCH($C28,'Interface List'!$E$7:$E$45,0))</f>
        <v>IFMDFIX0010</v>
      </c>
      <c r="C28" s="86" t="s">
        <v>320</v>
      </c>
      <c r="D28" s="87">
        <v>346</v>
      </c>
      <c r="E28" s="88" t="str">
        <f>VLOOKUP($D28,'Tag(Glossary)'!$B:$G,2,0)</f>
        <v>NumberOfOrders</v>
      </c>
      <c r="F28" s="87" t="s">
        <v>1027</v>
      </c>
      <c r="G28" s="87" t="str">
        <f>VLOOKUP($D28,'Tag(Glossary)'!$B:$G,4,0)</f>
        <v>Int</v>
      </c>
      <c r="H28" s="87">
        <f>VLOOKUP($D28,'Tag(Glossary)'!$B:$G,5,0)</f>
        <v>11</v>
      </c>
      <c r="I28" s="92" t="str">
        <f>VLOOKUP($D28,'Tag(Glossary)'!$B:$H,6,0)&amp;IF(ISBLANK(VLOOKUP($D28,'Tag(Glossary)'!$B:$H,7,0)),"",CHAR(10))&amp;VLOOKUP($D28,'Tag(Glossary)'!$B:$H,7,0)</f>
        <v>Number of orders</v>
      </c>
    </row>
    <row r="29" spans="2:9" ht="15.75" thickBot="1">
      <c r="B29" s="93" t="str">
        <f>INDEX('Interface List'!$D$7:$D$45,MATCH($C29,'Interface List'!$E$7:$E$45,0))</f>
        <v>IFMDFIX0010</v>
      </c>
      <c r="C29" s="94" t="s">
        <v>400</v>
      </c>
      <c r="D29" s="95">
        <v>30271</v>
      </c>
      <c r="E29" s="96" t="str">
        <f>VLOOKUP($D29,'Tag(Glossary)'!$B:$G,2,0)</f>
        <v>MDEntryMMSize</v>
      </c>
      <c r="F29" s="95" t="s">
        <v>85</v>
      </c>
      <c r="G29" s="95" t="str">
        <f>VLOOKUP($D29,'Tag(Glossary)'!$B:$G,4,0)</f>
        <v>Int</v>
      </c>
      <c r="H29" s="95">
        <f>VLOOKUP($D29,'Tag(Glossary)'!$B:$G,5,0)</f>
        <v>12</v>
      </c>
      <c r="I29" s="97" t="str">
        <f>VLOOKUP($D29,'Tag(Glossary)'!$B:$H,6,0)&amp;IF(ISBLANK(VLOOKUP($D29,'Tag(Glossary)'!$B:$H,7,0)),"",CHAR(10))&amp;VLOOKUP($D29,'Tag(Glossary)'!$B:$H,7,0)</f>
        <v>Size of the entry provided from market makers</v>
      </c>
    </row>
    <row r="30" spans="2:9">
      <c r="B30" s="86" t="str">
        <f>INDEX('Interface List'!$D$7:$D$45,MATCH($C30,'Interface List'!$E$7:$E$45,0))</f>
        <v>IFMDFIX0010</v>
      </c>
      <c r="C30" s="86" t="s">
        <v>320</v>
      </c>
      <c r="D30" s="87"/>
      <c r="E30" s="88" t="s">
        <v>258</v>
      </c>
      <c r="F30" s="87" t="s">
        <v>85</v>
      </c>
      <c r="G30" s="87"/>
      <c r="H30" s="87"/>
      <c r="I30" s="88"/>
    </row>
  </sheetData>
  <mergeCells count="2">
    <mergeCell ref="B2:I2"/>
    <mergeCell ref="B21:I21"/>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I36"/>
  <sheetViews>
    <sheetView view="pageBreakPreview" zoomScale="115" zoomScaleNormal="75" zoomScaleSheetLayoutView="115" workbookViewId="0">
      <pane xSplit="9" ySplit="4" topLeftCell="J20" activePane="bottomRight" state="frozen"/>
      <selection sqref="A1:XFD1048576"/>
      <selection pane="topRight" sqref="A1:XFD1048576"/>
      <selection pane="bottomLeft" sqref="A1:XFD1048576"/>
      <selection pane="bottomRight" sqref="A1:XFD1048576"/>
    </sheetView>
  </sheetViews>
  <sheetFormatPr defaultColWidth="8.875" defaultRowHeight="15"/>
  <cols>
    <col min="1" max="1" width="1.75" style="7" customWidth="1"/>
    <col min="2" max="2" width="15.125" style="32" bestFit="1" customWidth="1"/>
    <col min="3" max="3" width="17.87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1" spans="1:9">
      <c r="B1" s="98"/>
      <c r="C1" s="98"/>
      <c r="D1" s="98"/>
      <c r="E1" s="99"/>
      <c r="F1" s="98"/>
      <c r="G1" s="100"/>
      <c r="H1" s="98"/>
      <c r="I1" s="100"/>
    </row>
    <row r="2" spans="1:9" ht="18.75" customHeight="1">
      <c r="B2" s="224" t="s">
        <v>322</v>
      </c>
      <c r="C2" s="224"/>
      <c r="D2" s="224"/>
      <c r="E2" s="224"/>
      <c r="F2" s="224"/>
      <c r="G2" s="224"/>
      <c r="H2" s="224"/>
      <c r="I2" s="224"/>
    </row>
    <row r="3" spans="1:9" s="3" customFormat="1">
      <c r="A3" s="5"/>
      <c r="B3" s="101"/>
      <c r="C3" s="101"/>
      <c r="D3" s="101"/>
      <c r="E3" s="101"/>
      <c r="F3" s="101"/>
      <c r="G3" s="101"/>
      <c r="H3" s="101"/>
      <c r="I3" s="101"/>
    </row>
    <row r="4" spans="1:9" s="4" customFormat="1">
      <c r="A4" s="7"/>
      <c r="B4" s="174" t="s">
        <v>785</v>
      </c>
      <c r="C4" s="174" t="s">
        <v>786</v>
      </c>
      <c r="D4" s="174" t="s">
        <v>787</v>
      </c>
      <c r="E4" s="174" t="s">
        <v>788</v>
      </c>
      <c r="F4" s="174" t="s">
        <v>789</v>
      </c>
      <c r="G4" s="174" t="s">
        <v>790</v>
      </c>
      <c r="H4" s="174" t="s">
        <v>791</v>
      </c>
      <c r="I4" s="174" t="s">
        <v>792</v>
      </c>
    </row>
    <row r="5" spans="1:9">
      <c r="B5" s="175" t="str">
        <f>INDEX('Interface List'!$D$7:$D$45,MATCH($C5,'Interface List'!$E$7:$E$45,0))</f>
        <v>IFMDFIX0011</v>
      </c>
      <c r="C5" s="176" t="s">
        <v>403</v>
      </c>
      <c r="D5" s="176"/>
      <c r="E5" s="177" t="s">
        <v>404</v>
      </c>
      <c r="F5" s="176" t="s">
        <v>405</v>
      </c>
      <c r="G5" s="176"/>
      <c r="H5" s="176"/>
      <c r="I5" s="177" t="s">
        <v>406</v>
      </c>
    </row>
    <row r="6" spans="1:9" ht="140.25">
      <c r="B6" s="103" t="str">
        <f>INDEX('Interface List'!$D$7:$D$45,MATCH($C6,'Interface List'!$E$7:$E$45,0))</f>
        <v>IFMDFIX0011</v>
      </c>
      <c r="C6" s="103" t="s">
        <v>403</v>
      </c>
      <c r="D6" s="84">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103" t="str">
        <f>INDEX('Interface List'!$D$7:$D$45,MATCH($C7,'Interface List'!$E$7:$E$45,0))</f>
        <v>IFMDFIX0011</v>
      </c>
      <c r="C7" s="103" t="s">
        <v>403</v>
      </c>
      <c r="D7" s="84">
        <v>20004</v>
      </c>
      <c r="E7" s="85" t="str">
        <f>VLOOKUP($D7,'Tag(Glossary)'!$B:$G,2,0)</f>
        <v>BoardID</v>
      </c>
      <c r="F7" s="84" t="s">
        <v>85</v>
      </c>
      <c r="G7" s="84" t="str">
        <f>VLOOKUP($D7,'Tag(Glossary)'!$B:$G,4,0)</f>
        <v>String</v>
      </c>
      <c r="H7" s="84">
        <f>VLOOKUP($D7,'Tag(Glossary)'!$B:$G,5,0)</f>
        <v>2</v>
      </c>
      <c r="I7" s="85"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B8" s="103" t="str">
        <f>INDEX('Interface List'!$D$7:$D$45,MATCH($C8,'Interface List'!$E$7:$E$45,0))</f>
        <v>IFMDFIX0011</v>
      </c>
      <c r="C8" s="103" t="s">
        <v>403</v>
      </c>
      <c r="D8" s="84">
        <v>336</v>
      </c>
      <c r="E8" s="85" t="str">
        <f>VLOOKUP($D8,'Tag(Glossary)'!$B:$G,2,0)</f>
        <v>TradingSessionID</v>
      </c>
      <c r="F8" s="84" t="s">
        <v>85</v>
      </c>
      <c r="G8" s="84" t="str">
        <f>VLOOKUP($D8,'Tag(Glossary)'!$B:$G,4,0)</f>
        <v>String</v>
      </c>
      <c r="H8" s="84">
        <f>VLOOKUP($D8,'Tag(Glossary)'!$B:$G,5,0)</f>
        <v>2</v>
      </c>
      <c r="I8" s="85"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B9" s="103" t="str">
        <f>INDEX('Interface List'!$D$7:$D$45,MATCH($C9,'Interface List'!$E$7:$E$45,0))</f>
        <v>IFMDFIX0011</v>
      </c>
      <c r="C9" s="103" t="s">
        <v>403</v>
      </c>
      <c r="D9" s="84">
        <v>55</v>
      </c>
      <c r="E9" s="85" t="str">
        <f>VLOOKUP($D9,'Tag(Glossary)'!$B:$G,2,0)</f>
        <v>Symbol</v>
      </c>
      <c r="F9" s="84" t="s">
        <v>85</v>
      </c>
      <c r="G9" s="84" t="str">
        <f>VLOOKUP($D9,'Tag(Glossary)'!$B:$G,4,0)</f>
        <v>String</v>
      </c>
      <c r="H9" s="84">
        <f>VLOOKUP($D9,'Tag(Glossary)'!$B:$G,5,0)</f>
        <v>12</v>
      </c>
      <c r="I9" s="85" t="str">
        <f>VLOOKUP($D9,'Tag(Glossary)'!$B:$H,6,0)&amp;IF(ISBLANK(VLOOKUP($D9,'Tag(Glossary)'!$B:$H,7,0)),"",CHAR(10))&amp;VLOOKUP($D9,'Tag(Glossary)'!$B:$H,7,0)</f>
        <v>The unique code of an issue (a.k.a. instrument or symbol). Generally it is ISIN code but in case of Repo market it is defined as the exchange staffs want</v>
      </c>
    </row>
    <row r="10" spans="1:9">
      <c r="B10" s="103" t="str">
        <f>INDEX('Interface List'!$D$7:$D$45,MATCH($C10,'Interface List'!$E$7:$E$45,0))</f>
        <v>IFMDFIX0011</v>
      </c>
      <c r="C10" s="103" t="s">
        <v>403</v>
      </c>
      <c r="D10" s="84">
        <v>30561</v>
      </c>
      <c r="E10" s="85" t="str">
        <f>VLOOKUP($D10,'Tag(Glossary)'!$B:$G,2,0)</f>
        <v>OpnPx</v>
      </c>
      <c r="F10" s="84" t="s">
        <v>85</v>
      </c>
      <c r="G10" s="84" t="str">
        <f>VLOOKUP($D10,'Tag(Glossary)'!$B:$G,4,0)</f>
        <v>Price</v>
      </c>
      <c r="H10" s="84" t="str">
        <f>VLOOKUP($D10,'Tag(Glossary)'!$B:$G,5,0)</f>
        <v>15(9.4)</v>
      </c>
      <c r="I10" s="85" t="str">
        <f>VLOOKUP($D10,'Tag(Glossary)'!$B:$H,6,0)&amp;IF(ISBLANK(VLOOKUP($D10,'Tag(Glossary)'!$B:$H,7,0)),"",CHAR(10))&amp;VLOOKUP($D10,'Tag(Glossary)'!$B:$H,7,0)</f>
        <v>The first price during that day</v>
      </c>
    </row>
    <row r="11" spans="1:9">
      <c r="B11" s="103" t="str">
        <f>INDEX('Interface List'!$D$7:$D$45,MATCH($C11,'Interface List'!$E$7:$E$45,0))</f>
        <v>IFMDFIX0011</v>
      </c>
      <c r="C11" s="103" t="s">
        <v>403</v>
      </c>
      <c r="D11" s="84">
        <v>30562</v>
      </c>
      <c r="E11" s="85" t="str">
        <f>VLOOKUP($D11,'Tag(Glossary)'!$B:$G,2,0)</f>
        <v>TrdSessnHighPx</v>
      </c>
      <c r="F11" s="84" t="s">
        <v>85</v>
      </c>
      <c r="G11" s="84" t="str">
        <f>VLOOKUP($D11,'Tag(Glossary)'!$B:$G,4,0)</f>
        <v>Price</v>
      </c>
      <c r="H11" s="84" t="str">
        <f>VLOOKUP($D11,'Tag(Glossary)'!$B:$G,5,0)</f>
        <v>15(9.4)</v>
      </c>
      <c r="I11" s="85" t="str">
        <f>VLOOKUP($D11,'Tag(Glossary)'!$B:$H,6,0)&amp;IF(ISBLANK(VLOOKUP($D11,'Tag(Glossary)'!$B:$H,7,0)),"",CHAR(10))&amp;VLOOKUP($D11,'Tag(Glossary)'!$B:$H,7,0)</f>
        <v>Highest price during that day</v>
      </c>
    </row>
    <row r="12" spans="1:9">
      <c r="B12" s="103" t="str">
        <f>INDEX('Interface List'!$D$7:$D$45,MATCH($C12,'Interface List'!$E$7:$E$45,0))</f>
        <v>IFMDFIX0011</v>
      </c>
      <c r="C12" s="103" t="s">
        <v>403</v>
      </c>
      <c r="D12" s="84">
        <v>30563</v>
      </c>
      <c r="E12" s="85" t="str">
        <f>VLOOKUP($D12,'Tag(Glossary)'!$B:$G,2,0)</f>
        <v>TrdSessnLowPx</v>
      </c>
      <c r="F12" s="84" t="s">
        <v>85</v>
      </c>
      <c r="G12" s="84" t="str">
        <f>VLOOKUP($D12,'Tag(Glossary)'!$B:$G,4,0)</f>
        <v>Price</v>
      </c>
      <c r="H12" s="84" t="str">
        <f>VLOOKUP($D12,'Tag(Glossary)'!$B:$G,5,0)</f>
        <v>15(9.4)</v>
      </c>
      <c r="I12" s="85" t="str">
        <f>VLOOKUP($D12,'Tag(Glossary)'!$B:$H,6,0)&amp;IF(ISBLANK(VLOOKUP($D12,'Tag(Glossary)'!$B:$H,7,0)),"",CHAR(10))&amp;VLOOKUP($D12,'Tag(Glossary)'!$B:$H,7,0)</f>
        <v>Lowest price during that day</v>
      </c>
    </row>
    <row r="13" spans="1:9" ht="38.25">
      <c r="B13" s="103" t="str">
        <f>INDEX('Interface List'!$D$7:$D$45,MATCH($C13,'Interface List'!$E$7:$E$45,0))</f>
        <v>IFMDFIX0011</v>
      </c>
      <c r="C13" s="103" t="s">
        <v>403</v>
      </c>
      <c r="D13" s="84">
        <v>20026</v>
      </c>
      <c r="E13" s="85" t="str">
        <f>VLOOKUP($D13,'Tag(Glossary)'!$B:$G,2,0)</f>
        <v>SymbolCloseInfoPx</v>
      </c>
      <c r="F13" s="84" t="s">
        <v>85</v>
      </c>
      <c r="G13" s="84" t="str">
        <f>VLOOKUP($D13,'Tag(Glossary)'!$B:$G,4,0)</f>
        <v>Price</v>
      </c>
      <c r="H13" s="84" t="str">
        <f>VLOOKUP($D13,'Tag(Glossary)'!$B:$G,5,0)</f>
        <v>15(9.4)</v>
      </c>
      <c r="I13" s="85" t="str">
        <f>VLOOKUP($D13,'Tag(Glossary)'!$B:$H,6,0)&amp;IF(ISBLANK(VLOOKUP($D13,'Tag(Glossary)'!$B:$H,7,0)),"",CHAR(10))&amp;VLOOKUP($D13,'Tag(Glossary)'!$B:$H,7,0)</f>
        <v>The last execution price of that day. If there is no execution it is replaced with the reference price, and if no reference price is given then it will be 0 (zero)</v>
      </c>
    </row>
    <row r="14" spans="1:9">
      <c r="B14" s="103" t="str">
        <f>INDEX('Interface List'!$D$7:$D$45,MATCH($C14,'Interface List'!$E$7:$E$45,0))</f>
        <v>IFMDFIX0011</v>
      </c>
      <c r="C14" s="103" t="s">
        <v>322</v>
      </c>
      <c r="D14" s="84">
        <v>30565</v>
      </c>
      <c r="E14" s="85" t="str">
        <f>VLOOKUP($D14,'Tag(Glossary)'!$B:$G,2,0)</f>
        <v>OpnPxYld</v>
      </c>
      <c r="F14" s="84" t="s">
        <v>85</v>
      </c>
      <c r="G14" s="84" t="str">
        <f>VLOOKUP($D14,'Tag(Glossary)'!$B:$G,4,0)</f>
        <v>Float</v>
      </c>
      <c r="H14" s="84" t="str">
        <f>VLOOKUP($D14,'Tag(Glossary)'!$B:$G,5,0)</f>
        <v>13(5.6)</v>
      </c>
      <c r="I14" s="85" t="str">
        <f>VLOOKUP($D14,'Tag(Glossary)'!$B:$H,6,0)&amp;IF(ISBLANK(VLOOKUP($D14,'Tag(Glossary)'!$B:$H,7,0)),"",CHAR(10))&amp;VLOOKUP($D14,'Tag(Glossary)'!$B:$H,7,0)</f>
        <v>Yield rate for opening price</v>
      </c>
    </row>
    <row r="15" spans="1:9">
      <c r="B15" s="103" t="str">
        <f>INDEX('Interface List'!$D$7:$D$45,MATCH($C15,'Interface List'!$E$7:$E$45,0))</f>
        <v>IFMDFIX0011</v>
      </c>
      <c r="C15" s="103" t="s">
        <v>322</v>
      </c>
      <c r="D15" s="84">
        <v>30566</v>
      </c>
      <c r="E15" s="85" t="str">
        <f>VLOOKUP($D15,'Tag(Glossary)'!$B:$G,2,0)</f>
        <v>TrdSessnHighPxYld</v>
      </c>
      <c r="F15" s="84" t="s">
        <v>85</v>
      </c>
      <c r="G15" s="84" t="str">
        <f>VLOOKUP($D15,'Tag(Glossary)'!$B:$G,4,0)</f>
        <v>Float</v>
      </c>
      <c r="H15" s="84" t="str">
        <f>VLOOKUP($D15,'Tag(Glossary)'!$B:$G,5,0)</f>
        <v>13(5.6)</v>
      </c>
      <c r="I15" s="85" t="str">
        <f>VLOOKUP($D15,'Tag(Glossary)'!$B:$H,6,0)&amp;IF(ISBLANK(VLOOKUP($D15,'Tag(Glossary)'!$B:$H,7,0)),"",CHAR(10))&amp;VLOOKUP($D15,'Tag(Glossary)'!$B:$H,7,0)</f>
        <v>Yield rate for high price</v>
      </c>
    </row>
    <row r="16" spans="1:9">
      <c r="B16" s="103" t="str">
        <f>INDEX('Interface List'!$D$7:$D$45,MATCH($C16,'Interface List'!$E$7:$E$45,0))</f>
        <v>IFMDFIX0011</v>
      </c>
      <c r="C16" s="103" t="s">
        <v>322</v>
      </c>
      <c r="D16" s="84">
        <v>30567</v>
      </c>
      <c r="E16" s="85" t="str">
        <f>VLOOKUP($D16,'Tag(Glossary)'!$B:$G,2,0)</f>
        <v>TrdSessnLowPxYld</v>
      </c>
      <c r="F16" s="84" t="s">
        <v>85</v>
      </c>
      <c r="G16" s="84" t="str">
        <f>VLOOKUP($D16,'Tag(Glossary)'!$B:$G,4,0)</f>
        <v>Float</v>
      </c>
      <c r="H16" s="84" t="str">
        <f>VLOOKUP($D16,'Tag(Glossary)'!$B:$G,5,0)</f>
        <v>13(5.6)</v>
      </c>
      <c r="I16" s="85" t="str">
        <f>VLOOKUP($D16,'Tag(Glossary)'!$B:$H,6,0)&amp;IF(ISBLANK(VLOOKUP($D16,'Tag(Glossary)'!$B:$H,7,0)),"",CHAR(10))&amp;VLOOKUP($D16,'Tag(Glossary)'!$B:$H,7,0)</f>
        <v>Yield rate for low price</v>
      </c>
    </row>
    <row r="17" spans="2:9">
      <c r="B17" s="103" t="str">
        <f>INDEX('Interface List'!$D$7:$D$45,MATCH($C17,'Interface List'!$E$7:$E$45,0))</f>
        <v>IFMDFIX0011</v>
      </c>
      <c r="C17" s="103" t="s">
        <v>322</v>
      </c>
      <c r="D17" s="84">
        <v>30568</v>
      </c>
      <c r="E17" s="85" t="str">
        <f>VLOOKUP($D17,'Tag(Glossary)'!$B:$G,2,0)</f>
        <v>ClsPxYld</v>
      </c>
      <c r="F17" s="84" t="s">
        <v>85</v>
      </c>
      <c r="G17" s="84" t="str">
        <f>VLOOKUP($D17,'Tag(Glossary)'!$B:$G,4,0)</f>
        <v>Float</v>
      </c>
      <c r="H17" s="84" t="str">
        <f>VLOOKUP($D17,'Tag(Glossary)'!$B:$G,5,0)</f>
        <v>13(5.6)</v>
      </c>
      <c r="I17" s="85" t="str">
        <f>VLOOKUP($D17,'Tag(Glossary)'!$B:$H,6,0)&amp;IF(ISBLANK(VLOOKUP($D17,'Tag(Glossary)'!$B:$H,7,0)),"",CHAR(10))&amp;VLOOKUP($D17,'Tag(Glossary)'!$B:$H,7,0)</f>
        <v>Final yield of a bond calculated using the closing price of that day</v>
      </c>
    </row>
    <row r="18" spans="2:9">
      <c r="B18" s="103" t="str">
        <f>INDEX('Interface List'!$D$7:$D$45,MATCH($C18,'Interface List'!$E$7:$E$45,0))</f>
        <v>IFMDFIX0011</v>
      </c>
      <c r="C18" s="103" t="s">
        <v>322</v>
      </c>
      <c r="D18" s="84">
        <v>387</v>
      </c>
      <c r="E18" s="85" t="str">
        <f>VLOOKUP($D18,'Tag(Glossary)'!$B:$G,2,0)</f>
        <v>TotalVolumeTraded</v>
      </c>
      <c r="F18" s="84" t="s">
        <v>85</v>
      </c>
      <c r="G18" s="84" t="str">
        <f>VLOOKUP($D18,'Tag(Glossary)'!$B:$G,4,0)</f>
        <v>Int</v>
      </c>
      <c r="H18" s="84">
        <f>VLOOKUP($D18,'Tag(Glossary)'!$B:$G,5,0)</f>
        <v>12</v>
      </c>
      <c r="I18" s="85" t="str">
        <f>VLOOKUP($D18,'Tag(Glossary)'!$B:$H,6,0)&amp;IF(ISBLANK(VLOOKUP($D18,'Tag(Glossary)'!$B:$H,7,0)),"",CHAR(10))&amp;VLOOKUP($D18,'Tag(Glossary)'!$B:$H,7,0)</f>
        <v>Total volume traded</v>
      </c>
    </row>
    <row r="19" spans="2:9">
      <c r="B19" s="103" t="str">
        <f>INDEX('Interface List'!$D$7:$D$45,MATCH($C19,'Interface List'!$E$7:$E$45,0))</f>
        <v>IFMDFIX0011</v>
      </c>
      <c r="C19" s="103" t="s">
        <v>322</v>
      </c>
      <c r="D19" s="84">
        <v>381</v>
      </c>
      <c r="E19" s="85" t="str">
        <f>VLOOKUP($D19,'Tag(Glossary)'!$B:$G,2,0)</f>
        <v>GrossTradeAmt</v>
      </c>
      <c r="F19" s="84" t="s">
        <v>85</v>
      </c>
      <c r="G19" s="84" t="str">
        <f>VLOOKUP($D19,'Tag(Glossary)'!$B:$G,4,0)</f>
        <v>Float</v>
      </c>
      <c r="H19" s="84" t="str">
        <f>VLOOKUP($D19,'Tag(Glossary)'!$B:$G,5,0)</f>
        <v>23(18.4)</v>
      </c>
      <c r="I19" s="85" t="str">
        <f>VLOOKUP($D19,'Tag(Glossary)'!$B:$H,6,0)&amp;IF(ISBLANK(VLOOKUP($D19,'Tag(Glossary)'!$B:$H,7,0)),"",CHAR(10))&amp;VLOOKUP($D19,'Tag(Glossary)'!$B:$H,7,0)</f>
        <v>Gross amount traded</v>
      </c>
    </row>
    <row r="20" spans="2:9">
      <c r="B20" s="103" t="str">
        <f>INDEX('Interface List'!$D$7:$D$45,MATCH($C20,'Interface List'!$E$7:$E$45,0))</f>
        <v>IFMDFIX0011</v>
      </c>
      <c r="C20" s="103" t="s">
        <v>322</v>
      </c>
      <c r="D20" s="84">
        <v>30521</v>
      </c>
      <c r="E20" s="85" t="str">
        <f>VLOOKUP($D20,'Tag(Glossary)'!$B:$G,2,0)</f>
        <v>SellTotOrderQty</v>
      </c>
      <c r="F20" s="84" t="s">
        <v>1027</v>
      </c>
      <c r="G20" s="84" t="str">
        <f>VLOOKUP($D20,'Tag(Glossary)'!$B:$G,4,0)</f>
        <v>Int</v>
      </c>
      <c r="H20" s="84">
        <f>VLOOKUP($D20,'Tag(Glossary)'!$B:$G,5,0)</f>
        <v>12</v>
      </c>
      <c r="I20" s="85" t="str">
        <f>VLOOKUP($D20,'Tag(Glossary)'!$B:$H,6,0)&amp;IF(ISBLANK(VLOOKUP($D20,'Tag(Glossary)'!$B:$H,7,0)),"",CHAR(10))&amp;VLOOKUP($D20,'Tag(Glossary)'!$B:$H,7,0)</f>
        <v>Total quantity of remaining orders in ask side</v>
      </c>
    </row>
    <row r="21" spans="2:9">
      <c r="B21" s="103" t="str">
        <f>INDEX('Interface List'!$D$7:$D$45,MATCH($C21,'Interface List'!$E$7:$E$45,0))</f>
        <v>IFMDFIX0011</v>
      </c>
      <c r="C21" s="103" t="s">
        <v>322</v>
      </c>
      <c r="D21" s="84">
        <v>30522</v>
      </c>
      <c r="E21" s="85" t="str">
        <f>VLOOKUP($D21,'Tag(Glossary)'!$B:$G,2,0)</f>
        <v>BuyTotOrderQty</v>
      </c>
      <c r="F21" s="84" t="s">
        <v>1027</v>
      </c>
      <c r="G21" s="84" t="str">
        <f>VLOOKUP($D21,'Tag(Glossary)'!$B:$G,4,0)</f>
        <v>Int</v>
      </c>
      <c r="H21" s="84">
        <f>VLOOKUP($D21,'Tag(Glossary)'!$B:$G,5,0)</f>
        <v>12</v>
      </c>
      <c r="I21" s="85" t="str">
        <f>VLOOKUP($D21,'Tag(Glossary)'!$B:$H,6,0)&amp;IF(ISBLANK(VLOOKUP($D21,'Tag(Glossary)'!$B:$H,7,0)),"",CHAR(10))&amp;VLOOKUP($D21,'Tag(Glossary)'!$B:$H,7,0)</f>
        <v>Total quantity of remaining orders in bid side</v>
      </c>
    </row>
    <row r="22" spans="2:9">
      <c r="B22" s="103" t="str">
        <f>INDEX('Interface List'!$D$7:$D$45,MATCH($C22,'Interface List'!$E$7:$E$45,0))</f>
        <v>IFMDFIX0011</v>
      </c>
      <c r="C22" s="103" t="s">
        <v>322</v>
      </c>
      <c r="D22" s="84">
        <v>30523</v>
      </c>
      <c r="E22" s="85" t="str">
        <f>VLOOKUP($D22,'Tag(Glossary)'!$B:$G,2,0)</f>
        <v>SellValidOrderCnt</v>
      </c>
      <c r="F22" s="84" t="s">
        <v>1029</v>
      </c>
      <c r="G22" s="84" t="str">
        <f>VLOOKUP($D22,'Tag(Glossary)'!$B:$G,4,0)</f>
        <v>Int</v>
      </c>
      <c r="H22" s="84">
        <f>VLOOKUP($D22,'Tag(Glossary)'!$B:$G,5,0)</f>
        <v>11</v>
      </c>
      <c r="I22" s="85" t="str">
        <f>VLOOKUP($D22,'Tag(Glossary)'!$B:$H,6,0)&amp;IF(ISBLANK(VLOOKUP($D22,'Tag(Glossary)'!$B:$H,7,0)),"",CHAR(10))&amp;VLOOKUP($D22,'Tag(Glossary)'!$B:$H,7,0)</f>
        <v>Valid count of orders in ask side</v>
      </c>
    </row>
    <row r="23" spans="2:9">
      <c r="B23" s="103" t="str">
        <f>INDEX('Interface List'!$D$7:$D$45,MATCH($C23,'Interface List'!$E$7:$E$45,0))</f>
        <v>IFMDFIX0011</v>
      </c>
      <c r="C23" s="103" t="s">
        <v>322</v>
      </c>
      <c r="D23" s="84">
        <v>30524</v>
      </c>
      <c r="E23" s="85" t="str">
        <f>VLOOKUP($D23,'Tag(Glossary)'!$B:$G,2,0)</f>
        <v>BuyValidOrderCnt</v>
      </c>
      <c r="F23" s="84" t="s">
        <v>1029</v>
      </c>
      <c r="G23" s="84" t="str">
        <f>VLOOKUP($D23,'Tag(Glossary)'!$B:$G,4,0)</f>
        <v>Int</v>
      </c>
      <c r="H23" s="84">
        <f>VLOOKUP($D23,'Tag(Glossary)'!$B:$G,5,0)</f>
        <v>11</v>
      </c>
      <c r="I23" s="85" t="str">
        <f>VLOOKUP($D23,'Tag(Glossary)'!$B:$H,6,0)&amp;IF(ISBLANK(VLOOKUP($D23,'Tag(Glossary)'!$B:$H,7,0)),"",CHAR(10))&amp;VLOOKUP($D23,'Tag(Glossary)'!$B:$H,7,0)</f>
        <v>Valid count of orders in bid side</v>
      </c>
    </row>
    <row r="24" spans="2:9" ht="15.75" thickBot="1">
      <c r="B24" s="104" t="str">
        <f>INDEX('Interface List'!$D$7:$D$45,MATCH($C24,'Interface List'!$E$7:$E$45,0))</f>
        <v>IFMDFIX0011</v>
      </c>
      <c r="C24" s="103" t="s">
        <v>322</v>
      </c>
      <c r="D24" s="105">
        <v>268</v>
      </c>
      <c r="E24" s="85" t="str">
        <f>VLOOKUP($D24,'Tag(Glossary)'!$B:$G,2,0)</f>
        <v>NoMDEntries</v>
      </c>
      <c r="F24" s="84" t="s">
        <v>85</v>
      </c>
      <c r="G24" s="84" t="str">
        <f>VLOOKUP($D24,'Tag(Glossary)'!$B:$G,4,0)</f>
        <v>Int</v>
      </c>
      <c r="H24" s="84">
        <f>VLOOKUP($D24,'Tag(Glossary)'!$B:$G,5,0)</f>
        <v>9</v>
      </c>
      <c r="I24" s="85" t="str">
        <f>VLOOKUP($D24,'Tag(Glossary)'!$B:$H,6,0)&amp;IF(ISBLANK(VLOOKUP($D24,'Tag(Glossary)'!$B:$H,7,0)),"",CHAR(10))&amp;VLOOKUP($D24,'Tag(Glossary)'!$B:$H,7,0)</f>
        <v>Number(Depth) of market data entries repeated as following</v>
      </c>
    </row>
    <row r="25" spans="2:9">
      <c r="B25" s="240" t="s">
        <v>402</v>
      </c>
      <c r="C25" s="241"/>
      <c r="D25" s="241"/>
      <c r="E25" s="241"/>
      <c r="F25" s="241"/>
      <c r="G25" s="241"/>
      <c r="H25" s="241"/>
      <c r="I25" s="242"/>
    </row>
    <row r="26" spans="2:9">
      <c r="B26" s="106" t="str">
        <f>INDEX('Interface List'!$D$7:$D$45,MATCH($C26,'Interface List'!$E$7:$E$45,0))</f>
        <v>IFMDFIX0011</v>
      </c>
      <c r="C26" s="103" t="s">
        <v>322</v>
      </c>
      <c r="D26" s="84">
        <v>83</v>
      </c>
      <c r="E26" s="85" t="str">
        <f>VLOOKUP($D26,'Tag(Glossary)'!$B:$G,2,0)</f>
        <v>RptSeq</v>
      </c>
      <c r="F26" s="84" t="s">
        <v>85</v>
      </c>
      <c r="G26" s="84" t="str">
        <f>VLOOKUP($D26,'Tag(Glossary)'!$B:$G,4,0)</f>
        <v>Int</v>
      </c>
      <c r="H26" s="84">
        <f>VLOOKUP($D26,'Tag(Glossary)'!$B:$G,5,0)</f>
        <v>9</v>
      </c>
      <c r="I26" s="107" t="str">
        <f>VLOOKUP($D26,'Tag(Glossary)'!$B:$H,6,0)&amp;IF(ISBLANK(VLOOKUP($D26,'Tag(Glossary)'!$B:$H,7,0)),"",CHAR(10))&amp;VLOOKUP($D26,'Tag(Glossary)'!$B:$H,7,0)</f>
        <v>Data sequential number within repeated record</v>
      </c>
    </row>
    <row r="27" spans="2:9" ht="25.5">
      <c r="B27" s="106" t="str">
        <f>INDEX('Interface List'!$D$7:$D$45,MATCH($C27,'Interface List'!$E$7:$E$45,0))</f>
        <v>IFMDFIX0011</v>
      </c>
      <c r="C27" s="103" t="s">
        <v>322</v>
      </c>
      <c r="D27" s="84">
        <v>279</v>
      </c>
      <c r="E27" s="85" t="str">
        <f>VLOOKUP($D27,'Tag(Glossary)'!$B:$G,2,0)</f>
        <v>MDUpdateAction</v>
      </c>
      <c r="F27" s="84" t="s">
        <v>85</v>
      </c>
      <c r="G27" s="84" t="str">
        <f>VLOOKUP($D27,'Tag(Glossary)'!$B:$G,4,0)</f>
        <v>String</v>
      </c>
      <c r="H27" s="84">
        <f>VLOOKUP($D27,'Tag(Glossary)'!$B:$G,5,0)</f>
        <v>1</v>
      </c>
      <c r="I27" s="107" t="str">
        <f>VLOOKUP($D27,'Tag(Glossary)'!$B:$H,6,0)&amp;IF(ISBLANK(VLOOKUP($D27,'Tag(Glossary)'!$B:$H,7,0)),"",CHAR(10))&amp;VLOOKUP($D27,'Tag(Glossary)'!$B:$H,7,0)</f>
        <v xml:space="preserve">Type code of update action for an entry of market data
0 = New </v>
      </c>
    </row>
    <row r="28" spans="2:9" ht="178.5">
      <c r="B28" s="106" t="str">
        <f>INDEX('Interface List'!$D$7:$D$45,MATCH($C28,'Interface List'!$E$7:$E$45,0))</f>
        <v>IFMDFIX0011</v>
      </c>
      <c r="C28" s="103" t="s">
        <v>322</v>
      </c>
      <c r="D28" s="84">
        <v>269</v>
      </c>
      <c r="E28" s="85" t="str">
        <f>VLOOKUP($D28,'Tag(Glossary)'!$B:$G,2,0)</f>
        <v>MDEntryType</v>
      </c>
      <c r="F28" s="84" t="s">
        <v>85</v>
      </c>
      <c r="G28" s="84" t="str">
        <f>VLOOKUP($D28,'Tag(Glossary)'!$B:$G,4,0)</f>
        <v>String</v>
      </c>
      <c r="H28" s="84">
        <f>VLOOKUP($D28,'Tag(Glossary)'!$B:$G,5,0)</f>
        <v>1</v>
      </c>
      <c r="I28" s="107" t="str">
        <f>VLOOKUP($D28,'Tag(Glossary)'!$B:$H,6,0)&amp;IF(ISBLANK(VLOOKUP($D28,'Tag(Glossary)'!$B:$H,7,0)),"",CHAR(10))&amp;VLOOKUP($D28,'Tag(Glossary)'!$B:$H,7,0)</f>
        <v xml:space="preserve">Data classification for an entry of market data
Possible values in message X (Price) .
0 = Bid 
1 = Offer 
2 = Trade 
4 = Opening Price 
7 = Trading Session High Price
8 = Trading Session Low Price
Possible values in message W (Price Recovery) .
0 = Bid 
1 = Offer 
</v>
      </c>
    </row>
    <row r="29" spans="2:9">
      <c r="B29" s="106" t="str">
        <f>INDEX('Interface List'!$D$7:$D$45,MATCH($C29,'Interface List'!$E$7:$E$45,0))</f>
        <v>IFMDFIX0011</v>
      </c>
      <c r="C29" s="103" t="s">
        <v>322</v>
      </c>
      <c r="D29" s="84">
        <v>290</v>
      </c>
      <c r="E29" s="85" t="str">
        <f>VLOOKUP($D29,'Tag(Glossary)'!$B:$G,2,0)</f>
        <v>MDEntryPositionNo</v>
      </c>
      <c r="F29" s="84" t="s">
        <v>85</v>
      </c>
      <c r="G29" s="84" t="str">
        <f>VLOOKUP($D29,'Tag(Glossary)'!$B:$G,4,0)</f>
        <v>Int</v>
      </c>
      <c r="H29" s="84">
        <f>VLOOKUP($D29,'Tag(Glossary)'!$B:$G,5,0)</f>
        <v>2</v>
      </c>
      <c r="I29" s="107" t="str">
        <f>VLOOKUP($D29,'Tag(Glossary)'!$B:$H,6,0)&amp;IF(ISBLANK(VLOOKUP($D29,'Tag(Glossary)'!$B:$H,7,0)),"",CHAR(10))&amp;VLOOKUP($D29,'Tag(Glossary)'!$B:$H,7,0)</f>
        <v>Position no (or level) for an entry of market data</v>
      </c>
    </row>
    <row r="30" spans="2:9">
      <c r="B30" s="106" t="str">
        <f>INDEX('Interface List'!$D$7:$D$45,MATCH($C30,'Interface List'!$E$7:$E$45,0))</f>
        <v>IFMDFIX0011</v>
      </c>
      <c r="C30" s="103" t="s">
        <v>322</v>
      </c>
      <c r="D30" s="84">
        <v>270</v>
      </c>
      <c r="E30" s="85" t="str">
        <f>VLOOKUP($D30,'Tag(Glossary)'!$B:$G,2,0)</f>
        <v>MDEntryPx</v>
      </c>
      <c r="F30" s="84" t="s">
        <v>85</v>
      </c>
      <c r="G30" s="84" t="str">
        <f>VLOOKUP($D30,'Tag(Glossary)'!$B:$G,4,0)</f>
        <v>Price</v>
      </c>
      <c r="H30" s="84" t="str">
        <f>VLOOKUP($D30,'Tag(Glossary)'!$B:$G,5,0)</f>
        <v>15(9.4)</v>
      </c>
      <c r="I30" s="107" t="str">
        <f>VLOOKUP($D30,'Tag(Glossary)'!$B:$H,6,0)&amp;IF(ISBLANK(VLOOKUP($D30,'Tag(Glossary)'!$B:$H,7,0)),"",CHAR(10))&amp;VLOOKUP($D30,'Tag(Glossary)'!$B:$H,7,0)</f>
        <v>Price for an entry of market data</v>
      </c>
    </row>
    <row r="31" spans="2:9">
      <c r="B31" s="106" t="str">
        <f>INDEX('Interface List'!$D$7:$D$45,MATCH($C31,'Interface List'!$E$7:$E$45,0))</f>
        <v>IFMDFIX0011</v>
      </c>
      <c r="C31" s="103" t="s">
        <v>322</v>
      </c>
      <c r="D31" s="84">
        <v>271</v>
      </c>
      <c r="E31" s="85" t="str">
        <f>VLOOKUP($D31,'Tag(Glossary)'!$B:$G,2,0)</f>
        <v>MDEntrySize</v>
      </c>
      <c r="F31" s="84" t="s">
        <v>85</v>
      </c>
      <c r="G31" s="84" t="str">
        <f>VLOOKUP($D31,'Tag(Glossary)'!$B:$G,4,0)</f>
        <v>Int</v>
      </c>
      <c r="H31" s="84">
        <f>VLOOKUP($D31,'Tag(Glossary)'!$B:$G,5,0)</f>
        <v>12</v>
      </c>
      <c r="I31" s="107" t="str">
        <f>VLOOKUP($D31,'Tag(Glossary)'!$B:$H,6,0)&amp;IF(ISBLANK(VLOOKUP($D31,'Tag(Glossary)'!$B:$H,7,0)),"",CHAR(10))&amp;VLOOKUP($D31,'Tag(Glossary)'!$B:$H,7,0)</f>
        <v>Size (or quantity) for an entry of market data</v>
      </c>
    </row>
    <row r="32" spans="2:9">
      <c r="B32" s="106" t="str">
        <f>INDEX('Interface List'!$D$7:$D$45,MATCH($C32,'Interface List'!$E$7:$E$45,0))</f>
        <v>IFMDFIX0011</v>
      </c>
      <c r="C32" s="103" t="s">
        <v>322</v>
      </c>
      <c r="D32" s="84">
        <v>346</v>
      </c>
      <c r="E32" s="85" t="str">
        <f>VLOOKUP($D32,'Tag(Glossary)'!$B:$G,2,0)</f>
        <v>NumberOfOrders</v>
      </c>
      <c r="F32" s="84" t="s">
        <v>1027</v>
      </c>
      <c r="G32" s="84" t="str">
        <f>VLOOKUP($D32,'Tag(Glossary)'!$B:$G,4,0)</f>
        <v>Int</v>
      </c>
      <c r="H32" s="84">
        <f>VLOOKUP($D32,'Tag(Glossary)'!$B:$G,5,0)</f>
        <v>11</v>
      </c>
      <c r="I32" s="107" t="str">
        <f>VLOOKUP($D32,'Tag(Glossary)'!$B:$H,6,0)&amp;IF(ISBLANK(VLOOKUP($D32,'Tag(Glossary)'!$B:$H,7,0)),"",CHAR(10))&amp;VLOOKUP($D32,'Tag(Glossary)'!$B:$H,7,0)</f>
        <v>Number of orders</v>
      </c>
    </row>
    <row r="33" spans="2:9">
      <c r="B33" s="108" t="str">
        <f>INDEX('Interface List'!$D$7:$D$45,MATCH($C33,'Interface List'!$E$7:$E$45,0))</f>
        <v>IFMDFIX0011</v>
      </c>
      <c r="C33" s="103" t="s">
        <v>322</v>
      </c>
      <c r="D33" s="105">
        <v>30270</v>
      </c>
      <c r="E33" s="85" t="str">
        <f>VLOOKUP($D33,'Tag(Glossary)'!$B:$G,2,0)</f>
        <v>MDEntryYield</v>
      </c>
      <c r="F33" s="84" t="s">
        <v>85</v>
      </c>
      <c r="G33" s="84" t="str">
        <f>VLOOKUP($D33,'Tag(Glossary)'!$B:$G,4,0)</f>
        <v>Float</v>
      </c>
      <c r="H33" s="84" t="str">
        <f>VLOOKUP($D33,'Tag(Glossary)'!$B:$G,5,0)</f>
        <v>13(5.6)</v>
      </c>
      <c r="I33" s="107" t="str">
        <f>VLOOKUP($D33,'Tag(Glossary)'!$B:$H,6,0)&amp;IF(ISBLANK(VLOOKUP($D33,'Tag(Glossary)'!$B:$H,7,0)),"",CHAR(10))&amp;VLOOKUP($D33,'Tag(Glossary)'!$B:$H,7,0)</f>
        <v>Yield of the entry. Bond market only.</v>
      </c>
    </row>
    <row r="34" spans="2:9" ht="15.75" thickBot="1">
      <c r="B34" s="109" t="str">
        <f>INDEX('Interface List'!$D$7:$D$45,MATCH($C34,'Interface List'!$E$7:$E$45,0))</f>
        <v>IFMDFIX0011</v>
      </c>
      <c r="C34" s="110" t="s">
        <v>322</v>
      </c>
      <c r="D34" s="82">
        <v>30271</v>
      </c>
      <c r="E34" s="83" t="str">
        <f>VLOOKUP($D34,'Tag(Glossary)'!$B:$G,2,0)</f>
        <v>MDEntryMMSize</v>
      </c>
      <c r="F34" s="82" t="s">
        <v>85</v>
      </c>
      <c r="G34" s="82" t="str">
        <f>VLOOKUP($D34,'Tag(Glossary)'!$B:$G,4,0)</f>
        <v>Int</v>
      </c>
      <c r="H34" s="82">
        <f>VLOOKUP($D34,'Tag(Glossary)'!$B:$G,5,0)</f>
        <v>12</v>
      </c>
      <c r="I34" s="111" t="str">
        <f>VLOOKUP($D34,'Tag(Glossary)'!$B:$H,6,0)&amp;IF(ISBLANK(VLOOKUP($D34,'Tag(Glossary)'!$B:$H,7,0)),"",CHAR(10))&amp;VLOOKUP($D34,'Tag(Glossary)'!$B:$H,7,0)</f>
        <v>Size of the entry provided from market makers</v>
      </c>
    </row>
    <row r="35" spans="2:9">
      <c r="B35" s="103" t="str">
        <f>INDEX('Interface List'!$D$7:$D$45,MATCH($C35,'Interface List'!$E$7:$E$45,0))</f>
        <v>IFMDFIX0011</v>
      </c>
      <c r="C35" s="103" t="s">
        <v>322</v>
      </c>
      <c r="D35" s="84"/>
      <c r="E35" s="85" t="s">
        <v>258</v>
      </c>
      <c r="F35" s="84" t="s">
        <v>85</v>
      </c>
      <c r="G35" s="84"/>
      <c r="H35" s="84"/>
      <c r="I35" s="85"/>
    </row>
    <row r="36" spans="2:9">
      <c r="B36" s="98"/>
      <c r="C36" s="98"/>
      <c r="D36" s="98"/>
      <c r="E36" s="99"/>
      <c r="F36" s="98"/>
      <c r="G36" s="100"/>
      <c r="H36" s="98"/>
      <c r="I36" s="100"/>
    </row>
  </sheetData>
  <mergeCells count="2">
    <mergeCell ref="B2:I2"/>
    <mergeCell ref="B25:I25"/>
  </mergeCells>
  <phoneticPr fontId="8" type="noConversion"/>
  <printOptions horizontalCentered="1"/>
  <pageMargins left="0.35433070866141736" right="0.27559055118110237" top="0.43307086614173229" bottom="0.51181102362204722" header="0.27559055118110237" footer="0.19685039370078741"/>
  <pageSetup paperSize="9" scale="69" orientation="portrait" r:id="rId1"/>
  <headerFooter alignWithMargins="0">
    <oddFooter>&amp;C&amp;10&amp;P/&amp;N&amp; Information Technology Service Agreement&amp;R&amp;G</oddFoot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2:I16"/>
  <sheetViews>
    <sheetView tabSelected="1" view="pageBreakPreview" zoomScale="115" zoomScaleNormal="75" zoomScaleSheetLayoutView="115" workbookViewId="0">
      <pane xSplit="9" ySplit="4" topLeftCell="J9" activePane="bottomRight" state="frozen"/>
      <selection sqref="A1:XFD1048576"/>
      <selection pane="topRight" sqref="A1:XFD1048576"/>
      <selection pane="bottomLeft" sqref="A1:XFD1048576"/>
      <selection pane="bottomRight" activeCell="B1" sqref="B1:I17"/>
    </sheetView>
  </sheetViews>
  <sheetFormatPr defaultColWidth="8.875" defaultRowHeight="15"/>
  <cols>
    <col min="1" max="1" width="1.75" style="7" customWidth="1"/>
    <col min="2" max="2" width="15.125" style="32" bestFit="1" customWidth="1"/>
    <col min="3" max="3" width="22.87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1056</v>
      </c>
      <c r="C2" s="224"/>
      <c r="D2" s="224"/>
      <c r="E2" s="224"/>
      <c r="F2" s="224"/>
      <c r="G2" s="224"/>
      <c r="H2" s="224"/>
      <c r="I2" s="224"/>
    </row>
    <row r="3" spans="1:9" s="3" customFormat="1">
      <c r="A3" s="5"/>
      <c r="B3" s="33"/>
      <c r="C3" s="33"/>
      <c r="D3" s="33"/>
      <c r="E3" s="33"/>
      <c r="F3" s="33"/>
      <c r="G3" s="33"/>
      <c r="H3" s="33"/>
      <c r="I3" s="33"/>
    </row>
    <row r="4" spans="1:9" s="4" customFormat="1">
      <c r="A4" s="7"/>
      <c r="B4" s="174" t="s">
        <v>90</v>
      </c>
      <c r="C4" s="174" t="s">
        <v>104</v>
      </c>
      <c r="D4" s="174" t="s">
        <v>84</v>
      </c>
      <c r="E4" s="174" t="s">
        <v>98</v>
      </c>
      <c r="F4" s="174" t="s">
        <v>99</v>
      </c>
      <c r="G4" s="174" t="s">
        <v>100</v>
      </c>
      <c r="H4" s="174" t="s">
        <v>101</v>
      </c>
      <c r="I4" s="174" t="s">
        <v>102</v>
      </c>
    </row>
    <row r="5" spans="1:9">
      <c r="B5" s="166" t="str">
        <f>INDEX('Interface List'!$D$7:$D$45,MATCH($C5,'Interface List'!$E$7:$E$45,0))</f>
        <v>IFMDFIX0012</v>
      </c>
      <c r="C5" s="172" t="s">
        <v>1056</v>
      </c>
      <c r="D5" s="172"/>
      <c r="E5" s="173" t="s">
        <v>109</v>
      </c>
      <c r="F5" s="172" t="s">
        <v>86</v>
      </c>
      <c r="G5" s="172"/>
      <c r="H5" s="172"/>
      <c r="I5" s="173" t="s">
        <v>401</v>
      </c>
    </row>
    <row r="6" spans="1:9" ht="140.25">
      <c r="B6" s="86" t="str">
        <f>INDEX('Interface List'!$D$7:$D$45,MATCH($C6,'Interface List'!$E$7:$E$45,0))</f>
        <v>IFMDFIX0012</v>
      </c>
      <c r="C6" s="172" t="s">
        <v>1056</v>
      </c>
      <c r="D6" s="87">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86" t="str">
        <f>INDEX('Interface List'!$D$7:$D$45,MATCH($C7,'Interface List'!$E$7:$E$45,0))</f>
        <v>IFMDFIX0012</v>
      </c>
      <c r="C7" s="172" t="s">
        <v>1056</v>
      </c>
      <c r="D7" s="87">
        <v>20004</v>
      </c>
      <c r="E7" s="88" t="str">
        <f>VLOOKUP($D7,'Tag(Glossary)'!$B:$G,2,0)</f>
        <v>BoardID</v>
      </c>
      <c r="F7" s="87" t="s">
        <v>85</v>
      </c>
      <c r="G7" s="87" t="str">
        <f>VLOOKUP($D7,'Tag(Glossary)'!$B:$G,4,0)</f>
        <v>String</v>
      </c>
      <c r="H7" s="87">
        <f>VLOOKUP($D7,'Tag(Glossary)'!$B:$G,5,0)</f>
        <v>2</v>
      </c>
      <c r="I7" s="8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B8" s="86" t="str">
        <f>INDEX('Interface List'!$D$7:$D$45,MATCH($C8,'Interface List'!$E$7:$E$45,0))</f>
        <v>IFMDFIX0012</v>
      </c>
      <c r="C8" s="172" t="s">
        <v>1056</v>
      </c>
      <c r="D8" s="87">
        <v>336</v>
      </c>
      <c r="E8" s="88" t="str">
        <f>VLOOKUP($D8,'Tag(Glossary)'!$B:$G,2,0)</f>
        <v>TradingSessionID</v>
      </c>
      <c r="F8" s="87" t="s">
        <v>85</v>
      </c>
      <c r="G8" s="87" t="str">
        <f>VLOOKUP($D8,'Tag(Glossary)'!$B:$G,4,0)</f>
        <v>String</v>
      </c>
      <c r="H8" s="87">
        <f>VLOOKUP($D8,'Tag(Glossary)'!$B:$G,5,0)</f>
        <v>2</v>
      </c>
      <c r="I8" s="88"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B9" s="86" t="str">
        <f>INDEX('Interface List'!$D$7:$D$45,MATCH($C9,'Interface List'!$E$7:$E$45,0))</f>
        <v>IFMDFIX0012</v>
      </c>
      <c r="C9" s="172" t="s">
        <v>1056</v>
      </c>
      <c r="D9" s="87">
        <v>55</v>
      </c>
      <c r="E9" s="88" t="str">
        <f>VLOOKUP($D9,'Tag(Glossary)'!$B:$G,2,0)</f>
        <v>Symbol</v>
      </c>
      <c r="F9" s="87" t="s">
        <v>85</v>
      </c>
      <c r="G9" s="87" t="str">
        <f>VLOOKUP($D9,'Tag(Glossary)'!$B:$G,4,0)</f>
        <v>String</v>
      </c>
      <c r="H9" s="87">
        <f>VLOOKUP($D9,'Tag(Glossary)'!$B:$G,5,0)</f>
        <v>12</v>
      </c>
      <c r="I9" s="88" t="str">
        <f>VLOOKUP($D9,'Tag(Glossary)'!$B:$H,6,0)&amp;IF(ISBLANK(VLOOKUP($D9,'Tag(Glossary)'!$B:$H,7,0)),"",CHAR(10))&amp;VLOOKUP($D9,'Tag(Glossary)'!$B:$H,7,0)</f>
        <v>The unique code of an issue (a.k.a. instrument or symbol). Generally it is ISIN code but in case of Repo market it is defined as the exchange staffs want</v>
      </c>
    </row>
    <row r="10" spans="1:9">
      <c r="B10" s="86" t="str">
        <f>INDEX('Interface List'!$D$7:$D$45,MATCH($C10,'Interface List'!$E$7:$E$45,0))</f>
        <v>IFMDFIX0012</v>
      </c>
      <c r="C10" s="172" t="s">
        <v>1056</v>
      </c>
      <c r="D10" s="87">
        <v>30561</v>
      </c>
      <c r="E10" s="88" t="str">
        <f>VLOOKUP($D10,'Tag(Glossary)'!$B:$G,2,0)</f>
        <v>OpnPx</v>
      </c>
      <c r="F10" s="87" t="s">
        <v>85</v>
      </c>
      <c r="G10" s="87" t="str">
        <f>VLOOKUP($D10,'Tag(Glossary)'!$B:$G,4,0)</f>
        <v>Price</v>
      </c>
      <c r="H10" s="87" t="str">
        <f>VLOOKUP($D10,'Tag(Glossary)'!$B:$G,5,0)</f>
        <v>15(9.4)</v>
      </c>
      <c r="I10" s="88" t="str">
        <f>VLOOKUP($D10,'Tag(Glossary)'!$B:$H,6,0)&amp;IF(ISBLANK(VLOOKUP($D10,'Tag(Glossary)'!$B:$H,7,0)),"",CHAR(10))&amp;VLOOKUP($D10,'Tag(Glossary)'!$B:$H,7,0)</f>
        <v>The first price during that day</v>
      </c>
    </row>
    <row r="11" spans="1:9">
      <c r="B11" s="86" t="str">
        <f>INDEX('Interface List'!$D$7:$D$45,MATCH($C11,'Interface List'!$E$7:$E$45,0))</f>
        <v>IFMDFIX0012</v>
      </c>
      <c r="C11" s="172" t="s">
        <v>1056</v>
      </c>
      <c r="D11" s="87">
        <v>30562</v>
      </c>
      <c r="E11" s="88" t="str">
        <f>VLOOKUP($D11,'Tag(Glossary)'!$B:$G,2,0)</f>
        <v>TrdSessnHighPx</v>
      </c>
      <c r="F11" s="87" t="s">
        <v>85</v>
      </c>
      <c r="G11" s="87" t="str">
        <f>VLOOKUP($D11,'Tag(Glossary)'!$B:$G,4,0)</f>
        <v>Price</v>
      </c>
      <c r="H11" s="87" t="str">
        <f>VLOOKUP($D11,'Tag(Glossary)'!$B:$G,5,0)</f>
        <v>15(9.4)</v>
      </c>
      <c r="I11" s="88" t="str">
        <f>VLOOKUP($D11,'Tag(Glossary)'!$B:$H,6,0)&amp;IF(ISBLANK(VLOOKUP($D11,'Tag(Glossary)'!$B:$H,7,0)),"",CHAR(10))&amp;VLOOKUP($D11,'Tag(Glossary)'!$B:$H,7,0)</f>
        <v>Highest price during that day</v>
      </c>
    </row>
    <row r="12" spans="1:9">
      <c r="B12" s="86" t="str">
        <f>INDEX('Interface List'!$D$7:$D$45,MATCH($C12,'Interface List'!$E$7:$E$45,0))</f>
        <v>IFMDFIX0012</v>
      </c>
      <c r="C12" s="172" t="s">
        <v>1056</v>
      </c>
      <c r="D12" s="87">
        <v>30563</v>
      </c>
      <c r="E12" s="88" t="str">
        <f>VLOOKUP($D12,'Tag(Glossary)'!$B:$G,2,0)</f>
        <v>TrdSessnLowPx</v>
      </c>
      <c r="F12" s="87" t="s">
        <v>85</v>
      </c>
      <c r="G12" s="87" t="str">
        <f>VLOOKUP($D12,'Tag(Glossary)'!$B:$G,4,0)</f>
        <v>Price</v>
      </c>
      <c r="H12" s="87" t="str">
        <f>VLOOKUP($D12,'Tag(Glossary)'!$B:$G,5,0)</f>
        <v>15(9.4)</v>
      </c>
      <c r="I12" s="88" t="str">
        <f>VLOOKUP($D12,'Tag(Glossary)'!$B:$H,6,0)&amp;IF(ISBLANK(VLOOKUP($D12,'Tag(Glossary)'!$B:$H,7,0)),"",CHAR(10))&amp;VLOOKUP($D12,'Tag(Glossary)'!$B:$H,7,0)</f>
        <v>Lowest price during that day</v>
      </c>
    </row>
    <row r="13" spans="1:9" ht="38.25">
      <c r="B13" s="86" t="str">
        <f>INDEX('Interface List'!$D$7:$D$45,MATCH($C13,'Interface List'!$E$7:$E$45,0))</f>
        <v>IFMDFIX0012</v>
      </c>
      <c r="C13" s="172" t="s">
        <v>1056</v>
      </c>
      <c r="D13" s="87">
        <v>20026</v>
      </c>
      <c r="E13" s="88" t="str">
        <f>VLOOKUP($D13,'Tag(Glossary)'!$B:$G,2,0)</f>
        <v>SymbolCloseInfoPx</v>
      </c>
      <c r="F13" s="87" t="s">
        <v>85</v>
      </c>
      <c r="G13" s="87" t="str">
        <f>VLOOKUP($D13,'Tag(Glossary)'!$B:$G,4,0)</f>
        <v>Price</v>
      </c>
      <c r="H13" s="87" t="str">
        <f>VLOOKUP($D13,'Tag(Glossary)'!$B:$G,5,0)</f>
        <v>15(9.4)</v>
      </c>
      <c r="I13" s="88" t="str">
        <f>VLOOKUP($D13,'Tag(Glossary)'!$B:$H,6,0)&amp;IF(ISBLANK(VLOOKUP($D13,'Tag(Glossary)'!$B:$H,7,0)),"",CHAR(10))&amp;VLOOKUP($D13,'Tag(Glossary)'!$B:$H,7,0)</f>
        <v>The last execution price of that day. If there is no execution it is replaced with the reference price, and if no reference price is given then it will be 0 (zero)</v>
      </c>
    </row>
    <row r="14" spans="1:9">
      <c r="B14" s="86" t="str">
        <f>INDEX('Interface List'!$D$7:$D$45,MATCH($C14,'Interface List'!$E$7:$E$45,0))</f>
        <v>IFMDFIX0012</v>
      </c>
      <c r="C14" s="172" t="s">
        <v>1056</v>
      </c>
      <c r="D14" s="87">
        <v>387</v>
      </c>
      <c r="E14" s="88" t="str">
        <f>VLOOKUP($D14,'Tag(Glossary)'!$B:$G,2,0)</f>
        <v>TotalVolumeTraded</v>
      </c>
      <c r="F14" s="87" t="s">
        <v>85</v>
      </c>
      <c r="G14" s="87" t="str">
        <f>VLOOKUP($D14,'Tag(Glossary)'!$B:$G,4,0)</f>
        <v>Int</v>
      </c>
      <c r="H14" s="87">
        <f>VLOOKUP($D14,'Tag(Glossary)'!$B:$G,5,0)</f>
        <v>12</v>
      </c>
      <c r="I14" s="88" t="str">
        <f>VLOOKUP($D14,'Tag(Glossary)'!$B:$H,6,0)&amp;IF(ISBLANK(VLOOKUP($D14,'Tag(Glossary)'!$B:$H,7,0)),"",CHAR(10))&amp;VLOOKUP($D14,'Tag(Glossary)'!$B:$H,7,0)</f>
        <v>Total volume traded</v>
      </c>
    </row>
    <row r="15" spans="1:9">
      <c r="B15" s="86" t="str">
        <f>INDEX('Interface List'!$D$7:$D$45,MATCH($C15,'Interface List'!$E$7:$E$45,0))</f>
        <v>IFMDFIX0012</v>
      </c>
      <c r="C15" s="172" t="s">
        <v>1056</v>
      </c>
      <c r="D15" s="87">
        <v>381</v>
      </c>
      <c r="E15" s="88" t="str">
        <f>VLOOKUP($D15,'Tag(Glossary)'!$B:$G,2,0)</f>
        <v>GrossTradeAmt</v>
      </c>
      <c r="F15" s="87" t="s">
        <v>85</v>
      </c>
      <c r="G15" s="87" t="str">
        <f>VLOOKUP($D15,'Tag(Glossary)'!$B:$G,4,0)</f>
        <v>Float</v>
      </c>
      <c r="H15" s="87" t="str">
        <f>VLOOKUP($D15,'Tag(Glossary)'!$B:$G,5,0)</f>
        <v>23(18.4)</v>
      </c>
      <c r="I15" s="88" t="str">
        <f>VLOOKUP($D15,'Tag(Glossary)'!$B:$H,6,0)&amp;IF(ISBLANK(VLOOKUP($D15,'Tag(Glossary)'!$B:$H,7,0)),"",CHAR(10))&amp;VLOOKUP($D15,'Tag(Glossary)'!$B:$H,7,0)</f>
        <v>Gross amount traded</v>
      </c>
    </row>
    <row r="16" spans="1:9">
      <c r="B16" s="86" t="str">
        <f>INDEX('Interface List'!$D$7:$D$45,MATCH($C16,'Interface List'!$E$7:$E$45,0))</f>
        <v>IFMDFIX0012</v>
      </c>
      <c r="C16" s="172" t="s">
        <v>1056</v>
      </c>
      <c r="D16" s="87"/>
      <c r="E16" s="88" t="s">
        <v>258</v>
      </c>
      <c r="F16" s="87" t="s">
        <v>85</v>
      </c>
      <c r="G16" s="87"/>
      <c r="H16" s="87"/>
      <c r="I16" s="88"/>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I21"/>
  <sheetViews>
    <sheetView view="pageBreakPreview" zoomScale="115" zoomScaleNormal="75" zoomScaleSheetLayoutView="115" workbookViewId="0">
      <pane xSplit="9" ySplit="4" topLeftCell="J8" activePane="bottomRight" state="frozen"/>
      <selection sqref="A1:XFD1048576"/>
      <selection pane="topRight" sqref="A1:XFD1048576"/>
      <selection pane="bottomLeft" sqref="A1:XFD1048576"/>
      <selection pane="bottomRight" activeCell="E18" sqref="E18"/>
    </sheetView>
  </sheetViews>
  <sheetFormatPr defaultColWidth="8.875" defaultRowHeight="15"/>
  <cols>
    <col min="1" max="1" width="1.75" style="7" customWidth="1"/>
    <col min="2" max="2" width="15.125" style="32" bestFit="1" customWidth="1"/>
    <col min="3" max="3" width="23.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1" spans="1:9">
      <c r="B1" s="98"/>
      <c r="C1" s="98"/>
      <c r="D1" s="98"/>
      <c r="E1" s="99"/>
      <c r="F1" s="98"/>
      <c r="G1" s="100"/>
      <c r="H1" s="98"/>
      <c r="I1" s="100"/>
    </row>
    <row r="2" spans="1:9" ht="18.75" customHeight="1">
      <c r="B2" s="224" t="s">
        <v>1031</v>
      </c>
      <c r="C2" s="224"/>
      <c r="D2" s="224"/>
      <c r="E2" s="224"/>
      <c r="F2" s="224"/>
      <c r="G2" s="224"/>
      <c r="H2" s="224"/>
      <c r="I2" s="224"/>
    </row>
    <row r="3" spans="1:9" s="3" customFormat="1">
      <c r="A3" s="5"/>
      <c r="B3" s="101"/>
      <c r="C3" s="101"/>
      <c r="D3" s="101"/>
      <c r="E3" s="101"/>
      <c r="F3" s="101"/>
      <c r="G3" s="101"/>
      <c r="H3" s="101"/>
      <c r="I3" s="101"/>
    </row>
    <row r="4" spans="1:9" s="4" customFormat="1">
      <c r="A4" s="7"/>
      <c r="B4" s="174" t="s">
        <v>785</v>
      </c>
      <c r="C4" s="174" t="s">
        <v>786</v>
      </c>
      <c r="D4" s="174" t="s">
        <v>787</v>
      </c>
      <c r="E4" s="174" t="s">
        <v>788</v>
      </c>
      <c r="F4" s="174" t="s">
        <v>789</v>
      </c>
      <c r="G4" s="174" t="s">
        <v>454</v>
      </c>
      <c r="H4" s="174" t="s">
        <v>791</v>
      </c>
      <c r="I4" s="174" t="s">
        <v>792</v>
      </c>
    </row>
    <row r="5" spans="1:9" ht="25.5">
      <c r="B5" s="175" t="str">
        <f>INDEX('Interface List'!$D$7:$D$45,MATCH($C5,'Interface List'!$E$7:$E$45,0))</f>
        <v>IFMDFIX0013</v>
      </c>
      <c r="C5" s="176" t="s">
        <v>1057</v>
      </c>
      <c r="D5" s="176"/>
      <c r="E5" s="177" t="s">
        <v>404</v>
      </c>
      <c r="F5" s="176" t="s">
        <v>405</v>
      </c>
      <c r="G5" s="176"/>
      <c r="H5" s="176"/>
      <c r="I5" s="177" t="s">
        <v>406</v>
      </c>
    </row>
    <row r="6" spans="1:9" ht="140.25">
      <c r="B6" s="103" t="str">
        <f>INDEX('Interface List'!$D$7:$D$45,MATCH($C6,'Interface List'!$E$7:$E$45,0))</f>
        <v>IFMDFIX0013</v>
      </c>
      <c r="C6" s="176" t="s">
        <v>1057</v>
      </c>
      <c r="D6" s="84">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103" t="str">
        <f>INDEX('Interface List'!$D$7:$D$45,MATCH($C7,'Interface List'!$E$7:$E$45,0))</f>
        <v>IFMDFIX0013</v>
      </c>
      <c r="C7" s="176" t="s">
        <v>1057</v>
      </c>
      <c r="D7" s="84">
        <v>20004</v>
      </c>
      <c r="E7" s="85" t="str">
        <f>VLOOKUP($D7,'Tag(Glossary)'!$B:$G,2,0)</f>
        <v>BoardID</v>
      </c>
      <c r="F7" s="84" t="s">
        <v>85</v>
      </c>
      <c r="G7" s="84" t="str">
        <f>VLOOKUP($D7,'Tag(Glossary)'!$B:$G,4,0)</f>
        <v>String</v>
      </c>
      <c r="H7" s="84">
        <f>VLOOKUP($D7,'Tag(Glossary)'!$B:$G,5,0)</f>
        <v>2</v>
      </c>
      <c r="I7" s="85"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B8" s="103" t="str">
        <f>INDEX('Interface List'!$D$7:$D$45,MATCH($C8,'Interface List'!$E$7:$E$45,0))</f>
        <v>IFMDFIX0013</v>
      </c>
      <c r="C8" s="176" t="s">
        <v>1057</v>
      </c>
      <c r="D8" s="84">
        <v>336</v>
      </c>
      <c r="E8" s="85" t="str">
        <f>VLOOKUP($D8,'Tag(Glossary)'!$B:$G,2,0)</f>
        <v>TradingSessionID</v>
      </c>
      <c r="F8" s="84" t="s">
        <v>85</v>
      </c>
      <c r="G8" s="84" t="str">
        <f>VLOOKUP($D8,'Tag(Glossary)'!$B:$G,4,0)</f>
        <v>String</v>
      </c>
      <c r="H8" s="84">
        <f>VLOOKUP($D8,'Tag(Glossary)'!$B:$G,5,0)</f>
        <v>2</v>
      </c>
      <c r="I8" s="85"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B9" s="103" t="str">
        <f>INDEX('Interface List'!$D$7:$D$45,MATCH($C9,'Interface List'!$E$7:$E$45,0))</f>
        <v>IFMDFIX0013</v>
      </c>
      <c r="C9" s="176" t="s">
        <v>1057</v>
      </c>
      <c r="D9" s="84">
        <v>55</v>
      </c>
      <c r="E9" s="85" t="str">
        <f>VLOOKUP($D9,'Tag(Glossary)'!$B:$G,2,0)</f>
        <v>Symbol</v>
      </c>
      <c r="F9" s="84" t="s">
        <v>85</v>
      </c>
      <c r="G9" s="84" t="str">
        <f>VLOOKUP($D9,'Tag(Glossary)'!$B:$G,4,0)</f>
        <v>String</v>
      </c>
      <c r="H9" s="84">
        <f>VLOOKUP($D9,'Tag(Glossary)'!$B:$G,5,0)</f>
        <v>12</v>
      </c>
      <c r="I9" s="85"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103" t="str">
        <f>INDEX('Interface List'!$D$7:$D$45,MATCH($C10,'Interface List'!$E$7:$E$45,0))</f>
        <v>IFMDFIX0013</v>
      </c>
      <c r="C10" s="176" t="s">
        <v>1057</v>
      </c>
      <c r="D10" s="84">
        <v>30561</v>
      </c>
      <c r="E10" s="85" t="str">
        <f>VLOOKUP($D10,'Tag(Glossary)'!$B:$G,2,0)</f>
        <v>OpnPx</v>
      </c>
      <c r="F10" s="84" t="s">
        <v>85</v>
      </c>
      <c r="G10" s="84" t="str">
        <f>VLOOKUP($D10,'Tag(Glossary)'!$B:$G,4,0)</f>
        <v>Price</v>
      </c>
      <c r="H10" s="84" t="str">
        <f>VLOOKUP($D10,'Tag(Glossary)'!$B:$G,5,0)</f>
        <v>15(9.4)</v>
      </c>
      <c r="I10" s="85" t="str">
        <f>VLOOKUP($D10,'Tag(Glossary)'!$B:$H,6,0)&amp;IF(ISBLANK(VLOOKUP($D10,'Tag(Glossary)'!$B:$H,7,0)),"",CHAR(10))&amp;VLOOKUP($D10,'Tag(Glossary)'!$B:$H,7,0)</f>
        <v>The first price during that day</v>
      </c>
    </row>
    <row r="11" spans="1:9" ht="25.5">
      <c r="B11" s="103" t="str">
        <f>INDEX('Interface List'!$D$7:$D$45,MATCH($C11,'Interface List'!$E$7:$E$45,0))</f>
        <v>IFMDFIX0013</v>
      </c>
      <c r="C11" s="176" t="s">
        <v>1057</v>
      </c>
      <c r="D11" s="84">
        <v>30562</v>
      </c>
      <c r="E11" s="85" t="str">
        <f>VLOOKUP($D11,'Tag(Glossary)'!$B:$G,2,0)</f>
        <v>TrdSessnHighPx</v>
      </c>
      <c r="F11" s="84" t="s">
        <v>85</v>
      </c>
      <c r="G11" s="84" t="str">
        <f>VLOOKUP($D11,'Tag(Glossary)'!$B:$G,4,0)</f>
        <v>Price</v>
      </c>
      <c r="H11" s="84" t="str">
        <f>VLOOKUP($D11,'Tag(Glossary)'!$B:$G,5,0)</f>
        <v>15(9.4)</v>
      </c>
      <c r="I11" s="85" t="str">
        <f>VLOOKUP($D11,'Tag(Glossary)'!$B:$H,6,0)&amp;IF(ISBLANK(VLOOKUP($D11,'Tag(Glossary)'!$B:$H,7,0)),"",CHAR(10))&amp;VLOOKUP($D11,'Tag(Glossary)'!$B:$H,7,0)</f>
        <v>Highest price during that day</v>
      </c>
    </row>
    <row r="12" spans="1:9" ht="25.5">
      <c r="B12" s="103" t="str">
        <f>INDEX('Interface List'!$D$7:$D$45,MATCH($C12,'Interface List'!$E$7:$E$45,0))</f>
        <v>IFMDFIX0013</v>
      </c>
      <c r="C12" s="176" t="s">
        <v>1057</v>
      </c>
      <c r="D12" s="84">
        <v>30563</v>
      </c>
      <c r="E12" s="85" t="str">
        <f>VLOOKUP($D12,'Tag(Glossary)'!$B:$G,2,0)</f>
        <v>TrdSessnLowPx</v>
      </c>
      <c r="F12" s="84" t="s">
        <v>85</v>
      </c>
      <c r="G12" s="84" t="str">
        <f>VLOOKUP($D12,'Tag(Glossary)'!$B:$G,4,0)</f>
        <v>Price</v>
      </c>
      <c r="H12" s="84" t="str">
        <f>VLOOKUP($D12,'Tag(Glossary)'!$B:$G,5,0)</f>
        <v>15(9.4)</v>
      </c>
      <c r="I12" s="85" t="str">
        <f>VLOOKUP($D12,'Tag(Glossary)'!$B:$H,6,0)&amp;IF(ISBLANK(VLOOKUP($D12,'Tag(Glossary)'!$B:$H,7,0)),"",CHAR(10))&amp;VLOOKUP($D12,'Tag(Glossary)'!$B:$H,7,0)</f>
        <v>Lowest price during that day</v>
      </c>
    </row>
    <row r="13" spans="1:9" ht="38.25">
      <c r="B13" s="103" t="str">
        <f>INDEX('Interface List'!$D$7:$D$45,MATCH($C13,'Interface List'!$E$7:$E$45,0))</f>
        <v>IFMDFIX0013</v>
      </c>
      <c r="C13" s="176" t="s">
        <v>1057</v>
      </c>
      <c r="D13" s="84">
        <v>20026</v>
      </c>
      <c r="E13" s="85" t="str">
        <f>VLOOKUP($D13,'Tag(Glossary)'!$B:$G,2,0)</f>
        <v>SymbolCloseInfoPx</v>
      </c>
      <c r="F13" s="84" t="s">
        <v>85</v>
      </c>
      <c r="G13" s="84" t="str">
        <f>VLOOKUP($D13,'Tag(Glossary)'!$B:$G,4,0)</f>
        <v>Price</v>
      </c>
      <c r="H13" s="84" t="str">
        <f>VLOOKUP($D13,'Tag(Glossary)'!$B:$G,5,0)</f>
        <v>15(9.4)</v>
      </c>
      <c r="I13" s="85" t="str">
        <f>VLOOKUP($D13,'Tag(Glossary)'!$B:$H,6,0)&amp;IF(ISBLANK(VLOOKUP($D13,'Tag(Glossary)'!$B:$H,7,0)),"",CHAR(10))&amp;VLOOKUP($D13,'Tag(Glossary)'!$B:$H,7,0)</f>
        <v>The last execution price of that day. If there is no execution it is replaced with the reference price, and if no reference price is given then it will be 0 (zero)</v>
      </c>
    </row>
    <row r="14" spans="1:9" ht="25.5">
      <c r="B14" s="103" t="str">
        <f>INDEX('Interface List'!$D$7:$D$45,MATCH($C14,'Interface List'!$E$7:$E$45,0))</f>
        <v>IFMDFIX0013</v>
      </c>
      <c r="C14" s="176" t="s">
        <v>1057</v>
      </c>
      <c r="D14" s="84">
        <v>30565</v>
      </c>
      <c r="E14" s="85" t="str">
        <f>VLOOKUP($D14,'Tag(Glossary)'!$B:$G,2,0)</f>
        <v>OpnPxYld</v>
      </c>
      <c r="F14" s="84" t="s">
        <v>85</v>
      </c>
      <c r="G14" s="84" t="str">
        <f>VLOOKUP($D14,'Tag(Glossary)'!$B:$G,4,0)</f>
        <v>Float</v>
      </c>
      <c r="H14" s="84" t="str">
        <f>VLOOKUP($D14,'Tag(Glossary)'!$B:$G,5,0)</f>
        <v>13(5.6)</v>
      </c>
      <c r="I14" s="85" t="str">
        <f>VLOOKUP($D14,'Tag(Glossary)'!$B:$H,6,0)&amp;IF(ISBLANK(VLOOKUP($D14,'Tag(Glossary)'!$B:$H,7,0)),"",CHAR(10))&amp;VLOOKUP($D14,'Tag(Glossary)'!$B:$H,7,0)</f>
        <v>Yield rate for opening price</v>
      </c>
    </row>
    <row r="15" spans="1:9" ht="25.5">
      <c r="B15" s="103" t="str">
        <f>INDEX('Interface List'!$D$7:$D$45,MATCH($C15,'Interface List'!$E$7:$E$45,0))</f>
        <v>IFMDFIX0013</v>
      </c>
      <c r="C15" s="176" t="s">
        <v>1057</v>
      </c>
      <c r="D15" s="84">
        <v>30566</v>
      </c>
      <c r="E15" s="85" t="str">
        <f>VLOOKUP($D15,'Tag(Glossary)'!$B:$G,2,0)</f>
        <v>TrdSessnHighPxYld</v>
      </c>
      <c r="F15" s="84" t="s">
        <v>85</v>
      </c>
      <c r="G15" s="84" t="str">
        <f>VLOOKUP($D15,'Tag(Glossary)'!$B:$G,4,0)</f>
        <v>Float</v>
      </c>
      <c r="H15" s="84" t="str">
        <f>VLOOKUP($D15,'Tag(Glossary)'!$B:$G,5,0)</f>
        <v>13(5.6)</v>
      </c>
      <c r="I15" s="85" t="str">
        <f>VLOOKUP($D15,'Tag(Glossary)'!$B:$H,6,0)&amp;IF(ISBLANK(VLOOKUP($D15,'Tag(Glossary)'!$B:$H,7,0)),"",CHAR(10))&amp;VLOOKUP($D15,'Tag(Glossary)'!$B:$H,7,0)</f>
        <v>Yield rate for high price</v>
      </c>
    </row>
    <row r="16" spans="1:9" ht="25.5">
      <c r="B16" s="103" t="str">
        <f>INDEX('Interface List'!$D$7:$D$45,MATCH($C16,'Interface List'!$E$7:$E$45,0))</f>
        <v>IFMDFIX0013</v>
      </c>
      <c r="C16" s="176" t="s">
        <v>1057</v>
      </c>
      <c r="D16" s="84">
        <v>30567</v>
      </c>
      <c r="E16" s="85" t="str">
        <f>VLOOKUP($D16,'Tag(Glossary)'!$B:$G,2,0)</f>
        <v>TrdSessnLowPxYld</v>
      </c>
      <c r="F16" s="84" t="s">
        <v>85</v>
      </c>
      <c r="G16" s="84" t="str">
        <f>VLOOKUP($D16,'Tag(Glossary)'!$B:$G,4,0)</f>
        <v>Float</v>
      </c>
      <c r="H16" s="84" t="str">
        <f>VLOOKUP($D16,'Tag(Glossary)'!$B:$G,5,0)</f>
        <v>13(5.6)</v>
      </c>
      <c r="I16" s="85" t="str">
        <f>VLOOKUP($D16,'Tag(Glossary)'!$B:$H,6,0)&amp;IF(ISBLANK(VLOOKUP($D16,'Tag(Glossary)'!$B:$H,7,0)),"",CHAR(10))&amp;VLOOKUP($D16,'Tag(Glossary)'!$B:$H,7,0)</f>
        <v>Yield rate for low price</v>
      </c>
    </row>
    <row r="17" spans="2:9" ht="25.5">
      <c r="B17" s="103" t="str">
        <f>INDEX('Interface List'!$D$7:$D$45,MATCH($C17,'Interface List'!$E$7:$E$45,0))</f>
        <v>IFMDFIX0013</v>
      </c>
      <c r="C17" s="176" t="s">
        <v>1057</v>
      </c>
      <c r="D17" s="84">
        <v>30568</v>
      </c>
      <c r="E17" s="85" t="str">
        <f>VLOOKUP($D17,'Tag(Glossary)'!$B:$G,2,0)</f>
        <v>ClsPxYld</v>
      </c>
      <c r="F17" s="84" t="s">
        <v>85</v>
      </c>
      <c r="G17" s="84" t="str">
        <f>VLOOKUP($D17,'Tag(Glossary)'!$B:$G,4,0)</f>
        <v>Float</v>
      </c>
      <c r="H17" s="84" t="str">
        <f>VLOOKUP($D17,'Tag(Glossary)'!$B:$G,5,0)</f>
        <v>13(5.6)</v>
      </c>
      <c r="I17" s="85" t="str">
        <f>VLOOKUP($D17,'Tag(Glossary)'!$B:$H,6,0)&amp;IF(ISBLANK(VLOOKUP($D17,'Tag(Glossary)'!$B:$H,7,0)),"",CHAR(10))&amp;VLOOKUP($D17,'Tag(Glossary)'!$B:$H,7,0)</f>
        <v>Final yield of a bond calculated using the closing price of that day</v>
      </c>
    </row>
    <row r="18" spans="2:9" ht="25.5">
      <c r="B18" s="103" t="str">
        <f>INDEX('Interface List'!$D$7:$D$45,MATCH($C18,'Interface List'!$E$7:$E$45,0))</f>
        <v>IFMDFIX0013</v>
      </c>
      <c r="C18" s="176" t="s">
        <v>1057</v>
      </c>
      <c r="D18" s="84">
        <v>387</v>
      </c>
      <c r="E18" s="85" t="str">
        <f>VLOOKUP($D18,'Tag(Glossary)'!$B:$G,2,0)</f>
        <v>TotalVolumeTraded</v>
      </c>
      <c r="F18" s="84" t="s">
        <v>85</v>
      </c>
      <c r="G18" s="84" t="str">
        <f>VLOOKUP($D18,'Tag(Glossary)'!$B:$G,4,0)</f>
        <v>Int</v>
      </c>
      <c r="H18" s="84">
        <f>VLOOKUP($D18,'Tag(Glossary)'!$B:$G,5,0)</f>
        <v>12</v>
      </c>
      <c r="I18" s="85" t="str">
        <f>VLOOKUP($D18,'Tag(Glossary)'!$B:$H,6,0)&amp;IF(ISBLANK(VLOOKUP($D18,'Tag(Glossary)'!$B:$H,7,0)),"",CHAR(10))&amp;VLOOKUP($D18,'Tag(Glossary)'!$B:$H,7,0)</f>
        <v>Total volume traded</v>
      </c>
    </row>
    <row r="19" spans="2:9" ht="25.5">
      <c r="B19" s="103" t="str">
        <f>INDEX('Interface List'!$D$7:$D$45,MATCH($C19,'Interface List'!$E$7:$E$45,0))</f>
        <v>IFMDFIX0013</v>
      </c>
      <c r="C19" s="176" t="s">
        <v>1057</v>
      </c>
      <c r="D19" s="84">
        <v>381</v>
      </c>
      <c r="E19" s="85" t="str">
        <f>VLOOKUP($D19,'Tag(Glossary)'!$B:$G,2,0)</f>
        <v>GrossTradeAmt</v>
      </c>
      <c r="F19" s="84" t="s">
        <v>85</v>
      </c>
      <c r="G19" s="84" t="str">
        <f>VLOOKUP($D19,'Tag(Glossary)'!$B:$G,4,0)</f>
        <v>Float</v>
      </c>
      <c r="H19" s="84" t="str">
        <f>VLOOKUP($D19,'Tag(Glossary)'!$B:$G,5,0)</f>
        <v>23(18.4)</v>
      </c>
      <c r="I19" s="85" t="str">
        <f>VLOOKUP($D19,'Tag(Glossary)'!$B:$H,6,0)&amp;IF(ISBLANK(VLOOKUP($D19,'Tag(Glossary)'!$B:$H,7,0)),"",CHAR(10))&amp;VLOOKUP($D19,'Tag(Glossary)'!$B:$H,7,0)</f>
        <v>Gross amount traded</v>
      </c>
    </row>
    <row r="20" spans="2:9" ht="25.5">
      <c r="B20" s="103" t="str">
        <f>INDEX('Interface List'!$D$7:$D$45,MATCH($C20,'Interface List'!$E$7:$E$45,0))</f>
        <v>IFMDFIX0013</v>
      </c>
      <c r="C20" s="176" t="s">
        <v>1057</v>
      </c>
      <c r="D20" s="84"/>
      <c r="E20" s="85" t="s">
        <v>258</v>
      </c>
      <c r="F20" s="84" t="s">
        <v>85</v>
      </c>
      <c r="G20" s="84"/>
      <c r="H20" s="84"/>
      <c r="I20" s="85"/>
    </row>
    <row r="21" spans="2:9">
      <c r="B21" s="98"/>
      <c r="C21" s="98"/>
      <c r="D21" s="98"/>
      <c r="E21" s="99"/>
      <c r="F21" s="98"/>
      <c r="G21" s="100"/>
      <c r="H21" s="98"/>
      <c r="I21" s="100"/>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2:I27"/>
  <sheetViews>
    <sheetView view="pageBreakPreview" zoomScaleNormal="75" zoomScaleSheetLayoutView="100" workbookViewId="0">
      <pane xSplit="9" ySplit="4" topLeftCell="L5" activePane="bottomRight" state="frozen"/>
      <selection sqref="A1:XFD1048576"/>
      <selection pane="topRight" sqref="A1:XFD1048576"/>
      <selection pane="bottomLeft" sqref="A1:XFD1048576"/>
      <selection pane="bottomRight" activeCell="B1" sqref="B1:I28"/>
    </sheetView>
  </sheetViews>
  <sheetFormatPr defaultColWidth="8.875" defaultRowHeight="15"/>
  <cols>
    <col min="1" max="1" width="1.75" style="7" customWidth="1"/>
    <col min="2" max="2" width="17.625" style="32" bestFit="1" customWidth="1"/>
    <col min="3" max="3" width="12.125" style="32" bestFit="1" customWidth="1"/>
    <col min="4" max="4" width="5.75" style="32" customWidth="1"/>
    <col min="5" max="5" width="25.7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407</v>
      </c>
      <c r="C2" s="224"/>
      <c r="D2" s="224"/>
      <c r="E2" s="224"/>
      <c r="F2" s="224"/>
      <c r="G2" s="224"/>
      <c r="H2" s="224"/>
      <c r="I2" s="224"/>
    </row>
    <row r="3" spans="1:9" s="3" customFormat="1">
      <c r="A3" s="5"/>
      <c r="B3" s="33"/>
      <c r="C3" s="33"/>
      <c r="D3" s="33"/>
      <c r="E3" s="33"/>
      <c r="F3" s="33"/>
      <c r="G3" s="33"/>
      <c r="H3" s="33"/>
      <c r="I3" s="33"/>
    </row>
    <row r="4" spans="1:9" s="4" customFormat="1">
      <c r="A4" s="7"/>
      <c r="B4" s="180" t="s">
        <v>408</v>
      </c>
      <c r="C4" s="180" t="s">
        <v>409</v>
      </c>
      <c r="D4" s="180" t="s">
        <v>410</v>
      </c>
      <c r="E4" s="180" t="s">
        <v>411</v>
      </c>
      <c r="F4" s="180" t="s">
        <v>412</v>
      </c>
      <c r="G4" s="180" t="s">
        <v>413</v>
      </c>
      <c r="H4" s="180" t="s">
        <v>414</v>
      </c>
      <c r="I4" s="180" t="s">
        <v>415</v>
      </c>
    </row>
    <row r="5" spans="1:9">
      <c r="B5" s="166" t="str">
        <f>INDEX('Interface List'!$D$7:$D$45,MATCH($C5,'Interface List'!$E$7:$E$45,0))</f>
        <v>IFMDFIX0014</v>
      </c>
      <c r="C5" s="178" t="s">
        <v>416</v>
      </c>
      <c r="D5" s="178"/>
      <c r="E5" s="179" t="s">
        <v>417</v>
      </c>
      <c r="F5" s="178" t="s">
        <v>418</v>
      </c>
      <c r="G5" s="178"/>
      <c r="H5" s="178"/>
      <c r="I5" s="179" t="s">
        <v>419</v>
      </c>
    </row>
    <row r="6" spans="1:9" ht="140.25">
      <c r="B6" s="80" t="str">
        <f>INDEX('Interface List'!$D$7:$D$45,MATCH($C6,'Interface List'!$E$7:$E$45,0))</f>
        <v>IFMDFIX0014</v>
      </c>
      <c r="C6" s="80" t="s">
        <v>416</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80" t="str">
        <f>INDEX('Interface List'!$D$7:$D$45,MATCH($C7,'Interface List'!$E$7:$E$45,0))</f>
        <v>IFMDFIX0014</v>
      </c>
      <c r="C7" s="80" t="s">
        <v>420</v>
      </c>
      <c r="D7" s="78">
        <v>336</v>
      </c>
      <c r="E7" s="37" t="str">
        <f>VLOOKUP($D7,'Tag(Glossary)'!$B:$G,2,0)</f>
        <v>TradingSessionID</v>
      </c>
      <c r="F7" s="39" t="s">
        <v>85</v>
      </c>
      <c r="G7" s="36" t="str">
        <f>VLOOKUP($D7,'Tag(Glossary)'!$B:$G,4,0)</f>
        <v>String</v>
      </c>
      <c r="H7" s="36">
        <f>VLOOKUP($D7,'Tag(Glossary)'!$B:$G,5,0)</f>
        <v>2</v>
      </c>
      <c r="I7" s="38" t="str">
        <f>VLOOKUP($D7,'Tag(Glossary)'!$B:$H,6,0)&amp;IF(ISBLANK(VLOOKUP($D7,'Tag(Glossary)'!$B:$H,7,0)),"",CHAR(10))&amp;VLOOKUP($D7,'Tag(Glossary)'!$B:$H,7,0)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8" spans="1:9" ht="63.75">
      <c r="B8" s="80" t="str">
        <f>INDEX('Interface List'!$D$7:$D$45,MATCH($C8,'Interface List'!$E$7:$E$45,0))</f>
        <v>IFMDFIX0014</v>
      </c>
      <c r="C8" s="80" t="s">
        <v>323</v>
      </c>
      <c r="D8" s="78">
        <v>30569</v>
      </c>
      <c r="E8" s="37" t="str">
        <f>VLOOKUP($D8,'Tag(Glossary)'!$B:$G,2,0)</f>
        <v>MarketIndexClass</v>
      </c>
      <c r="F8" s="39" t="s">
        <v>85</v>
      </c>
      <c r="G8" s="36" t="str">
        <f>VLOOKUP($D8,'Tag(Glossary)'!$B:$G,4,0)</f>
        <v>String</v>
      </c>
      <c r="H8" s="36">
        <f>VLOOKUP($D8,'Tag(Glossary)'!$B:$G,5,0)</f>
        <v>1</v>
      </c>
      <c r="I8" s="37" t="str">
        <f>VLOOKUP($D8,'Tag(Glossary)'!$B:$H,6,0)&amp;IF(ISBLANK(VLOOKUP($D8,'Tag(Glossary)'!$B:$H,7,0)),"",CHAR(10))&amp;VLOOKUP($D8,'Tag(Glossary)'!$B:$H,7,0)</f>
        <v>Market code of an index
1: HoSE
2: HNX
3: Composite (HoSE + HNX)
4. UPX</v>
      </c>
    </row>
    <row r="9" spans="1:9" ht="63.75">
      <c r="B9" s="80" t="str">
        <f>INDEX('Interface List'!$D$7:$D$45,MATCH($C9,'Interface List'!$E$7:$E$45,0))</f>
        <v>IFMDFIX0014</v>
      </c>
      <c r="C9" s="80" t="s">
        <v>407</v>
      </c>
      <c r="D9" s="78">
        <v>30167</v>
      </c>
      <c r="E9" s="37" t="str">
        <f>VLOOKUP($D9,'Tag(Glossary)'!$B:$G,2,0)</f>
        <v>IndexsTypeCode</v>
      </c>
      <c r="F9" s="39" t="s">
        <v>85</v>
      </c>
      <c r="G9" s="36" t="str">
        <f>VLOOKUP($D9,'Tag(Glossary)'!$B:$G,4,0)</f>
        <v>String</v>
      </c>
      <c r="H9" s="36">
        <f>VLOOKUP($D9,'Tag(Glossary)'!$B:$G,5,0)</f>
        <v>8</v>
      </c>
      <c r="I9" s="37" t="str">
        <f>VLOOKUP($D9,'Tag(Glossary)'!$B:$H,6,0)&amp;IF(ISBLANK(VLOOKUP($D9,'Tag(Glossary)'!$B:$H,7,0)),"",CHAR(10))&amp;VLOOKUP($D9,'Tag(Glossary)'!$B:$H,7,0)</f>
        <v>Industry Index Code
for example
001: Composite index
002: VNALLshare index
100: VN30 index</v>
      </c>
    </row>
    <row r="10" spans="1:9" ht="51">
      <c r="B10" s="80" t="str">
        <f>INDEX('Interface List'!$D$7:$D$45,MATCH($C10,'Interface List'!$E$7:$E$45,0))</f>
        <v>IFMDFIX0014</v>
      </c>
      <c r="C10" s="80" t="s">
        <v>323</v>
      </c>
      <c r="D10" s="78">
        <v>15</v>
      </c>
      <c r="E10" s="37" t="str">
        <f>VLOOKUP($D10,'Tag(Glossary)'!$B:$G,2,0)</f>
        <v>Currency</v>
      </c>
      <c r="F10" s="39" t="s">
        <v>85</v>
      </c>
      <c r="G10" s="36" t="str">
        <f>VLOOKUP($D10,'Tag(Glossary)'!$B:$G,4,0)</f>
        <v>String</v>
      </c>
      <c r="H10" s="36">
        <f>VLOOKUP($D10,'Tag(Glossary)'!$B:$G,5,0)</f>
        <v>3</v>
      </c>
      <c r="I10" s="37" t="str">
        <f>VLOOKUP($D10,'Tag(Glossary)'!$B:$H,6,0)&amp;IF(ISBLANK(VLOOKUP($D10,'Tag(Glossary)'!$B:$H,7,0)),"",CHAR(10))&amp;VLOOKUP($D10,'Tag(Glossary)'!$B:$H,7,0)</f>
        <v>Currency code on ISO 4217
VND: Vietnamese Dong
USD: US Dollar
EUR: Euro</v>
      </c>
    </row>
    <row r="11" spans="1:9" ht="25.5">
      <c r="B11" s="80" t="str">
        <f>INDEX('Interface List'!$D$7:$D$45,MATCH($C11,'Interface List'!$E$7:$E$45,0))</f>
        <v>IFMDFIX0014</v>
      </c>
      <c r="C11" s="80" t="s">
        <v>421</v>
      </c>
      <c r="D11" s="78">
        <v>60</v>
      </c>
      <c r="E11" s="37" t="str">
        <f>VLOOKUP($D11,'Tag(Glossary)'!$B:$G,2,0)</f>
        <v>TransactTime</v>
      </c>
      <c r="F11" s="39" t="s">
        <v>85</v>
      </c>
      <c r="G11" s="36" t="str">
        <f>VLOOKUP($D11,'Tag(Glossary)'!$B:$G,4,0)</f>
        <v>UTCTime</v>
      </c>
      <c r="H11" s="36">
        <f>VLOOKUP($D11,'Tag(Glossary)'!$B:$G,5,0)</f>
        <v>9</v>
      </c>
      <c r="I11" s="37" t="str">
        <f>VLOOKUP($D11,'Tag(Glossary)'!$B:$H,6,0)&amp;IF(ISBLANK(VLOOKUP($D11,'Tag(Glossary)'!$B:$H,7,0)),"",CHAR(10))&amp;VLOOKUP($D11,'Tag(Glossary)'!$B:$H,7,0)</f>
        <v>Time of execution/order creation
HHmmSSsss : Normal Case</v>
      </c>
    </row>
    <row r="12" spans="1:9">
      <c r="B12" s="80" t="str">
        <f>INDEX('Interface List'!$D$7:$D$45,MATCH($C12,'Interface List'!$E$7:$E$45,0))</f>
        <v>IFMDFIX0014</v>
      </c>
      <c r="C12" s="80" t="s">
        <v>421</v>
      </c>
      <c r="D12" s="78">
        <v>30217</v>
      </c>
      <c r="E12" s="37" t="str">
        <f>VLOOKUP($D12,'Tag(Glossary)'!$B:$G,2,0)</f>
        <v>ValueIndexes</v>
      </c>
      <c r="F12" s="39" t="s">
        <v>85</v>
      </c>
      <c r="G12" s="36" t="str">
        <f>VLOOKUP($D12,'Tag(Glossary)'!$B:$G,4,0)</f>
        <v>Float</v>
      </c>
      <c r="H12" s="36" t="str">
        <f>VLOOKUP($D12,'Tag(Glossary)'!$B:$G,5,0)</f>
        <v>10(6.2)</v>
      </c>
      <c r="I12" s="37" t="str">
        <f>VLOOKUP($D12,'Tag(Glossary)'!$B:$H,6,0)&amp;IF(ISBLANK(VLOOKUP($D12,'Tag(Glossary)'!$B:$H,7,0)),"",CHAR(10))&amp;VLOOKUP($D12,'Tag(Glossary)'!$B:$H,7,0)</f>
        <v>Value of the index calculated</v>
      </c>
    </row>
    <row r="13" spans="1:9">
      <c r="B13" s="80" t="str">
        <f>INDEX('Interface List'!$D$7:$D$45,MATCH($C13,'Interface List'!$E$7:$E$45,0))</f>
        <v>IFMDFIX0014</v>
      </c>
      <c r="C13" s="80" t="s">
        <v>421</v>
      </c>
      <c r="D13" s="84">
        <v>387</v>
      </c>
      <c r="E13" s="38" t="str">
        <f>VLOOKUP($D13,'Tag(Glossary)'!$B:$G,2,0)</f>
        <v>TotalVolumeTraded</v>
      </c>
      <c r="F13" s="39" t="s">
        <v>85</v>
      </c>
      <c r="G13" s="39" t="str">
        <f>VLOOKUP($D13,'Tag(Glossary)'!$B:$G,4,0)</f>
        <v>Int</v>
      </c>
      <c r="H13" s="39">
        <f>VLOOKUP($D13,'Tag(Glossary)'!$B:$G,5,0)</f>
        <v>12</v>
      </c>
      <c r="I13" s="38" t="str">
        <f>VLOOKUP($D13,'Tag(Glossary)'!$B:$H,6,0)&amp;IF(ISBLANK(VLOOKUP($D13,'Tag(Glossary)'!$B:$H,7,0)),"",CHAR(10))&amp;VLOOKUP($D13,'Tag(Glossary)'!$B:$H,7,0)</f>
        <v>Total volume traded</v>
      </c>
    </row>
    <row r="14" spans="1:9">
      <c r="B14" s="80" t="str">
        <f>INDEX('Interface List'!$D$7:$D$45,MATCH($C14,'Interface List'!$E$7:$E$45,0))</f>
        <v>IFMDFIX0014</v>
      </c>
      <c r="C14" s="80" t="s">
        <v>421</v>
      </c>
      <c r="D14" s="84">
        <v>381</v>
      </c>
      <c r="E14" s="38" t="str">
        <f>VLOOKUP($D14,'Tag(Glossary)'!$B:$G,2,0)</f>
        <v>GrossTradeAmt</v>
      </c>
      <c r="F14" s="39" t="s">
        <v>85</v>
      </c>
      <c r="G14" s="39" t="str">
        <f>VLOOKUP($D14,'Tag(Glossary)'!$B:$G,4,0)</f>
        <v>Float</v>
      </c>
      <c r="H14" s="39" t="str">
        <f>VLOOKUP($D14,'Tag(Glossary)'!$B:$G,5,0)</f>
        <v>23(18.4)</v>
      </c>
      <c r="I14" s="38" t="str">
        <f>VLOOKUP($D14,'Tag(Glossary)'!$B:$H,6,0)&amp;IF(ISBLANK(VLOOKUP($D14,'Tag(Glossary)'!$B:$H,7,0)),"",CHAR(10))&amp;VLOOKUP($D14,'Tag(Glossary)'!$B:$H,7,0)</f>
        <v>Gross amount traded</v>
      </c>
    </row>
    <row r="15" spans="1:9">
      <c r="B15" s="80" t="str">
        <f>INDEX('Interface List'!$D$7:$D$45,MATCH($C15,'Interface List'!$E$7:$E$45,0))</f>
        <v>IFMDFIX0014</v>
      </c>
      <c r="C15" s="80" t="s">
        <v>421</v>
      </c>
      <c r="D15" s="84">
        <v>30638</v>
      </c>
      <c r="E15" s="38" t="str">
        <f>VLOOKUP($D15,'Tag(Glossary)'!$B:$G,2,0)</f>
        <v>ContauctAccTrdvol</v>
      </c>
      <c r="F15" s="39" t="s">
        <v>85</v>
      </c>
      <c r="G15" s="39" t="str">
        <f>VLOOKUP($D15,'Tag(Glossary)'!$B:$G,4,0)</f>
        <v>Int</v>
      </c>
      <c r="H15" s="39">
        <f>VLOOKUP($D15,'Tag(Glossary)'!$B:$G,5,0)</f>
        <v>12</v>
      </c>
      <c r="I15" s="38" t="str">
        <f>VLOOKUP($D15,'Tag(Glossary)'!$B:$H,6,0)&amp;IF(ISBLANK(VLOOKUP($D15,'Tag(Glossary)'!$B:$H,7,0)),"",CHAR(10))&amp;VLOOKUP($D15,'Tag(Glossary)'!$B:$H,7,0)</f>
        <v>Accumulative trading volume of boards in continuous trading method</v>
      </c>
    </row>
    <row r="16" spans="1:9">
      <c r="B16" s="80" t="str">
        <f>INDEX('Interface List'!$D$7:$D$45,MATCH($C16,'Interface List'!$E$7:$E$45,0))</f>
        <v>IFMDFIX0014</v>
      </c>
      <c r="C16" s="80" t="s">
        <v>421</v>
      </c>
      <c r="D16" s="84">
        <v>30639</v>
      </c>
      <c r="E16" s="38" t="str">
        <f>VLOOKUP($D16,'Tag(Glossary)'!$B:$G,2,0)</f>
        <v>ContauctAccTrdval</v>
      </c>
      <c r="F16" s="39" t="s">
        <v>85</v>
      </c>
      <c r="G16" s="39" t="str">
        <f>VLOOKUP($D16,'Tag(Glossary)'!$B:$G,4,0)</f>
        <v>Float</v>
      </c>
      <c r="H16" s="39" t="str">
        <f>VLOOKUP($D16,'Tag(Glossary)'!$B:$G,5,0)</f>
        <v>23(18.4)</v>
      </c>
      <c r="I16" s="38" t="str">
        <f>VLOOKUP($D16,'Tag(Glossary)'!$B:$H,6,0)&amp;IF(ISBLANK(VLOOKUP($D16,'Tag(Glossary)'!$B:$H,7,0)),"",CHAR(10))&amp;VLOOKUP($D16,'Tag(Glossary)'!$B:$H,7,0)</f>
        <v>Accumulative trading value of boards in continuous trading method</v>
      </c>
    </row>
    <row r="17" spans="2:9">
      <c r="B17" s="80" t="str">
        <f>INDEX('Interface List'!$D$7:$D$45,MATCH($C17,'Interface List'!$E$7:$E$45,0))</f>
        <v>IFMDFIX0014</v>
      </c>
      <c r="C17" s="80" t="s">
        <v>421</v>
      </c>
      <c r="D17" s="84">
        <v>30640</v>
      </c>
      <c r="E17" s="38" t="str">
        <f>VLOOKUP($D17,'Tag(Glossary)'!$B:$G,2,0)</f>
        <v>BlktrdAccTrdvol</v>
      </c>
      <c r="F17" s="39" t="s">
        <v>85</v>
      </c>
      <c r="G17" s="39" t="str">
        <f>VLOOKUP($D17,'Tag(Glossary)'!$B:$G,4,0)</f>
        <v>Int</v>
      </c>
      <c r="H17" s="39">
        <f>VLOOKUP($D17,'Tag(Glossary)'!$B:$G,5,0)</f>
        <v>12</v>
      </c>
      <c r="I17" s="38" t="str">
        <f>VLOOKUP($D17,'Tag(Glossary)'!$B:$H,6,0)&amp;IF(ISBLANK(VLOOKUP($D17,'Tag(Glossary)'!$B:$H,7,0)),"",CHAR(10))&amp;VLOOKUP($D17,'Tag(Glossary)'!$B:$H,7,0)</f>
        <v>Accumulative trading volume of boards in block trading method</v>
      </c>
    </row>
    <row r="18" spans="2:9">
      <c r="B18" s="80" t="str">
        <f>INDEX('Interface List'!$D$7:$D$45,MATCH($C18,'Interface List'!$E$7:$E$45,0))</f>
        <v>IFMDFIX0014</v>
      </c>
      <c r="C18" s="80" t="s">
        <v>421</v>
      </c>
      <c r="D18" s="84">
        <v>30641</v>
      </c>
      <c r="E18" s="38" t="str">
        <f>VLOOKUP($D18,'Tag(Glossary)'!$B:$G,2,0)</f>
        <v>BlktrdAccTrdval</v>
      </c>
      <c r="F18" s="39" t="s">
        <v>85</v>
      </c>
      <c r="G18" s="39" t="str">
        <f>VLOOKUP($D18,'Tag(Glossary)'!$B:$G,4,0)</f>
        <v>Float</v>
      </c>
      <c r="H18" s="39" t="str">
        <f>VLOOKUP($D18,'Tag(Glossary)'!$B:$G,5,0)</f>
        <v>23(18.4)</v>
      </c>
      <c r="I18" s="38" t="str">
        <f>VLOOKUP($D18,'Tag(Glossary)'!$B:$H,6,0)&amp;IF(ISBLANK(VLOOKUP($D18,'Tag(Glossary)'!$B:$H,7,0)),"",CHAR(10))&amp;VLOOKUP($D18,'Tag(Glossary)'!$B:$H,7,0)</f>
        <v>Accumulative trading value of boards in block trading method</v>
      </c>
    </row>
    <row r="19" spans="2:9">
      <c r="B19" s="80" t="str">
        <f>INDEX('Interface List'!$D$7:$D$45,MATCH($C19,'Interface List'!$E$7:$E$45,0))</f>
        <v>IFMDFIX0014</v>
      </c>
      <c r="C19" s="80" t="s">
        <v>421</v>
      </c>
      <c r="D19" s="84">
        <v>30589</v>
      </c>
      <c r="E19" s="38" t="str">
        <f>VLOOKUP($D19,'Tag(Glossary)'!$B:$G,2,0)</f>
        <v>FluctuationUpperLimitIssueCount</v>
      </c>
      <c r="F19" s="39" t="s">
        <v>85</v>
      </c>
      <c r="G19" s="39" t="str">
        <f>VLOOKUP($D19,'Tag(Glossary)'!$B:$G,4,0)</f>
        <v>Int</v>
      </c>
      <c r="H19" s="39">
        <f>VLOOKUP($D19,'Tag(Glossary)'!$B:$G,5,0)</f>
        <v>7</v>
      </c>
      <c r="I19" s="38" t="str">
        <f>VLOOKUP($D19,'Tag(Glossary)'!$B:$H,6,0)&amp;IF(ISBLANK(VLOOKUP($D19,'Tag(Glossary)'!$B:$H,7,0)),"",CHAR(10))&amp;VLOOKUP($D19,'Tag(Glossary)'!$B:$H,7,0)</f>
        <v>Number of security of which price is upper limit</v>
      </c>
    </row>
    <row r="20" spans="2:9">
      <c r="B20" s="80" t="str">
        <f>INDEX('Interface List'!$D$7:$D$45,MATCH($C20,'Interface List'!$E$7:$E$45,0))</f>
        <v>IFMDFIX0014</v>
      </c>
      <c r="C20" s="80" t="s">
        <v>421</v>
      </c>
      <c r="D20" s="78">
        <v>30590</v>
      </c>
      <c r="E20" s="37" t="str">
        <f>VLOOKUP($D20,'Tag(Glossary)'!$B:$G,2,0)</f>
        <v>FluctuationUpIssueCount</v>
      </c>
      <c r="F20" s="39" t="s">
        <v>85</v>
      </c>
      <c r="G20" s="36" t="str">
        <f>VLOOKUP($D20,'Tag(Glossary)'!$B:$G,4,0)</f>
        <v>Int</v>
      </c>
      <c r="H20" s="36">
        <f>VLOOKUP($D20,'Tag(Glossary)'!$B:$G,5,0)</f>
        <v>7</v>
      </c>
      <c r="I20" s="37" t="str">
        <f>VLOOKUP($D20,'Tag(Glossary)'!$B:$H,6,0)&amp;IF(ISBLANK(VLOOKUP($D20,'Tag(Glossary)'!$B:$H,7,0)),"",CHAR(10))&amp;VLOOKUP($D20,'Tag(Glossary)'!$B:$H,7,0)</f>
        <v>Number of security of which price is increasing</v>
      </c>
    </row>
    <row r="21" spans="2:9">
      <c r="B21" s="80" t="str">
        <f>INDEX('Interface List'!$D$7:$D$45,MATCH($C21,'Interface List'!$E$7:$E$45,0))</f>
        <v>IFMDFIX0014</v>
      </c>
      <c r="C21" s="80" t="s">
        <v>421</v>
      </c>
      <c r="D21" s="78">
        <v>30591</v>
      </c>
      <c r="E21" s="37" t="str">
        <f>VLOOKUP($D21,'Tag(Glossary)'!$B:$G,2,0)</f>
        <v>FluctuationSteadinessIssueCount</v>
      </c>
      <c r="F21" s="39" t="s">
        <v>85</v>
      </c>
      <c r="G21" s="36" t="str">
        <f>VLOOKUP($D21,'Tag(Glossary)'!$B:$G,4,0)</f>
        <v>Int</v>
      </c>
      <c r="H21" s="36">
        <f>VLOOKUP($D21,'Tag(Glossary)'!$B:$G,5,0)</f>
        <v>7</v>
      </c>
      <c r="I21" s="37" t="str">
        <f>VLOOKUP($D21,'Tag(Glossary)'!$B:$H,6,0)&amp;IF(ISBLANK(VLOOKUP($D21,'Tag(Glossary)'!$B:$H,7,0)),"",CHAR(10))&amp;VLOOKUP($D21,'Tag(Glossary)'!$B:$H,7,0)</f>
        <v>Number of security of which price is not changed</v>
      </c>
    </row>
    <row r="22" spans="2:9">
      <c r="B22" s="80" t="str">
        <f>INDEX('Interface List'!$D$7:$D$45,MATCH($C22,'Interface List'!$E$7:$E$45,0))</f>
        <v>IFMDFIX0014</v>
      </c>
      <c r="C22" s="80" t="s">
        <v>421</v>
      </c>
      <c r="D22" s="78">
        <v>30592</v>
      </c>
      <c r="E22" s="37" t="str">
        <f>VLOOKUP($D22,'Tag(Glossary)'!$B:$G,2,0)</f>
        <v>FluctuationDownIssueCount</v>
      </c>
      <c r="F22" s="39" t="s">
        <v>85</v>
      </c>
      <c r="G22" s="36" t="str">
        <f>VLOOKUP($D22,'Tag(Glossary)'!$B:$G,4,0)</f>
        <v>Int</v>
      </c>
      <c r="H22" s="36">
        <f>VLOOKUP($D22,'Tag(Glossary)'!$B:$G,5,0)</f>
        <v>7</v>
      </c>
      <c r="I22" s="37" t="str">
        <f>VLOOKUP($D22,'Tag(Glossary)'!$B:$H,6,0)&amp;IF(ISBLANK(VLOOKUP($D22,'Tag(Glossary)'!$B:$H,7,0)),"",CHAR(10))&amp;VLOOKUP($D22,'Tag(Glossary)'!$B:$H,7,0)</f>
        <v>Number of security of which price is decreasing</v>
      </c>
    </row>
    <row r="23" spans="2:9">
      <c r="B23" s="80" t="str">
        <f>INDEX('Interface List'!$D$7:$D$45,MATCH($C23,'Interface List'!$E$7:$E$45,0))</f>
        <v>IFMDFIX0014</v>
      </c>
      <c r="C23" s="80" t="s">
        <v>421</v>
      </c>
      <c r="D23" s="78">
        <v>30593</v>
      </c>
      <c r="E23" s="37" t="str">
        <f>VLOOKUP($D23,'Tag(Glossary)'!$B:$G,2,0)</f>
        <v>FluctuationLowerLimitIssueCount</v>
      </c>
      <c r="F23" s="39" t="s">
        <v>85</v>
      </c>
      <c r="G23" s="36" t="str">
        <f>VLOOKUP($D23,'Tag(Glossary)'!$B:$G,4,0)</f>
        <v>Int</v>
      </c>
      <c r="H23" s="36">
        <f>VLOOKUP($D23,'Tag(Glossary)'!$B:$G,5,0)</f>
        <v>7</v>
      </c>
      <c r="I23" s="37" t="str">
        <f>VLOOKUP($D23,'Tag(Glossary)'!$B:$H,6,0)&amp;IF(ISBLANK(VLOOKUP($D23,'Tag(Glossary)'!$B:$H,7,0)),"",CHAR(10))&amp;VLOOKUP($D23,'Tag(Glossary)'!$B:$H,7,0)</f>
        <v>Number of security of which price is lower limit</v>
      </c>
    </row>
    <row r="24" spans="2:9">
      <c r="B24" s="80" t="str">
        <f>INDEX('Interface List'!$D$7:$D$45,MATCH($C24,'Interface List'!$E$7:$E$45,0))</f>
        <v>IFMDFIX0014</v>
      </c>
      <c r="C24" s="80" t="s">
        <v>421</v>
      </c>
      <c r="D24" s="78">
        <v>30594</v>
      </c>
      <c r="E24" s="37" t="str">
        <f>VLOOKUP($D24,'Tag(Glossary)'!$B:$G,2,0)</f>
        <v>FluctuationUpIssueVolume</v>
      </c>
      <c r="F24" s="39" t="s">
        <v>85</v>
      </c>
      <c r="G24" s="36" t="str">
        <f>VLOOKUP($D24,'Tag(Glossary)'!$B:$G,4,0)</f>
        <v>Int</v>
      </c>
      <c r="H24" s="36">
        <f>VLOOKUP($D24,'Tag(Glossary)'!$B:$G,5,0)</f>
        <v>12</v>
      </c>
      <c r="I24" s="37" t="str">
        <f>VLOOKUP($D24,'Tag(Glossary)'!$B:$H,6,0)&amp;IF(ISBLANK(VLOOKUP($D24,'Tag(Glossary)'!$B:$H,7,0)),"",CHAR(10))&amp;VLOOKUP($D24,'Tag(Glossary)'!$B:$H,7,0)</f>
        <v>Sum of trading volumes of issues of which price is incresing or upper limit</v>
      </c>
    </row>
    <row r="25" spans="2:9">
      <c r="B25" s="80" t="str">
        <f>INDEX('Interface List'!$D$7:$D$45,MATCH($C25,'Interface List'!$E$7:$E$45,0))</f>
        <v>IFMDFIX0014</v>
      </c>
      <c r="C25" s="80" t="s">
        <v>421</v>
      </c>
      <c r="D25" s="78">
        <v>30595</v>
      </c>
      <c r="E25" s="37" t="str">
        <f>VLOOKUP($D25,'Tag(Glossary)'!$B:$G,2,0)</f>
        <v>FluctuationDownIssueVolume</v>
      </c>
      <c r="F25" s="39" t="s">
        <v>85</v>
      </c>
      <c r="G25" s="36" t="str">
        <f>VLOOKUP($D25,'Tag(Glossary)'!$B:$G,4,0)</f>
        <v>Int</v>
      </c>
      <c r="H25" s="36">
        <f>VLOOKUP($D25,'Tag(Glossary)'!$B:$G,5,0)</f>
        <v>12</v>
      </c>
      <c r="I25" s="37" t="str">
        <f>VLOOKUP($D25,'Tag(Glossary)'!$B:$H,6,0)&amp;IF(ISBLANK(VLOOKUP($D25,'Tag(Glossary)'!$B:$H,7,0)),"",CHAR(10))&amp;VLOOKUP($D25,'Tag(Glossary)'!$B:$H,7,0)</f>
        <v>Sum of trading volumes of issues of which price is decresing or lower limit</v>
      </c>
    </row>
    <row r="26" spans="2:9">
      <c r="B26" s="80" t="str">
        <f>INDEX('Interface List'!$D$7:$D$45,MATCH($C26,'Interface List'!$E$7:$E$45,0))</f>
        <v>IFMDFIX0014</v>
      </c>
      <c r="C26" s="80" t="s">
        <v>421</v>
      </c>
      <c r="D26" s="78">
        <v>30596</v>
      </c>
      <c r="E26" s="37" t="str">
        <f>VLOOKUP($D26,'Tag(Glossary)'!$B:$G,2,0)</f>
        <v>FluctuationSteadinessIssueVolume</v>
      </c>
      <c r="F26" s="39" t="s">
        <v>85</v>
      </c>
      <c r="G26" s="36" t="str">
        <f>VLOOKUP($D26,'Tag(Glossary)'!$B:$G,4,0)</f>
        <v>Int</v>
      </c>
      <c r="H26" s="36">
        <f>VLOOKUP($D26,'Tag(Glossary)'!$B:$G,5,0)</f>
        <v>12</v>
      </c>
      <c r="I26" s="37" t="str">
        <f>VLOOKUP($D26,'Tag(Glossary)'!$B:$H,6,0)&amp;IF(ISBLANK(VLOOKUP($D26,'Tag(Glossary)'!$B:$H,7,0)),"",CHAR(10))&amp;VLOOKUP($D26,'Tag(Glossary)'!$B:$H,7,0)</f>
        <v>Sum of trading volumes of issues of which price is not changed</v>
      </c>
    </row>
    <row r="27" spans="2:9">
      <c r="B27" s="80" t="str">
        <f>INDEX('Interface List'!$D$7:$D$45,MATCH($C27,'Interface List'!$E$7:$E$45,0))</f>
        <v>IFMDFIX0014</v>
      </c>
      <c r="C27" s="80" t="s">
        <v>421</v>
      </c>
      <c r="D27" s="78"/>
      <c r="E27" s="79" t="s">
        <v>258</v>
      </c>
      <c r="F27" s="78"/>
      <c r="G27" s="79"/>
      <c r="H27" s="78"/>
      <c r="I27"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5" orientation="portrait" r:id="rId1"/>
  <headerFooter alignWithMargins="0">
    <oddFooter>&amp;C&amp;10&amp;P/&amp;N&amp; Information Technology Service Agreement&amp;R&amp;G</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2:I16"/>
  <sheetViews>
    <sheetView view="pageBreakPreview" zoomScale="85" zoomScaleNormal="75" zoomScaleSheetLayoutView="85" workbookViewId="0">
      <pane xSplit="9" ySplit="4" topLeftCell="J8" activePane="bottomRight" state="frozen"/>
      <selection sqref="A1:XFD1048576"/>
      <selection pane="topRight" sqref="A1:XFD1048576"/>
      <selection pane="bottomLeft" sqref="A1:XFD1048576"/>
      <selection pane="bottomRight" activeCell="I3" sqref="I3"/>
    </sheetView>
  </sheetViews>
  <sheetFormatPr defaultColWidth="8.875" defaultRowHeight="15"/>
  <cols>
    <col min="1" max="1" width="1.75" style="7" customWidth="1"/>
    <col min="2" max="2" width="15.125" style="32" bestFit="1"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422</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IFMDFIX0015</v>
      </c>
      <c r="C5" s="178" t="s">
        <v>325</v>
      </c>
      <c r="D5" s="178"/>
      <c r="E5" s="179" t="s">
        <v>109</v>
      </c>
      <c r="F5" s="178" t="s">
        <v>86</v>
      </c>
      <c r="G5" s="178"/>
      <c r="H5" s="178"/>
      <c r="I5" s="179" t="s">
        <v>423</v>
      </c>
    </row>
    <row r="6" spans="1:9" ht="140.25">
      <c r="B6" s="80" t="str">
        <f>INDEX('Interface List'!$D$7:$D$45,MATCH($C6,'Interface List'!$E$7:$E$45,0))</f>
        <v>IFMDFIX0015</v>
      </c>
      <c r="C6" s="80" t="s">
        <v>325</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80" t="str">
        <f>INDEX('Interface List'!$D$7:$D$45,MATCH($C7,'Interface List'!$E$7:$E$45,0))</f>
        <v>IFMDFIX0015</v>
      </c>
      <c r="C7" s="80" t="s">
        <v>424</v>
      </c>
      <c r="D7" s="78">
        <v>60</v>
      </c>
      <c r="E7" s="79" t="str">
        <f>VLOOKUP($D7,'Tag(Glossary)'!$B:$G,2,0)</f>
        <v>TransactTime</v>
      </c>
      <c r="F7" s="78" t="s">
        <v>85</v>
      </c>
      <c r="G7" s="78" t="str">
        <f>VLOOKUP($D7,'Tag(Glossary)'!$B:$G,4,0)</f>
        <v>UTCTime</v>
      </c>
      <c r="H7" s="78">
        <f>VLOOKUP($D7,'Tag(Glossary)'!$B:$G,5,0)</f>
        <v>9</v>
      </c>
      <c r="I7" s="79" t="str">
        <f>VLOOKUP($D7,'Tag(Glossary)'!$B:$H,6,0)&amp;IF(ISBLANK(VLOOKUP($D7,'Tag(Glossary)'!$B:$H,7,0)),"",CHAR(10))&amp;VLOOKUP($D7,'Tag(Glossary)'!$B:$H,7,0)</f>
        <v>Time of execution/order creation
HHmmSSsss : Normal Case</v>
      </c>
    </row>
    <row r="8" spans="1:9" ht="63.75">
      <c r="B8" s="103" t="str">
        <f>INDEX('Interface List'!$D$7:$D$45,MATCH($C8,'Interface List'!$E$7:$E$45,0))</f>
        <v>IFMDFIX0015</v>
      </c>
      <c r="C8" s="103" t="s">
        <v>325</v>
      </c>
      <c r="D8" s="84">
        <v>30569</v>
      </c>
      <c r="E8" s="85" t="str">
        <f>VLOOKUP($D8,'Tag(Glossary)'!$B:$G,2,0)</f>
        <v>MarketIndexClass</v>
      </c>
      <c r="F8" s="84" t="s">
        <v>85</v>
      </c>
      <c r="G8" s="84" t="str">
        <f>VLOOKUP($D8,'Tag(Glossary)'!$B:$G,4,0)</f>
        <v>String</v>
      </c>
      <c r="H8" s="84">
        <f>VLOOKUP($D8,'Tag(Glossary)'!$B:$G,5,0)</f>
        <v>1</v>
      </c>
      <c r="I8" s="85" t="str">
        <f>VLOOKUP($D8,'Tag(Glossary)'!$B:$H,6,0)&amp;IF(ISBLANK(VLOOKUP($D8,'Tag(Glossary)'!$B:$H,7,0)),"",CHAR(10))&amp;VLOOKUP($D8,'Tag(Glossary)'!$B:$H,7,0)</f>
        <v>Market code of an index
1: HoSE
2: HNX
3: Composite (HoSE + HNX)
4. UPX</v>
      </c>
    </row>
    <row r="9" spans="1:9" ht="63.75">
      <c r="B9" s="103" t="str">
        <f>INDEX('Interface List'!$D$7:$D$45,MATCH($C9,'Interface List'!$E$7:$E$45,0))</f>
        <v>IFMDFIX0015</v>
      </c>
      <c r="C9" s="103" t="s">
        <v>425</v>
      </c>
      <c r="D9" s="84">
        <v>30167</v>
      </c>
      <c r="E9" s="85" t="str">
        <f>VLOOKUP($D9,'Tag(Glossary)'!$B:$G,2,0)</f>
        <v>IndexsTypeCode</v>
      </c>
      <c r="F9" s="84" t="s">
        <v>85</v>
      </c>
      <c r="G9" s="84" t="str">
        <f>VLOOKUP($D9,'Tag(Glossary)'!$B:$G,4,0)</f>
        <v>String</v>
      </c>
      <c r="H9" s="84">
        <f>VLOOKUP($D9,'Tag(Glossary)'!$B:$G,5,0)</f>
        <v>8</v>
      </c>
      <c r="I9" s="85" t="str">
        <f>VLOOKUP($D9,'Tag(Glossary)'!$B:$H,6,0)&amp;IF(ISBLANK(VLOOKUP($D9,'Tag(Glossary)'!$B:$H,7,0)),"",CHAR(10))&amp;VLOOKUP($D9,'Tag(Glossary)'!$B:$H,7,0)</f>
        <v>Industry Index Code
for example
001: Composite index
002: VNALLshare index
100: VN30 index</v>
      </c>
    </row>
    <row r="10" spans="1:9" ht="51">
      <c r="B10" s="103" t="str">
        <f>INDEX('Interface List'!$D$7:$D$45,MATCH($C10,'Interface List'!$E$7:$E$45,0))</f>
        <v>IFMDFIX0015</v>
      </c>
      <c r="C10" s="103" t="s">
        <v>426</v>
      </c>
      <c r="D10" s="84">
        <v>15</v>
      </c>
      <c r="E10" s="85" t="str">
        <f>VLOOKUP($D10,'Tag(Glossary)'!$B:$G,2,0)</f>
        <v>Currency</v>
      </c>
      <c r="F10" s="84" t="s">
        <v>85</v>
      </c>
      <c r="G10" s="84" t="str">
        <f>VLOOKUP($D10,'Tag(Glossary)'!$B:$G,4,0)</f>
        <v>String</v>
      </c>
      <c r="H10" s="84">
        <f>VLOOKUP($D10,'Tag(Glossary)'!$B:$G,5,0)</f>
        <v>3</v>
      </c>
      <c r="I10" s="85" t="str">
        <f>VLOOKUP($D10,'Tag(Glossary)'!$B:$H,6,0)&amp;IF(ISBLANK(VLOOKUP($D10,'Tag(Glossary)'!$B:$H,7,0)),"",CHAR(10))&amp;VLOOKUP($D10,'Tag(Glossary)'!$B:$H,7,0)</f>
        <v>Currency code on ISO 4217
VND: Vietnamese Dong
USD: US Dollar
EUR: Euro</v>
      </c>
    </row>
    <row r="11" spans="1:9" ht="248.25" customHeight="1">
      <c r="B11" s="106" t="str">
        <f>INDEX('Interface List'!$D$7:$D$45,MATCH($C11,'Interface List'!$E$7:$E$45,0))</f>
        <v>IFMDFIX0015</v>
      </c>
      <c r="C11" s="103" t="s">
        <v>427</v>
      </c>
      <c r="D11" s="84">
        <v>20000</v>
      </c>
      <c r="E11" s="38" t="str">
        <f>VLOOKUP($D11,'Tag(Glossary)'!$B:$G,2,0)</f>
        <v>InvestCode</v>
      </c>
      <c r="F11" s="39" t="s">
        <v>85</v>
      </c>
      <c r="G11" s="39" t="str">
        <f>VLOOKUP($D11,'Tag(Glossary)'!$B:$G,4,0)</f>
        <v>String</v>
      </c>
      <c r="H11" s="39">
        <f>VLOOKUP($D11,'Tag(Glossary)'!$B:$G,5,0)</f>
        <v>4</v>
      </c>
      <c r="I11" s="107" t="str">
        <f>VLOOKUP($D11,'Tag(Glossary)'!$B:$H,6,0)&amp;IF(ISBLANK(VLOOKUP($D11,'Tag(Glossary)'!$B:$H,7,0)),"",CHAR(10))&amp;VLOOKUP($D11,'Tag(Glossary)'!$B:$H,7,0)</f>
        <v>This field indicates which category the owner of a given order or quote belongs to. This field is validated against AccountType field as below:
 - If AccountType is Customer (1), any value is permitted for this field.
 - If AccountType is House (3), this field must be 1000.
1000 = Securities company
2000 = Insurance company
3000 = Asset management company and Investment company
3200 = Fund
4000 = Bank
5000 = General finance company
6000 = Pension Fund
7000 = Goverment representation
7030 = International organization
7100 = Misc corporation
8000 = Indivisual</v>
      </c>
    </row>
    <row r="12" spans="1:9">
      <c r="B12" s="106" t="str">
        <f>INDEX('Interface List'!$D$7:$D$45,MATCH($C12,'Interface List'!$E$7:$E$45,0))</f>
        <v>IFMDFIX0015</v>
      </c>
      <c r="C12" s="103" t="s">
        <v>428</v>
      </c>
      <c r="D12" s="84">
        <v>331</v>
      </c>
      <c r="E12" s="85" t="str">
        <f>VLOOKUP($D12,'Tag(Glossary)'!$B:$G,2,0)</f>
        <v>SellVolume</v>
      </c>
      <c r="F12" s="84" t="s">
        <v>85</v>
      </c>
      <c r="G12" s="84" t="str">
        <f>VLOOKUP($D12,'Tag(Glossary)'!$B:$G,4,0)</f>
        <v>Int</v>
      </c>
      <c r="H12" s="84">
        <f>VLOOKUP($D12,'Tag(Glossary)'!$B:$G,5,0)</f>
        <v>12</v>
      </c>
      <c r="I12" s="107" t="str">
        <f>VLOOKUP($D12,'Tag(Glossary)'!$B:$H,6,0)&amp;IF(ISBLANK(VLOOKUP($D12,'Tag(Glossary)'!$B:$H,7,0)),"",CHAR(10))&amp;VLOOKUP($D12,'Tag(Glossary)'!$B:$H,7,0)</f>
        <v>Trading volume in sell side</v>
      </c>
    </row>
    <row r="13" spans="1:9">
      <c r="B13" s="106" t="str">
        <f>INDEX('Interface List'!$D$7:$D$45,MATCH($C13,'Interface List'!$E$7:$E$45,0))</f>
        <v>IFMDFIX0015</v>
      </c>
      <c r="C13" s="103" t="s">
        <v>429</v>
      </c>
      <c r="D13" s="84">
        <v>30168</v>
      </c>
      <c r="E13" s="85" t="str">
        <f>VLOOKUP($D13,'Tag(Glossary)'!$B:$G,2,0)</f>
        <v>SellTradeAmount</v>
      </c>
      <c r="F13" s="84" t="s">
        <v>85</v>
      </c>
      <c r="G13" s="84" t="str">
        <f>VLOOKUP($D13,'Tag(Glossary)'!$B:$G,4,0)</f>
        <v>Float</v>
      </c>
      <c r="H13" s="84" t="str">
        <f>VLOOKUP($D13,'Tag(Glossary)'!$B:$G,5,0)</f>
        <v>23(18.4)</v>
      </c>
      <c r="I13" s="107" t="str">
        <f>VLOOKUP($D13,'Tag(Glossary)'!$B:$H,6,0)&amp;IF(ISBLANK(VLOOKUP($D13,'Tag(Glossary)'!$B:$H,7,0)),"",CHAR(10))&amp;VLOOKUP($D13,'Tag(Glossary)'!$B:$H,7,0)</f>
        <v>Trading value in ask side</v>
      </c>
    </row>
    <row r="14" spans="1:9">
      <c r="B14" s="106" t="str">
        <f>INDEX('Interface List'!$D$7:$D$45,MATCH($C14,'Interface List'!$E$7:$E$45,0))</f>
        <v>IFMDFIX0015</v>
      </c>
      <c r="C14" s="103" t="s">
        <v>430</v>
      </c>
      <c r="D14" s="84">
        <v>330</v>
      </c>
      <c r="E14" s="85" t="str">
        <f>VLOOKUP($D14,'Tag(Glossary)'!$B:$G,2,0)</f>
        <v>BuyVolume</v>
      </c>
      <c r="F14" s="84" t="s">
        <v>85</v>
      </c>
      <c r="G14" s="84" t="str">
        <f>VLOOKUP($D14,'Tag(Glossary)'!$B:$G,4,0)</f>
        <v>Int</v>
      </c>
      <c r="H14" s="84">
        <f>VLOOKUP($D14,'Tag(Glossary)'!$B:$G,5,0)</f>
        <v>12</v>
      </c>
      <c r="I14" s="107" t="str">
        <f>VLOOKUP($D14,'Tag(Glossary)'!$B:$H,6,0)&amp;IF(ISBLANK(VLOOKUP($D14,'Tag(Glossary)'!$B:$H,7,0)),"",CHAR(10))&amp;VLOOKUP($D14,'Tag(Glossary)'!$B:$H,7,0)</f>
        <v>Trading volume in buy side</v>
      </c>
    </row>
    <row r="15" spans="1:9">
      <c r="B15" s="106" t="str">
        <f>INDEX('Interface List'!$D$7:$D$45,MATCH($C15,'Interface List'!$E$7:$E$45,0))</f>
        <v>IFMDFIX0015</v>
      </c>
      <c r="C15" s="103" t="s">
        <v>828</v>
      </c>
      <c r="D15" s="84">
        <v>30169</v>
      </c>
      <c r="E15" s="85" t="str">
        <f>VLOOKUP($D15,'Tag(Glossary)'!$B:$G,2,0)</f>
        <v>BuyTradedAmount</v>
      </c>
      <c r="F15" s="84" t="s">
        <v>85</v>
      </c>
      <c r="G15" s="84" t="str">
        <f>VLOOKUP($D15,'Tag(Glossary)'!$B:$G,4,0)</f>
        <v>Float</v>
      </c>
      <c r="H15" s="84" t="str">
        <f>VLOOKUP($D15,'Tag(Glossary)'!$B:$G,5,0)</f>
        <v>23(18.4)</v>
      </c>
      <c r="I15" s="107" t="str">
        <f>VLOOKUP($D15,'Tag(Glossary)'!$B:$H,6,0)&amp;IF(ISBLANK(VLOOKUP($D15,'Tag(Glossary)'!$B:$H,7,0)),"",CHAR(10))&amp;VLOOKUP($D15,'Tag(Glossary)'!$B:$H,7,0)</f>
        <v>Trading value in bid side</v>
      </c>
    </row>
    <row r="16" spans="1:9">
      <c r="B16" s="80" t="str">
        <f>INDEX('Interface List'!$D$7:$D$45,MATCH($C16,'Interface List'!$E$7:$E$45,0))</f>
        <v>IFMDFIX0015</v>
      </c>
      <c r="C16" s="80" t="s">
        <v>325</v>
      </c>
      <c r="D16" s="78"/>
      <c r="E16" s="79" t="s">
        <v>258</v>
      </c>
      <c r="F16" s="78" t="s">
        <v>85</v>
      </c>
      <c r="G16" s="78"/>
      <c r="H16" s="78"/>
      <c r="I16"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7" orientation="portrait" r:id="rId1"/>
  <headerFooter alignWithMargins="0">
    <oddFooter>&amp;C&amp;10&amp;P/&amp;N&amp; Information Technology Service Agreement&amp;R&amp;G</oddFooter>
  </headerFooter>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2:I14"/>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5"/>
    </sheetView>
  </sheetViews>
  <sheetFormatPr defaultColWidth="8.875" defaultRowHeight="15"/>
  <cols>
    <col min="1" max="1" width="1.75" style="7" customWidth="1"/>
    <col min="2" max="2" width="15.125" style="32" bestFit="1" customWidth="1"/>
    <col min="3" max="3" width="20.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431</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IFMDFIX0016</v>
      </c>
      <c r="C5" s="178" t="s">
        <v>432</v>
      </c>
      <c r="D5" s="178"/>
      <c r="E5" s="179" t="s">
        <v>433</v>
      </c>
      <c r="F5" s="178" t="s">
        <v>434</v>
      </c>
      <c r="G5" s="178"/>
      <c r="H5" s="178"/>
      <c r="I5" s="179" t="s">
        <v>435</v>
      </c>
    </row>
    <row r="6" spans="1:9" ht="140.25">
      <c r="B6" s="80" t="str">
        <f>INDEX('Interface List'!$D$7:$D$45,MATCH($C6,'Interface List'!$E$7:$E$45,0))</f>
        <v>IFMDFIX0016</v>
      </c>
      <c r="C6" s="80" t="s">
        <v>432</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80" t="str">
        <f>INDEX('Interface List'!$D$7:$D$45,MATCH($C7,'Interface List'!$E$7:$E$45,0))</f>
        <v>IFMDFIX0016</v>
      </c>
      <c r="C7" s="80" t="s">
        <v>436</v>
      </c>
      <c r="D7" s="78">
        <v>60</v>
      </c>
      <c r="E7" s="79" t="str">
        <f>VLOOKUP($D7,'Tag(Glossary)'!$B:$G,2,0)</f>
        <v>TransactTime</v>
      </c>
      <c r="F7" s="78" t="s">
        <v>85</v>
      </c>
      <c r="G7" s="78" t="str">
        <f>VLOOKUP($D7,'Tag(Glossary)'!$B:$G,4,0)</f>
        <v>UTCTime</v>
      </c>
      <c r="H7" s="78">
        <f>VLOOKUP($D7,'Tag(Glossary)'!$B:$G,5,0)</f>
        <v>9</v>
      </c>
      <c r="I7" s="79" t="str">
        <f>VLOOKUP($D7,'Tag(Glossary)'!$B:$H,6,0)&amp;IF(ISBLANK(VLOOKUP($D7,'Tag(Glossary)'!$B:$H,7,0)),"",CHAR(10))&amp;VLOOKUP($D7,'Tag(Glossary)'!$B:$H,7,0)</f>
        <v>Time of execution/order creation
HHmmSSsss : Normal Case</v>
      </c>
    </row>
    <row r="8" spans="1:9" ht="38.25">
      <c r="B8" s="103" t="str">
        <f>INDEX('Interface List'!$D$7:$D$45,MATCH($C8,'Interface List'!$E$7:$E$45,0))</f>
        <v>IFMDFIX0016</v>
      </c>
      <c r="C8" s="103" t="s">
        <v>327</v>
      </c>
      <c r="D8" s="84">
        <v>30597</v>
      </c>
      <c r="E8" s="85" t="str">
        <f>VLOOKUP($D8,'Tag(Glossary)'!$B:$G,2,0)</f>
        <v>BondClassificationCode</v>
      </c>
      <c r="F8" s="84" t="s">
        <v>85</v>
      </c>
      <c r="G8" s="84" t="str">
        <f>VLOOKUP($D8,'Tag(Glossary)'!$B:$G,4,0)</f>
        <v>String</v>
      </c>
      <c r="H8" s="84">
        <f>VLOOKUP($D8,'Tag(Glossary)'!$B:$G,5,0)</f>
        <v>10</v>
      </c>
      <c r="I8" s="85" t="str">
        <f>VLOOKUP($D8,'Tag(Glossary)'!$B:$H,6,0)&amp;IF(ISBLANK(VLOOKUP($D8,'Tag(Glossary)'!$B:$H,7,0)),"",CHAR(10))&amp;VLOOKUP($D8,'Tag(Glossary)'!$B:$H,7,0)</f>
        <v>T-bills, T-Bonds, Note of the central bank, State mortgage bonds and so on.
## If CFI has a function to classify above, this item is needless</v>
      </c>
    </row>
    <row r="9" spans="1:9" ht="191.25">
      <c r="B9" s="106" t="str">
        <f>INDEX('Interface List'!$D$7:$D$45,MATCH($C9,'Interface List'!$E$7:$E$45,0))</f>
        <v>IFMDFIX0016</v>
      </c>
      <c r="C9" s="103" t="s">
        <v>327</v>
      </c>
      <c r="D9" s="84">
        <v>20000</v>
      </c>
      <c r="E9" s="38" t="str">
        <f>VLOOKUP($D9,'Tag(Glossary)'!$B:$G,2,0)</f>
        <v>InvestCode</v>
      </c>
      <c r="F9" s="39" t="s">
        <v>85</v>
      </c>
      <c r="G9" s="39" t="str">
        <f>VLOOKUP($D9,'Tag(Glossary)'!$B:$G,4,0)</f>
        <v>String</v>
      </c>
      <c r="H9" s="39">
        <f>VLOOKUP($D9,'Tag(Glossary)'!$B:$G,5,0)</f>
        <v>4</v>
      </c>
      <c r="I9" s="107" t="str">
        <f>VLOOKUP($D9,'Tag(Glossary)'!$B:$H,6,0)&amp;IF(ISBLANK(VLOOKUP($D9,'Tag(Glossary)'!$B:$H,7,0)),"",CHAR(10))&amp;VLOOKUP($D9,'Tag(Glossary)'!$B:$H,7,0)</f>
        <v>This field indicates which category the owner of a given order or quote belongs to. This field is validated against AccountType field as below:
 - If AccountType is Customer (1), any value is permitted for this field.
 - If AccountType is House (3), this field must be 1000.
1000 = Securities company
2000 = Insurance company
3000 = Asset management company and Investment company
3200 = Fund
4000 = Bank
5000 = General finance company
6000 = Pension Fund
7000 = Goverment representation
7030 = International organization
7100 = Misc corporation
8000 = Indivisual</v>
      </c>
    </row>
    <row r="10" spans="1:9">
      <c r="B10" s="106" t="str">
        <f>INDEX('Interface List'!$D$7:$D$45,MATCH($C10,'Interface List'!$E$7:$E$45,0))</f>
        <v>IFMDFIX0016</v>
      </c>
      <c r="C10" s="103" t="s">
        <v>327</v>
      </c>
      <c r="D10" s="84">
        <v>331</v>
      </c>
      <c r="E10" s="85" t="str">
        <f>VLOOKUP($D10,'Tag(Glossary)'!$B:$G,2,0)</f>
        <v>SellVolume</v>
      </c>
      <c r="F10" s="84" t="s">
        <v>85</v>
      </c>
      <c r="G10" s="84" t="str">
        <f>VLOOKUP($D10,'Tag(Glossary)'!$B:$G,4,0)</f>
        <v>Int</v>
      </c>
      <c r="H10" s="84">
        <f>VLOOKUP($D10,'Tag(Glossary)'!$B:$G,5,0)</f>
        <v>12</v>
      </c>
      <c r="I10" s="107" t="str">
        <f>VLOOKUP($D10,'Tag(Glossary)'!$B:$H,6,0)&amp;IF(ISBLANK(VLOOKUP($D10,'Tag(Glossary)'!$B:$H,7,0)),"",CHAR(10))&amp;VLOOKUP($D10,'Tag(Glossary)'!$B:$H,7,0)</f>
        <v>Trading volume in sell side</v>
      </c>
    </row>
    <row r="11" spans="1:9">
      <c r="B11" s="106" t="str">
        <f>INDEX('Interface List'!$D$7:$D$45,MATCH($C11,'Interface List'!$E$7:$E$45,0))</f>
        <v>IFMDFIX0016</v>
      </c>
      <c r="C11" s="103" t="s">
        <v>327</v>
      </c>
      <c r="D11" s="84">
        <v>30168</v>
      </c>
      <c r="E11" s="85" t="str">
        <f>VLOOKUP($D11,'Tag(Glossary)'!$B:$G,2,0)</f>
        <v>SellTradeAmount</v>
      </c>
      <c r="F11" s="84" t="s">
        <v>85</v>
      </c>
      <c r="G11" s="84" t="str">
        <f>VLOOKUP($D11,'Tag(Glossary)'!$B:$G,4,0)</f>
        <v>Float</v>
      </c>
      <c r="H11" s="84" t="str">
        <f>VLOOKUP($D11,'Tag(Glossary)'!$B:$G,5,0)</f>
        <v>23(18.4)</v>
      </c>
      <c r="I11" s="107" t="str">
        <f>VLOOKUP($D11,'Tag(Glossary)'!$B:$H,6,0)&amp;IF(ISBLANK(VLOOKUP($D11,'Tag(Glossary)'!$B:$H,7,0)),"",CHAR(10))&amp;VLOOKUP($D11,'Tag(Glossary)'!$B:$H,7,0)</f>
        <v>Trading value in ask side</v>
      </c>
    </row>
    <row r="12" spans="1:9">
      <c r="B12" s="106" t="str">
        <f>INDEX('Interface List'!$D$7:$D$45,MATCH($C12,'Interface List'!$E$7:$E$45,0))</f>
        <v>IFMDFIX0016</v>
      </c>
      <c r="C12" s="103" t="s">
        <v>327</v>
      </c>
      <c r="D12" s="84">
        <v>330</v>
      </c>
      <c r="E12" s="85" t="str">
        <f>VLOOKUP($D12,'Tag(Glossary)'!$B:$G,2,0)</f>
        <v>BuyVolume</v>
      </c>
      <c r="F12" s="84" t="s">
        <v>85</v>
      </c>
      <c r="G12" s="84" t="str">
        <f>VLOOKUP($D12,'Tag(Glossary)'!$B:$G,4,0)</f>
        <v>Int</v>
      </c>
      <c r="H12" s="84">
        <f>VLOOKUP($D12,'Tag(Glossary)'!$B:$G,5,0)</f>
        <v>12</v>
      </c>
      <c r="I12" s="107" t="str">
        <f>VLOOKUP($D12,'Tag(Glossary)'!$B:$H,6,0)&amp;IF(ISBLANK(VLOOKUP($D12,'Tag(Glossary)'!$B:$H,7,0)),"",CHAR(10))&amp;VLOOKUP($D12,'Tag(Glossary)'!$B:$H,7,0)</f>
        <v>Trading volume in buy side</v>
      </c>
    </row>
    <row r="13" spans="1:9">
      <c r="B13" s="106" t="str">
        <f>INDEX('Interface List'!$D$7:$D$45,MATCH($C13,'Interface List'!$E$7:$E$45,0))</f>
        <v>IFMDFIX0016</v>
      </c>
      <c r="C13" s="103" t="s">
        <v>827</v>
      </c>
      <c r="D13" s="84">
        <v>30169</v>
      </c>
      <c r="E13" s="85" t="str">
        <f>VLOOKUP($D13,'Tag(Glossary)'!$B:$G,2,0)</f>
        <v>BuyTradedAmount</v>
      </c>
      <c r="F13" s="84" t="s">
        <v>85</v>
      </c>
      <c r="G13" s="84" t="str">
        <f>VLOOKUP($D13,'Tag(Glossary)'!$B:$G,4,0)</f>
        <v>Float</v>
      </c>
      <c r="H13" s="84" t="str">
        <f>VLOOKUP($D13,'Tag(Glossary)'!$B:$G,5,0)</f>
        <v>23(18.4)</v>
      </c>
      <c r="I13" s="107" t="str">
        <f>VLOOKUP($D13,'Tag(Glossary)'!$B:$H,6,0)&amp;IF(ISBLANK(VLOOKUP($D13,'Tag(Glossary)'!$B:$H,7,0)),"",CHAR(10))&amp;VLOOKUP($D13,'Tag(Glossary)'!$B:$H,7,0)</f>
        <v>Trading value in bid side</v>
      </c>
    </row>
    <row r="14" spans="1:9">
      <c r="B14" s="80" t="str">
        <f>INDEX('Interface List'!$D$7:$D$45,MATCH($C14,'Interface List'!$E$7:$E$45,0))</f>
        <v>IFMDFIX0016</v>
      </c>
      <c r="C14" s="80" t="s">
        <v>327</v>
      </c>
      <c r="D14" s="78"/>
      <c r="E14" s="79" t="s">
        <v>258</v>
      </c>
      <c r="F14" s="78" t="s">
        <v>85</v>
      </c>
      <c r="G14" s="78"/>
      <c r="H14" s="78"/>
      <c r="I14"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2:I15"/>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5"/>
    </sheetView>
  </sheetViews>
  <sheetFormatPr defaultColWidth="8.875" defaultRowHeight="15"/>
  <cols>
    <col min="1" max="1" width="1.75" style="7" customWidth="1"/>
    <col min="2" max="2" width="15.125" style="32" bestFit="1" customWidth="1"/>
    <col min="3" max="3" width="23.6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328</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ht="25.5">
      <c r="B5" s="166" t="str">
        <f>INDEX('Interface List'!$D$7:$D$45,MATCH($C5,'Interface List'!$E$7:$E$45,0))</f>
        <v>IFMDFIX0017</v>
      </c>
      <c r="C5" s="178" t="s">
        <v>437</v>
      </c>
      <c r="D5" s="178"/>
      <c r="E5" s="179" t="s">
        <v>438</v>
      </c>
      <c r="F5" s="178" t="s">
        <v>439</v>
      </c>
      <c r="G5" s="178"/>
      <c r="H5" s="178"/>
      <c r="I5" s="179" t="s">
        <v>440</v>
      </c>
    </row>
    <row r="6" spans="1:9" ht="140.25">
      <c r="B6" s="80" t="str">
        <f>INDEX('Interface List'!$D$7:$D$45,MATCH($C6,'Interface List'!$E$7:$E$45,0))</f>
        <v>IFMDFIX0017</v>
      </c>
      <c r="C6" s="80" t="s">
        <v>437</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80" t="str">
        <f>INDEX('Interface List'!$D$7:$D$45,MATCH($C7,'Interface List'!$E$7:$E$45,0))</f>
        <v>IFMDFIX0017</v>
      </c>
      <c r="C7" s="80" t="s">
        <v>442</v>
      </c>
      <c r="D7" s="78">
        <v>60</v>
      </c>
      <c r="E7" s="79" t="str">
        <f>VLOOKUP($D7,'Tag(Glossary)'!$B:$G,2,0)</f>
        <v>TransactTime</v>
      </c>
      <c r="F7" s="78" t="s">
        <v>85</v>
      </c>
      <c r="G7" s="78" t="str">
        <f>VLOOKUP($D7,'Tag(Glossary)'!$B:$G,4,0)</f>
        <v>UTCTime</v>
      </c>
      <c r="H7" s="78">
        <f>VLOOKUP($D7,'Tag(Glossary)'!$B:$G,5,0)</f>
        <v>9</v>
      </c>
      <c r="I7" s="79" t="str">
        <f>VLOOKUP($D7,'Tag(Glossary)'!$B:$H,6,0)&amp;IF(ISBLANK(VLOOKUP($D7,'Tag(Glossary)'!$B:$H,7,0)),"",CHAR(10))&amp;VLOOKUP($D7,'Tag(Glossary)'!$B:$H,7,0)</f>
        <v>Time of execution/order creation
HHmmSSsss : Normal Case</v>
      </c>
    </row>
    <row r="8" spans="1:9" ht="25.5">
      <c r="B8" s="103" t="str">
        <f>INDEX('Interface List'!$D$7:$D$45,MATCH($C8,'Interface List'!$E$7:$E$45,0))</f>
        <v>IFMDFIX0017</v>
      </c>
      <c r="C8" s="103" t="s">
        <v>443</v>
      </c>
      <c r="D8" s="84">
        <v>30604</v>
      </c>
      <c r="E8" s="85" t="str">
        <f>VLOOKUP($D8,'Tag(Glossary)'!$B:$G,2,0)</f>
        <v>SecurityGroupID</v>
      </c>
      <c r="F8" s="84" t="s">
        <v>85</v>
      </c>
      <c r="G8" s="84" t="str">
        <f>VLOOKUP($D8,'Tag(Glossary)'!$B:$G,4,0)</f>
        <v>String</v>
      </c>
      <c r="H8" s="84">
        <f>VLOOKUP($D8,'Tag(Glossary)'!$B:$G,5,0)</f>
        <v>2</v>
      </c>
      <c r="I8" s="85" t="str">
        <f>VLOOKUP($D8,'Tag(Glossary)'!$B:$H,6,0)&amp;IF(ISBLANK(VLOOKUP($D8,'Tag(Glossary)'!$B:$H,7,0)),"",CHAR(10))&amp;VLOOKUP($D8,'Tag(Glossary)'!$B:$H,7,0)</f>
        <v>Security group ID (Stock, Investment Trust, Futures, Option,  etc.)</v>
      </c>
    </row>
    <row r="9" spans="1:9" ht="191.25">
      <c r="B9" s="106" t="str">
        <f>INDEX('Interface List'!$D$7:$D$45,MATCH($C9,'Interface List'!$E$7:$E$45,0))</f>
        <v>IFMDFIX0017</v>
      </c>
      <c r="C9" s="103" t="s">
        <v>443</v>
      </c>
      <c r="D9" s="84">
        <v>20000</v>
      </c>
      <c r="E9" s="38" t="str">
        <f>VLOOKUP($D9,'Tag(Glossary)'!$B:$G,2,0)</f>
        <v>InvestCode</v>
      </c>
      <c r="F9" s="39" t="s">
        <v>85</v>
      </c>
      <c r="G9" s="39" t="str">
        <f>VLOOKUP($D9,'Tag(Glossary)'!$B:$G,4,0)</f>
        <v>String</v>
      </c>
      <c r="H9" s="39">
        <f>VLOOKUP($D9,'Tag(Glossary)'!$B:$G,5,0)</f>
        <v>4</v>
      </c>
      <c r="I9" s="184" t="str">
        <f>VLOOKUP($D9,'Tag(Glossary)'!$B:$H,6,0)&amp;IF(ISBLANK(VLOOKUP($D9,'Tag(Glossary)'!$B:$H,7,0)),"",CHAR(10))&amp;VLOOKUP($D9,'Tag(Glossary)'!$B:$H,7,0)</f>
        <v>This field indicates which category the owner of a given order or quote belongs to. This field is validated against AccountType field as below:
 - If AccountType is Customer (1), any value is permitted for this field.
 - If AccountType is House (3), this field must be 1000.
1000 = Securities company
2000 = Insurance company
3000 = Asset management company and Investment company
3200 = Fund
4000 = Bank
5000 = General finance company
6000 = Pension Fund
7000 = Goverment representation
7030 = International organization
7100 = Misc corporation
8000 = Indivisual</v>
      </c>
    </row>
    <row r="10" spans="1:9" ht="25.5">
      <c r="B10" s="106" t="str">
        <f>INDEX('Interface List'!$D$7:$D$45,MATCH($C10,'Interface List'!$E$7:$E$45,0))</f>
        <v>IFMDFIX0017</v>
      </c>
      <c r="C10" s="103" t="s">
        <v>441</v>
      </c>
      <c r="D10" s="84">
        <v>331</v>
      </c>
      <c r="E10" s="85" t="str">
        <f>VLOOKUP($D10,'Tag(Glossary)'!$B:$G,2,0)</f>
        <v>SellVolume</v>
      </c>
      <c r="F10" s="84" t="s">
        <v>85</v>
      </c>
      <c r="G10" s="84" t="str">
        <f>VLOOKUP($D10,'Tag(Glossary)'!$B:$G,4,0)</f>
        <v>Int</v>
      </c>
      <c r="H10" s="84">
        <f>VLOOKUP($D10,'Tag(Glossary)'!$B:$G,5,0)</f>
        <v>12</v>
      </c>
      <c r="I10" s="107" t="str">
        <f>VLOOKUP($D10,'Tag(Glossary)'!$B:$H,6,0)&amp;IF(ISBLANK(VLOOKUP($D10,'Tag(Glossary)'!$B:$H,7,0)),"",CHAR(10))&amp;VLOOKUP($D10,'Tag(Glossary)'!$B:$H,7,0)</f>
        <v>Trading volume in sell side</v>
      </c>
    </row>
    <row r="11" spans="1:9" ht="25.5">
      <c r="B11" s="106" t="str">
        <f>INDEX('Interface List'!$D$7:$D$45,MATCH($C11,'Interface List'!$E$7:$E$45,0))</f>
        <v>IFMDFIX0017</v>
      </c>
      <c r="C11" s="103" t="s">
        <v>443</v>
      </c>
      <c r="D11" s="84">
        <v>30168</v>
      </c>
      <c r="E11" s="85" t="str">
        <f>VLOOKUP($D11,'Tag(Glossary)'!$B:$G,2,0)</f>
        <v>SellTradeAmount</v>
      </c>
      <c r="F11" s="84" t="s">
        <v>85</v>
      </c>
      <c r="G11" s="84" t="str">
        <f>VLOOKUP($D11,'Tag(Glossary)'!$B:$G,4,0)</f>
        <v>Float</v>
      </c>
      <c r="H11" s="84" t="str">
        <f>VLOOKUP($D11,'Tag(Glossary)'!$B:$G,5,0)</f>
        <v>23(18.4)</v>
      </c>
      <c r="I11" s="107" t="str">
        <f>VLOOKUP($D11,'Tag(Glossary)'!$B:$H,6,0)&amp;IF(ISBLANK(VLOOKUP($D11,'Tag(Glossary)'!$B:$H,7,0)),"",CHAR(10))&amp;VLOOKUP($D11,'Tag(Glossary)'!$B:$H,7,0)</f>
        <v>Trading value in ask side</v>
      </c>
    </row>
    <row r="12" spans="1:9" ht="25.5">
      <c r="B12" s="106" t="str">
        <f>INDEX('Interface List'!$D$7:$D$45,MATCH($C12,'Interface List'!$E$7:$E$45,0))</f>
        <v>IFMDFIX0017</v>
      </c>
      <c r="C12" s="103" t="s">
        <v>441</v>
      </c>
      <c r="D12" s="84">
        <v>330</v>
      </c>
      <c r="E12" s="85" t="str">
        <f>VLOOKUP($D12,'Tag(Glossary)'!$B:$G,2,0)</f>
        <v>BuyVolume</v>
      </c>
      <c r="F12" s="84" t="s">
        <v>85</v>
      </c>
      <c r="G12" s="84" t="str">
        <f>VLOOKUP($D12,'Tag(Glossary)'!$B:$G,4,0)</f>
        <v>Int</v>
      </c>
      <c r="H12" s="84">
        <f>VLOOKUP($D12,'Tag(Glossary)'!$B:$G,5,0)</f>
        <v>12</v>
      </c>
      <c r="I12" s="107" t="str">
        <f>VLOOKUP($D12,'Tag(Glossary)'!$B:$H,6,0)&amp;IF(ISBLANK(VLOOKUP($D12,'Tag(Glossary)'!$B:$H,7,0)),"",CHAR(10))&amp;VLOOKUP($D12,'Tag(Glossary)'!$B:$H,7,0)</f>
        <v>Trading volume in buy side</v>
      </c>
    </row>
    <row r="13" spans="1:9" ht="25.5">
      <c r="B13" s="106" t="str">
        <f>INDEX('Interface List'!$D$7:$D$45,MATCH($C13,'Interface List'!$E$7:$E$45,0))</f>
        <v>IFMDFIX0017</v>
      </c>
      <c r="C13" s="103" t="s">
        <v>826</v>
      </c>
      <c r="D13" s="84">
        <v>30169</v>
      </c>
      <c r="E13" s="85" t="str">
        <f>VLOOKUP($D13,'Tag(Glossary)'!$B:$G,2,0)</f>
        <v>BuyTradedAmount</v>
      </c>
      <c r="F13" s="84" t="s">
        <v>85</v>
      </c>
      <c r="G13" s="84" t="str">
        <f>VLOOKUP($D13,'Tag(Glossary)'!$B:$G,4,0)</f>
        <v>Float</v>
      </c>
      <c r="H13" s="84" t="str">
        <f>VLOOKUP($D13,'Tag(Glossary)'!$B:$G,5,0)</f>
        <v>23(18.4)</v>
      </c>
      <c r="I13" s="107" t="str">
        <f>VLOOKUP($D13,'Tag(Glossary)'!$B:$H,6,0)&amp;IF(ISBLANK(VLOOKUP($D13,'Tag(Glossary)'!$B:$H,7,0)),"",CHAR(10))&amp;VLOOKUP($D13,'Tag(Glossary)'!$B:$H,7,0)</f>
        <v>Trading value in bid side</v>
      </c>
    </row>
    <row r="14" spans="1:9" ht="25.5">
      <c r="B14" s="103" t="str">
        <f>INDEX('Interface List'!$D$7:$D$45,MATCH($C14,'Interface List'!$E$7:$E$45,0))</f>
        <v>IFMDFIX0017</v>
      </c>
      <c r="C14" s="103" t="s">
        <v>328</v>
      </c>
      <c r="D14" s="84"/>
      <c r="E14" s="85" t="s">
        <v>258</v>
      </c>
      <c r="F14" s="84" t="s">
        <v>85</v>
      </c>
      <c r="G14" s="84"/>
      <c r="H14" s="84"/>
      <c r="I14" s="85"/>
    </row>
    <row r="15" spans="1:9">
      <c r="B15" s="98"/>
      <c r="C15" s="98"/>
      <c r="D15" s="98"/>
      <c r="E15" s="99"/>
      <c r="F15" s="98"/>
      <c r="G15" s="100"/>
      <c r="H15" s="98"/>
      <c r="I15" s="100"/>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3" orientation="portrait" r:id="rId1"/>
  <headerFooter alignWithMargins="0">
    <oddFooter>&amp;C&amp;10&amp;P/&amp;N&amp; Information Technology Service Agreement&amp;R&amp;G</oddFooter>
  </headerFooter>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2:I13"/>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4"/>
    </sheetView>
  </sheetViews>
  <sheetFormatPr defaultColWidth="8.875" defaultRowHeight="15"/>
  <cols>
    <col min="1" max="1" width="1.75" style="7" customWidth="1"/>
    <col min="2" max="2" width="16.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444</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IFMDFIX0018</v>
      </c>
      <c r="C5" s="178" t="s">
        <v>329</v>
      </c>
      <c r="D5" s="178"/>
      <c r="E5" s="179" t="s">
        <v>109</v>
      </c>
      <c r="F5" s="178" t="s">
        <v>86</v>
      </c>
      <c r="G5" s="178"/>
      <c r="H5" s="178"/>
      <c r="I5" s="179" t="s">
        <v>445</v>
      </c>
    </row>
    <row r="6" spans="1:9" ht="140.25">
      <c r="B6" s="80" t="str">
        <f>INDEX('Interface List'!$D$7:$D$45,MATCH($C6,'Interface List'!$E$7:$E$45,0))</f>
        <v>IFMDFIX0018</v>
      </c>
      <c r="C6" s="80" t="s">
        <v>329</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103" t="str">
        <f>INDEX('Interface List'!$D$7:$D$45,MATCH($C7,'Interface List'!$E$7:$E$45,0))</f>
        <v>IFMDFIX0018</v>
      </c>
      <c r="C7" s="103" t="s">
        <v>329</v>
      </c>
      <c r="D7" s="84">
        <v>55</v>
      </c>
      <c r="E7" s="85" t="str">
        <f>VLOOKUP($D7,'Tag(Glossary)'!$B:$G,2,0)</f>
        <v>Symbol</v>
      </c>
      <c r="F7" s="84" t="s">
        <v>85</v>
      </c>
      <c r="G7" s="84" t="str">
        <f>VLOOKUP($D7,'Tag(Glossary)'!$B:$G,4,0)</f>
        <v>String</v>
      </c>
      <c r="H7" s="84">
        <f>VLOOKUP($D7,'Tag(Glossary)'!$B:$G,5,0)</f>
        <v>12</v>
      </c>
      <c r="I7" s="85" t="str">
        <f>VLOOKUP($D7,'Tag(Glossary)'!$B:$H,6,0)&amp;IF(ISBLANK(VLOOKUP($D7,'Tag(Glossary)'!$B:$H,7,0)),"",CHAR(10))&amp;VLOOKUP($D7,'Tag(Glossary)'!$B:$H,7,0)</f>
        <v>The unique code of an issue (a.k.a. instrument or symbol). Generally it is ISIN code but in case of Repo market it is defined as the exchange staffs want</v>
      </c>
    </row>
    <row r="8" spans="1:9" ht="191.25">
      <c r="B8" s="106" t="str">
        <f>INDEX('Interface List'!$D$7:$D$45,MATCH($C8,'Interface List'!$E$7:$E$45,0))</f>
        <v>IFMDFIX0018</v>
      </c>
      <c r="C8" s="103" t="s">
        <v>329</v>
      </c>
      <c r="D8" s="84">
        <v>20000</v>
      </c>
      <c r="E8" s="38" t="str">
        <f>VLOOKUP($D8,'Tag(Glossary)'!$B:$G,2,0)</f>
        <v>InvestCode</v>
      </c>
      <c r="F8" s="39" t="s">
        <v>85</v>
      </c>
      <c r="G8" s="39" t="str">
        <f>VLOOKUP($D8,'Tag(Glossary)'!$B:$G,4,0)</f>
        <v>String</v>
      </c>
      <c r="H8" s="39">
        <f>VLOOKUP($D8,'Tag(Glossary)'!$B:$G,5,0)</f>
        <v>4</v>
      </c>
      <c r="I8" s="184" t="str">
        <f>VLOOKUP($D8,'Tag(Glossary)'!$B:$H,6,0)&amp;IF(ISBLANK(VLOOKUP($D8,'Tag(Glossary)'!$B:$H,7,0)),"",CHAR(10))&amp;VLOOKUP($D8,'Tag(Glossary)'!$B:$H,7,0)</f>
        <v>This field indicates which category the owner of a given order or quote belongs to. This field is validated against AccountType field as below:
 - If AccountType is Customer (1), any value is permitted for this field.
 - If AccountType is House (3), this field must be 1000.
1000 = Securities company
2000 = Insurance company
3000 = Asset management company and Investment company
3200 = Fund
4000 = Bank
5000 = General finance company
6000 = Pension Fund
7000 = Goverment representation
7030 = International organization
7100 = Misc corporation
8000 = Indivisual</v>
      </c>
    </row>
    <row r="9" spans="1:9">
      <c r="B9" s="106" t="str">
        <f>INDEX('Interface List'!$D$7:$D$45,MATCH($C9,'Interface List'!$E$7:$E$45,0))</f>
        <v>IFMDFIX0018</v>
      </c>
      <c r="C9" s="103" t="s">
        <v>329</v>
      </c>
      <c r="D9" s="84">
        <v>331</v>
      </c>
      <c r="E9" s="85" t="str">
        <f>VLOOKUP($D9,'Tag(Glossary)'!$B:$G,2,0)</f>
        <v>SellVolume</v>
      </c>
      <c r="F9" s="84" t="s">
        <v>85</v>
      </c>
      <c r="G9" s="84" t="str">
        <f>VLOOKUP($D9,'Tag(Glossary)'!$B:$G,4,0)</f>
        <v>Int</v>
      </c>
      <c r="H9" s="84">
        <f>VLOOKUP($D9,'Tag(Glossary)'!$B:$G,5,0)</f>
        <v>12</v>
      </c>
      <c r="I9" s="107" t="str">
        <f>VLOOKUP($D9,'Tag(Glossary)'!$B:$H,6,0)&amp;IF(ISBLANK(VLOOKUP($D9,'Tag(Glossary)'!$B:$H,7,0)),"",CHAR(10))&amp;VLOOKUP($D9,'Tag(Glossary)'!$B:$H,7,0)</f>
        <v>Trading volume in sell side</v>
      </c>
    </row>
    <row r="10" spans="1:9">
      <c r="B10" s="106" t="str">
        <f>INDEX('Interface List'!$D$7:$D$45,MATCH($C10,'Interface List'!$E$7:$E$45,0))</f>
        <v>IFMDFIX0018</v>
      </c>
      <c r="C10" s="103" t="s">
        <v>329</v>
      </c>
      <c r="D10" s="84">
        <v>30168</v>
      </c>
      <c r="E10" s="85" t="str">
        <f>VLOOKUP($D10,'Tag(Glossary)'!$B:$G,2,0)</f>
        <v>SellTradeAmount</v>
      </c>
      <c r="F10" s="84" t="s">
        <v>85</v>
      </c>
      <c r="G10" s="84" t="str">
        <f>VLOOKUP($D10,'Tag(Glossary)'!$B:$G,4,0)</f>
        <v>Float</v>
      </c>
      <c r="H10" s="84" t="str">
        <f>VLOOKUP($D10,'Tag(Glossary)'!$B:$G,5,0)</f>
        <v>23(18.4)</v>
      </c>
      <c r="I10" s="107" t="str">
        <f>VLOOKUP($D10,'Tag(Glossary)'!$B:$H,6,0)&amp;IF(ISBLANK(VLOOKUP($D10,'Tag(Glossary)'!$B:$H,7,0)),"",CHAR(10))&amp;VLOOKUP($D10,'Tag(Glossary)'!$B:$H,7,0)</f>
        <v>Trading value in ask side</v>
      </c>
    </row>
    <row r="11" spans="1:9">
      <c r="B11" s="106" t="str">
        <f>INDEX('Interface List'!$D$7:$D$45,MATCH($C11,'Interface List'!$E$7:$E$45,0))</f>
        <v>IFMDFIX0018</v>
      </c>
      <c r="C11" s="103" t="s">
        <v>329</v>
      </c>
      <c r="D11" s="84">
        <v>330</v>
      </c>
      <c r="E11" s="85" t="str">
        <f>VLOOKUP($D11,'Tag(Glossary)'!$B:$G,2,0)</f>
        <v>BuyVolume</v>
      </c>
      <c r="F11" s="84" t="s">
        <v>85</v>
      </c>
      <c r="G11" s="84" t="str">
        <f>VLOOKUP($D11,'Tag(Glossary)'!$B:$G,4,0)</f>
        <v>Int</v>
      </c>
      <c r="H11" s="84">
        <f>VLOOKUP($D11,'Tag(Glossary)'!$B:$G,5,0)</f>
        <v>12</v>
      </c>
      <c r="I11" s="107" t="str">
        <f>VLOOKUP($D11,'Tag(Glossary)'!$B:$H,6,0)&amp;IF(ISBLANK(VLOOKUP($D11,'Tag(Glossary)'!$B:$H,7,0)),"",CHAR(10))&amp;VLOOKUP($D11,'Tag(Glossary)'!$B:$H,7,0)</f>
        <v>Trading volume in buy side</v>
      </c>
    </row>
    <row r="12" spans="1:9">
      <c r="B12" s="106" t="str">
        <f>INDEX('Interface List'!$D$7:$D$45,MATCH($C12,'Interface List'!$E$7:$E$45,0))</f>
        <v>IFMDFIX0018</v>
      </c>
      <c r="C12" s="103" t="s">
        <v>825</v>
      </c>
      <c r="D12" s="84">
        <v>30169</v>
      </c>
      <c r="E12" s="85" t="str">
        <f>VLOOKUP($D12,'Tag(Glossary)'!$B:$G,2,0)</f>
        <v>BuyTradedAmount</v>
      </c>
      <c r="F12" s="84" t="s">
        <v>85</v>
      </c>
      <c r="G12" s="84" t="str">
        <f>VLOOKUP($D12,'Tag(Glossary)'!$B:$G,4,0)</f>
        <v>Float</v>
      </c>
      <c r="H12" s="84" t="str">
        <f>VLOOKUP($D12,'Tag(Glossary)'!$B:$G,5,0)</f>
        <v>23(18.4)</v>
      </c>
      <c r="I12" s="107" t="str">
        <f>VLOOKUP($D12,'Tag(Glossary)'!$B:$H,6,0)&amp;IF(ISBLANK(VLOOKUP($D12,'Tag(Glossary)'!$B:$H,7,0)),"",CHAR(10))&amp;VLOOKUP($D12,'Tag(Glossary)'!$B:$H,7,0)</f>
        <v>Trading value in bid side</v>
      </c>
    </row>
    <row r="13" spans="1:9">
      <c r="B13" s="103" t="str">
        <f>INDEX('Interface List'!$D$7:$D$45,MATCH($C13,'Interface List'!$E$7:$E$45,0))</f>
        <v>IFMDFIX0018</v>
      </c>
      <c r="C13" s="103" t="s">
        <v>329</v>
      </c>
      <c r="D13" s="84"/>
      <c r="E13" s="85" t="s">
        <v>258</v>
      </c>
      <c r="F13" s="84" t="s">
        <v>85</v>
      </c>
      <c r="G13" s="84"/>
      <c r="H13" s="84"/>
      <c r="I13" s="8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2:I17"/>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8"/>
    </sheetView>
  </sheetViews>
  <sheetFormatPr defaultColWidth="8.875" defaultRowHeight="15"/>
  <cols>
    <col min="1" max="1" width="1.75" style="7" customWidth="1"/>
    <col min="2" max="2" width="16.875" style="32" customWidth="1"/>
    <col min="3" max="3" width="19.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331</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ht="25.5">
      <c r="B5" s="166" t="str">
        <f>INDEX('Interface List'!$D$7:$D$45,MATCH($C5,'Interface List'!$E$7:$E$45,0))</f>
        <v>IFMDFIX0019</v>
      </c>
      <c r="C5" s="178" t="s">
        <v>446</v>
      </c>
      <c r="D5" s="178"/>
      <c r="E5" s="179" t="s">
        <v>404</v>
      </c>
      <c r="F5" s="178" t="s">
        <v>405</v>
      </c>
      <c r="G5" s="178"/>
      <c r="H5" s="178"/>
      <c r="I5" s="179" t="s">
        <v>447</v>
      </c>
    </row>
    <row r="6" spans="1:9" ht="140.25">
      <c r="B6" s="103" t="str">
        <f>INDEX('Interface List'!$D$7:$D$45,MATCH($C6,'Interface List'!$E$7:$E$45,0))</f>
        <v>IFMDFIX0019</v>
      </c>
      <c r="C6" s="103" t="s">
        <v>446</v>
      </c>
      <c r="D6" s="84">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103" t="str">
        <f>INDEX('Interface List'!$D$7:$D$45,MATCH($C7,'Interface List'!$E$7:$E$45,0))</f>
        <v>IFMDFIX0019</v>
      </c>
      <c r="C7" s="103" t="s">
        <v>446</v>
      </c>
      <c r="D7" s="84">
        <v>55</v>
      </c>
      <c r="E7" s="85" t="str">
        <f>VLOOKUP($D7,'Tag(Glossary)'!$B:$G,2,0)</f>
        <v>Symbol</v>
      </c>
      <c r="F7" s="84" t="s">
        <v>85</v>
      </c>
      <c r="G7" s="84" t="str">
        <f>VLOOKUP($D7,'Tag(Glossary)'!$B:$G,4,0)</f>
        <v>String</v>
      </c>
      <c r="H7" s="84">
        <f>VLOOKUP($D7,'Tag(Glossary)'!$B:$G,5,0)</f>
        <v>12</v>
      </c>
      <c r="I7" s="85" t="str">
        <f>VLOOKUP($D7,'Tag(Glossary)'!$B:$H,6,0)&amp;IF(ISBLANK(VLOOKUP($D7,'Tag(Glossary)'!$B:$H,7,0)),"",CHAR(10))&amp;VLOOKUP($D7,'Tag(Glossary)'!$B:$H,7,0)</f>
        <v>The unique code of an issue (a.k.a. instrument or symbol). Generally it is ISIN code but in case of Repo market it is defined as the exchange staffs want</v>
      </c>
    </row>
    <row r="8" spans="1:9" ht="25.5">
      <c r="B8" s="104" t="str">
        <f>INDEX('Interface List'!$D$7:$D$45,MATCH($C8,'Interface List'!$E$7:$E$45,0))</f>
        <v>IFMDFIX0019</v>
      </c>
      <c r="C8" s="103" t="s">
        <v>446</v>
      </c>
      <c r="D8" s="105">
        <v>911</v>
      </c>
      <c r="E8" s="85" t="str">
        <f>VLOOKUP($D8,'Tag(Glossary)'!$B:$G,2,0)</f>
        <v>TotNumReports</v>
      </c>
      <c r="F8" s="84" t="s">
        <v>85</v>
      </c>
      <c r="G8" s="84" t="str">
        <f>VLOOKUP($D8,'Tag(Glossary)'!$B:$G,4,0)</f>
        <v>Int</v>
      </c>
      <c r="H8" s="84">
        <f>VLOOKUP($D8,'Tag(Glossary)'!$B:$G,5,0)</f>
        <v>16</v>
      </c>
      <c r="I8" s="85" t="str">
        <f>VLOOKUP($D8,'Tag(Glossary)'!$B:$H,6,0)&amp;IF(ISBLANK(VLOOKUP($D8,'Tag(Glossary)'!$B:$H,7,0)),"",CHAR(10))&amp;VLOOKUP($D8,'Tag(Glossary)'!$B:$H,7,0)</f>
        <v>Entire number of messages for issue information transmission or for a set of statistics results</v>
      </c>
    </row>
    <row r="9" spans="1:9" ht="25.5">
      <c r="B9" s="106" t="str">
        <f>INDEX('Interface List'!$D$7:$D$45,MATCH($C9,'Interface List'!$E$7:$E$45,0))</f>
        <v>IFMDFIX0019</v>
      </c>
      <c r="C9" s="103" t="s">
        <v>446</v>
      </c>
      <c r="D9" s="84">
        <v>30215</v>
      </c>
      <c r="E9" s="38" t="str">
        <f>VLOOKUP($D9,'Tag(Glossary)'!$B:$G,2,0)</f>
        <v>SellRankSeq</v>
      </c>
      <c r="F9" s="39" t="s">
        <v>85</v>
      </c>
      <c r="G9" s="39" t="str">
        <f>VLOOKUP($D9,'Tag(Glossary)'!$B:$G,4,0)</f>
        <v>Int</v>
      </c>
      <c r="H9" s="39">
        <f>VLOOKUP($D9,'Tag(Glossary)'!$B:$G,5,0)</f>
        <v>6</v>
      </c>
      <c r="I9" s="184" t="str">
        <f>VLOOKUP($D9,'Tag(Glossary)'!$B:$H,6,0)&amp;IF(ISBLANK(VLOOKUP($D9,'Tag(Glossary)'!$B:$H,7,0)),"",CHAR(10))&amp;VLOOKUP($D9,'Tag(Glossary)'!$B:$H,7,0)</f>
        <v>Sequence of rank in sell side</v>
      </c>
    </row>
    <row r="10" spans="1:9" ht="25.5">
      <c r="B10" s="106" t="str">
        <f>INDEX('Interface List'!$D$7:$D$45,MATCH($C10,'Interface List'!$E$7:$E$45,0))</f>
        <v>IFMDFIX0019</v>
      </c>
      <c r="C10" s="103" t="s">
        <v>448</v>
      </c>
      <c r="D10" s="84">
        <v>30213</v>
      </c>
      <c r="E10" s="85" t="str">
        <f>VLOOKUP($D10,'Tag(Glossary)'!$B:$G,2,0)</f>
        <v>SellMemberNo</v>
      </c>
      <c r="F10" s="84" t="s">
        <v>85</v>
      </c>
      <c r="G10" s="84" t="str">
        <f>VLOOKUP($D10,'Tag(Glossary)'!$B:$G,4,0)</f>
        <v>String</v>
      </c>
      <c r="H10" s="84">
        <f>VLOOKUP($D10,'Tag(Glossary)'!$B:$G,5,0)</f>
        <v>5</v>
      </c>
      <c r="I10" s="107" t="str">
        <f>VLOOKUP($D10,'Tag(Glossary)'!$B:$H,6,0)&amp;IF(ISBLANK(VLOOKUP($D10,'Tag(Glossary)'!$B:$H,7,0)),"",CHAR(10))&amp;VLOOKUP($D10,'Tag(Glossary)'!$B:$H,7,0)</f>
        <v>Member ID in sell side</v>
      </c>
    </row>
    <row r="11" spans="1:9" ht="25.5">
      <c r="B11" s="106" t="str">
        <f>INDEX('Interface List'!$D$7:$D$45,MATCH($C11,'Interface List'!$E$7:$E$45,0))</f>
        <v>IFMDFIX0019</v>
      </c>
      <c r="C11" s="103" t="s">
        <v>448</v>
      </c>
      <c r="D11" s="84">
        <v>331</v>
      </c>
      <c r="E11" s="85" t="str">
        <f>VLOOKUP($D11,'Tag(Glossary)'!$B:$G,2,0)</f>
        <v>SellVolume</v>
      </c>
      <c r="F11" s="84" t="s">
        <v>85</v>
      </c>
      <c r="G11" s="84" t="str">
        <f>VLOOKUP($D11,'Tag(Glossary)'!$B:$G,4,0)</f>
        <v>Int</v>
      </c>
      <c r="H11" s="84">
        <f>VLOOKUP($D11,'Tag(Glossary)'!$B:$G,5,0)</f>
        <v>12</v>
      </c>
      <c r="I11" s="107" t="str">
        <f>VLOOKUP($D11,'Tag(Glossary)'!$B:$H,6,0)&amp;IF(ISBLANK(VLOOKUP($D11,'Tag(Glossary)'!$B:$H,7,0)),"",CHAR(10))&amp;VLOOKUP($D11,'Tag(Glossary)'!$B:$H,7,0)</f>
        <v>Trading volume in sell side</v>
      </c>
    </row>
    <row r="12" spans="1:9" ht="25.5">
      <c r="B12" s="106" t="str">
        <f>INDEX('Interface List'!$D$7:$D$45,MATCH($C12,'Interface List'!$E$7:$E$45,0))</f>
        <v>IFMDFIX0019</v>
      </c>
      <c r="C12" s="103" t="s">
        <v>448</v>
      </c>
      <c r="D12" s="84">
        <v>30168</v>
      </c>
      <c r="E12" s="85" t="str">
        <f>VLOOKUP($D12,'Tag(Glossary)'!$B:$G,2,0)</f>
        <v>SellTradeAmount</v>
      </c>
      <c r="F12" s="84" t="s">
        <v>85</v>
      </c>
      <c r="G12" s="84" t="str">
        <f>VLOOKUP($D12,'Tag(Glossary)'!$B:$G,4,0)</f>
        <v>Float</v>
      </c>
      <c r="H12" s="84" t="str">
        <f>VLOOKUP($D12,'Tag(Glossary)'!$B:$G,5,0)</f>
        <v>23(18.4)</v>
      </c>
      <c r="I12" s="107" t="str">
        <f>VLOOKUP($D12,'Tag(Glossary)'!$B:$H,6,0)&amp;IF(ISBLANK(VLOOKUP($D12,'Tag(Glossary)'!$B:$H,7,0)),"",CHAR(10))&amp;VLOOKUP($D12,'Tag(Glossary)'!$B:$H,7,0)</f>
        <v>Trading value in ask side</v>
      </c>
    </row>
    <row r="13" spans="1:9" ht="25.5">
      <c r="B13" s="106" t="str">
        <f>INDEX('Interface List'!$D$7:$D$45,MATCH($C13,'Interface List'!$E$7:$E$45,0))</f>
        <v>IFMDFIX0019</v>
      </c>
      <c r="C13" s="103" t="s">
        <v>448</v>
      </c>
      <c r="D13" s="84">
        <v>30216</v>
      </c>
      <c r="E13" s="85" t="str">
        <f>VLOOKUP($D13,'Tag(Glossary)'!$B:$G,2,0)</f>
        <v>BuyRankSeq</v>
      </c>
      <c r="F13" s="84" t="s">
        <v>85</v>
      </c>
      <c r="G13" s="84" t="str">
        <f>VLOOKUP($D13,'Tag(Glossary)'!$B:$G,4,0)</f>
        <v>Int</v>
      </c>
      <c r="H13" s="84">
        <f>VLOOKUP($D13,'Tag(Glossary)'!$B:$G,5,0)</f>
        <v>6</v>
      </c>
      <c r="I13" s="107" t="str">
        <f>VLOOKUP($D13,'Tag(Glossary)'!$B:$H,6,0)&amp;IF(ISBLANK(VLOOKUP($D13,'Tag(Glossary)'!$B:$H,7,0)),"",CHAR(10))&amp;VLOOKUP($D13,'Tag(Glossary)'!$B:$H,7,0)</f>
        <v>Sequence of rank in buy side</v>
      </c>
    </row>
    <row r="14" spans="1:9" ht="25.5">
      <c r="B14" s="106" t="str">
        <f>INDEX('Interface List'!$D$7:$D$45,MATCH($C14,'Interface List'!$E$7:$E$45,0))</f>
        <v>IFMDFIX0019</v>
      </c>
      <c r="C14" s="103" t="s">
        <v>448</v>
      </c>
      <c r="D14" s="84">
        <v>30214</v>
      </c>
      <c r="E14" s="85" t="str">
        <f>VLOOKUP($D14,'Tag(Glossary)'!$B:$G,2,0)</f>
        <v>BuyMemberNo</v>
      </c>
      <c r="F14" s="84" t="s">
        <v>85</v>
      </c>
      <c r="G14" s="84" t="str">
        <f>VLOOKUP($D14,'Tag(Glossary)'!$B:$G,4,0)</f>
        <v>String</v>
      </c>
      <c r="H14" s="84">
        <f>VLOOKUP($D14,'Tag(Glossary)'!$B:$G,5,0)</f>
        <v>5</v>
      </c>
      <c r="I14" s="107" t="str">
        <f>VLOOKUP($D14,'Tag(Glossary)'!$B:$H,6,0)&amp;IF(ISBLANK(VLOOKUP($D14,'Tag(Glossary)'!$B:$H,7,0)),"",CHAR(10))&amp;VLOOKUP($D14,'Tag(Glossary)'!$B:$H,7,0)</f>
        <v>Member ID in buy side</v>
      </c>
    </row>
    <row r="15" spans="1:9" ht="25.5">
      <c r="B15" s="106" t="str">
        <f>INDEX('Interface List'!$D$7:$D$45,MATCH($C15,'Interface List'!$E$7:$E$45,0))</f>
        <v>IFMDFIX0019</v>
      </c>
      <c r="C15" s="103" t="s">
        <v>448</v>
      </c>
      <c r="D15" s="84">
        <v>330</v>
      </c>
      <c r="E15" s="85" t="str">
        <f>VLOOKUP($D15,'Tag(Glossary)'!$B:$G,2,0)</f>
        <v>BuyVolume</v>
      </c>
      <c r="F15" s="84" t="s">
        <v>85</v>
      </c>
      <c r="G15" s="84" t="str">
        <f>VLOOKUP($D15,'Tag(Glossary)'!$B:$G,4,0)</f>
        <v>Int</v>
      </c>
      <c r="H15" s="84">
        <f>VLOOKUP($D15,'Tag(Glossary)'!$B:$G,5,0)</f>
        <v>12</v>
      </c>
      <c r="I15" s="107" t="str">
        <f>VLOOKUP($D15,'Tag(Glossary)'!$B:$H,6,0)&amp;IF(ISBLANK(VLOOKUP($D15,'Tag(Glossary)'!$B:$H,7,0)),"",CHAR(10))&amp;VLOOKUP($D15,'Tag(Glossary)'!$B:$H,7,0)</f>
        <v>Trading volume in buy side</v>
      </c>
    </row>
    <row r="16" spans="1:9" ht="25.5">
      <c r="B16" s="106" t="str">
        <f>INDEX('Interface List'!$D$7:$D$45,MATCH($C16,'Interface List'!$E$7:$E$45,0))</f>
        <v>IFMDFIX0019</v>
      </c>
      <c r="C16" s="103" t="s">
        <v>823</v>
      </c>
      <c r="D16" s="84">
        <v>30169</v>
      </c>
      <c r="E16" s="85" t="str">
        <f>VLOOKUP($D16,'Tag(Glossary)'!$B:$G,2,0)</f>
        <v>BuyTradedAmount</v>
      </c>
      <c r="F16" s="84" t="s">
        <v>85</v>
      </c>
      <c r="G16" s="84" t="str">
        <f>VLOOKUP($D16,'Tag(Glossary)'!$B:$G,4,0)</f>
        <v>Float</v>
      </c>
      <c r="H16" s="84" t="str">
        <f>VLOOKUP($D16,'Tag(Glossary)'!$B:$G,5,0)</f>
        <v>23(18.4)</v>
      </c>
      <c r="I16" s="107" t="str">
        <f>VLOOKUP($D16,'Tag(Glossary)'!$B:$H,6,0)&amp;IF(ISBLANK(VLOOKUP($D16,'Tag(Glossary)'!$B:$H,7,0)),"",CHAR(10))&amp;VLOOKUP($D16,'Tag(Glossary)'!$B:$H,7,0)</f>
        <v>Trading value in bid side</v>
      </c>
    </row>
    <row r="17" spans="2:9" ht="25.5">
      <c r="B17" s="103" t="str">
        <f>INDEX('Interface List'!$D$7:$D$45,MATCH($C17,'Interface List'!$E$7:$E$45,0))</f>
        <v>IFMDFIX0019</v>
      </c>
      <c r="C17" s="103" t="s">
        <v>331</v>
      </c>
      <c r="D17" s="84"/>
      <c r="E17" s="85" t="s">
        <v>258</v>
      </c>
      <c r="F17" s="84" t="s">
        <v>85</v>
      </c>
      <c r="G17" s="84"/>
      <c r="H17" s="84"/>
      <c r="I17" s="8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2:I11"/>
  <sheetViews>
    <sheetView view="pageBreakPreview" zoomScale="115" zoomScaleNormal="75" zoomScaleSheetLayoutView="115"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5.125" style="32" bestFit="1" customWidth="1"/>
    <col min="3" max="3" width="13.12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769</v>
      </c>
      <c r="C2" s="224"/>
      <c r="D2" s="224"/>
      <c r="E2" s="224"/>
      <c r="F2" s="224"/>
      <c r="G2" s="224"/>
      <c r="H2" s="224"/>
      <c r="I2" s="224"/>
    </row>
    <row r="3" spans="1:9" s="3" customFormat="1">
      <c r="A3" s="5"/>
      <c r="B3" s="33"/>
      <c r="C3" s="33"/>
      <c r="D3" s="33"/>
      <c r="E3" s="33"/>
      <c r="F3" s="33"/>
      <c r="G3" s="33"/>
      <c r="H3" s="33"/>
      <c r="I3" s="33"/>
    </row>
    <row r="4" spans="1:9" s="4" customFormat="1">
      <c r="A4" s="7"/>
      <c r="B4" s="183" t="s">
        <v>90</v>
      </c>
      <c r="C4" s="183" t="s">
        <v>104</v>
      </c>
      <c r="D4" s="183" t="s">
        <v>84</v>
      </c>
      <c r="E4" s="183" t="s">
        <v>98</v>
      </c>
      <c r="F4" s="183" t="s">
        <v>99</v>
      </c>
      <c r="G4" s="183" t="s">
        <v>100</v>
      </c>
      <c r="H4" s="183" t="s">
        <v>101</v>
      </c>
      <c r="I4" s="183" t="s">
        <v>102</v>
      </c>
    </row>
    <row r="5" spans="1:9">
      <c r="B5" s="166" t="str">
        <f>INDEX('Interface List'!$D$7:$D$45,MATCH($C5,'Interface List'!$E$7:$E$45,0))</f>
        <v>IFMDFIX0020</v>
      </c>
      <c r="C5" s="181" t="s">
        <v>769</v>
      </c>
      <c r="D5" s="181"/>
      <c r="E5" s="182" t="s">
        <v>109</v>
      </c>
      <c r="F5" s="181" t="s">
        <v>86</v>
      </c>
      <c r="G5" s="181"/>
      <c r="H5" s="181"/>
      <c r="I5" s="182" t="s">
        <v>773</v>
      </c>
    </row>
    <row r="6" spans="1:9" ht="140.25">
      <c r="B6" s="80" t="str">
        <f>INDEX('Interface List'!$D$7:$D$45,MATCH($C6,'Interface List'!$E$7:$E$45,0))</f>
        <v>IFMDFIX0020</v>
      </c>
      <c r="C6" s="151" t="s">
        <v>769</v>
      </c>
      <c r="D6" s="149">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IFMDFIX0020</v>
      </c>
      <c r="C7" s="151" t="s">
        <v>774</v>
      </c>
      <c r="D7" s="149">
        <v>55</v>
      </c>
      <c r="E7" s="37" t="str">
        <f>VLOOKUP($D7,'Tag(Glossary)'!$B:$G,2,0)</f>
        <v>Symbol</v>
      </c>
      <c r="F7" s="39" t="s">
        <v>85</v>
      </c>
      <c r="G7" s="36" t="str">
        <f>VLOOKUP($D7,'Tag(Glossary)'!$B:$G,4,0)</f>
        <v>String</v>
      </c>
      <c r="H7" s="36">
        <f>VLOOKUP($D7,'Tag(Glossary)'!$B:$G,5,0)</f>
        <v>12</v>
      </c>
      <c r="I7" s="38" t="str">
        <f>VLOOKUP($D7,'Tag(Glossary)'!$B:$H,6,0)&amp;IF(ISBLANK(VLOOKUP($D7,'Tag(Glossary)'!$B:$H,7,0)),"",CHAR(10))&amp;VLOOKUP($D7,'Tag(Glossary)'!$B:$H,7,0)</f>
        <v>The unique code of an issue (a.k.a. instrument or symbol). Generally it is ISIN code but in case of Repo market it is defined as the exchange staffs want</v>
      </c>
    </row>
    <row r="8" spans="1:9" ht="38.25">
      <c r="B8" s="80" t="str">
        <f>INDEX('Interface List'!$D$7:$D$45,MATCH($C8,'Interface List'!$E$7:$E$45,0))</f>
        <v>IFMDFIX0020</v>
      </c>
      <c r="C8" s="151" t="s">
        <v>769</v>
      </c>
      <c r="D8" s="149">
        <v>75</v>
      </c>
      <c r="E8" s="37" t="str">
        <f>VLOOKUP($D8,'Tag(Glossary)'!$B:$G,2,0)</f>
        <v>TradeDate</v>
      </c>
      <c r="F8" s="39" t="s">
        <v>85</v>
      </c>
      <c r="G8" s="36" t="str">
        <f>VLOOKUP($D8,'Tag(Glossary)'!$B:$G,4,0)</f>
        <v>LocalMktDate</v>
      </c>
      <c r="H8" s="36">
        <f>VLOOKUP($D8,'Tag(Glossary)'!$B:$G,5,0)</f>
        <v>8</v>
      </c>
      <c r="I8" s="38" t="str">
        <f>VLOOKUP($D8,'Tag(Glossary)'!$B:$H,6,0)&amp;IF(ISBLANK(VLOOKUP($D8,'Tag(Glossary)'!$B:$H,7,0)),"",CHAR(10))&amp;VLOOKUP($D8,'Tag(Glossary)'!$B:$H,7,0)</f>
        <v>Indicates local date of trade refereneced in this message in YYYYMMDD format.
YYYYMMDD</v>
      </c>
    </row>
    <row r="9" spans="1:9">
      <c r="B9" s="80" t="str">
        <f>INDEX('Interface List'!$D$7:$D$45,MATCH($C9,'Interface List'!$E$7:$E$45,0))</f>
        <v>IFMDFIX0020</v>
      </c>
      <c r="C9" s="151" t="s">
        <v>769</v>
      </c>
      <c r="D9" s="149">
        <v>30540</v>
      </c>
      <c r="E9" s="37" t="str">
        <f>VLOOKUP($D9,'Tag(Glossary)'!$B:$G,2,0)</f>
        <v>OpenInterestQty</v>
      </c>
      <c r="F9" s="39" t="s">
        <v>85</v>
      </c>
      <c r="G9" s="36" t="str">
        <f>VLOOKUP($D9,'Tag(Glossary)'!$B:$G,4,0)</f>
        <v>Number</v>
      </c>
      <c r="H9" s="36">
        <f>VLOOKUP($D9,'Tag(Glossary)'!$B:$G,5,0)</f>
        <v>10</v>
      </c>
      <c r="I9" s="38" t="str">
        <f>VLOOKUP($D9,'Tag(Glossary)'!$B:$H,6,0)&amp;IF(ISBLANK(VLOOKUP($D9,'Tag(Glossary)'!$B:$H,7,0)),"",CHAR(10))&amp;VLOOKUP($D9,'Tag(Glossary)'!$B:$H,7,0)</f>
        <v>Open interest quantity</v>
      </c>
    </row>
    <row r="10" spans="1:9" ht="25.5">
      <c r="B10" s="103" t="str">
        <f>INDEX('Interface List'!$D$7:$D$45,MATCH($C10,'Interface List'!$E$7:$E$45,0))</f>
        <v>IFMDFIX0020</v>
      </c>
      <c r="C10" s="185" t="s">
        <v>769</v>
      </c>
      <c r="D10" s="186">
        <v>30573</v>
      </c>
      <c r="E10" s="38" t="str">
        <f>VLOOKUP($D10,'Tag(Glossary)'!$B:$G,2,0)</f>
        <v>SettlementPrice</v>
      </c>
      <c r="F10" s="39" t="s">
        <v>85</v>
      </c>
      <c r="G10" s="39" t="str">
        <f>VLOOKUP($D10,'Tag(Glossary)'!$B:$G,4,0)</f>
        <v>Price</v>
      </c>
      <c r="H10" s="39" t="str">
        <f>VLOOKUP($D10,'Tag(Glossary)'!$B:$G,5,0)</f>
        <v>18(9.8)</v>
      </c>
      <c r="I10" s="38" t="str">
        <f>VLOOKUP($D10,'Tag(Glossary)'!$B:$H,6,0)&amp;IF(ISBLANK(VLOOKUP($D10,'Tag(Glossary)'!$B:$H,7,0)),"",CHAR(10))&amp;VLOOKUP($D10,'Tag(Glossary)'!$B:$H,7,0)</f>
        <v>Settlement price. It will be the reference price of tomorrow of a future instrument when it has any trade since its listing</v>
      </c>
    </row>
    <row r="11" spans="1:9">
      <c r="B11" s="80" t="str">
        <f>INDEX('Interface List'!$D$7:$D$45,MATCH($C11,'Interface List'!$E$7:$E$45,0))</f>
        <v>IFMDFIX0020</v>
      </c>
      <c r="C11" s="151" t="s">
        <v>769</v>
      </c>
      <c r="D11" s="149"/>
      <c r="E11" s="150" t="s">
        <v>258</v>
      </c>
      <c r="F11" s="149" t="s">
        <v>85</v>
      </c>
      <c r="G11" s="150"/>
      <c r="H11" s="149"/>
      <c r="I11" s="150"/>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9" orientation="portrait" r:id="rId1"/>
  <headerFooter alignWithMargins="0">
    <oddFooter>&amp;C&amp;10&amp;P/&amp;N&amp; Information Technology Service Agreement&amp;R&amp;G</oddFooter>
  </headerFooter>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2:I12"/>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5.125" style="32" bestFit="1" customWidth="1"/>
    <col min="3" max="3" width="20.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710</v>
      </c>
      <c r="C2" s="224"/>
      <c r="D2" s="224"/>
      <c r="E2" s="224"/>
      <c r="F2" s="224"/>
      <c r="G2" s="224"/>
      <c r="H2" s="224"/>
      <c r="I2" s="224"/>
    </row>
    <row r="3" spans="1:9" s="3" customFormat="1">
      <c r="A3" s="5"/>
      <c r="B3" s="33"/>
      <c r="C3" s="33"/>
      <c r="D3" s="33"/>
      <c r="E3" s="33"/>
      <c r="F3" s="33"/>
      <c r="G3" s="33"/>
      <c r="H3" s="33"/>
      <c r="I3" s="33"/>
    </row>
    <row r="4" spans="1:9" s="4" customFormat="1">
      <c r="A4" s="7"/>
      <c r="B4" s="180" t="s">
        <v>449</v>
      </c>
      <c r="C4" s="180" t="s">
        <v>450</v>
      </c>
      <c r="D4" s="180" t="s">
        <v>451</v>
      </c>
      <c r="E4" s="180" t="s">
        <v>452</v>
      </c>
      <c r="F4" s="180" t="s">
        <v>453</v>
      </c>
      <c r="G4" s="180" t="s">
        <v>454</v>
      </c>
      <c r="H4" s="180" t="s">
        <v>455</v>
      </c>
      <c r="I4" s="180" t="s">
        <v>456</v>
      </c>
    </row>
    <row r="5" spans="1:9">
      <c r="B5" s="166" t="str">
        <f>INDEX('Interface List'!$D$7:$D$45,MATCH($C5,'Interface List'!$E$7:$E$45,0))</f>
        <v>IFMDFIX0021</v>
      </c>
      <c r="C5" s="178" t="s">
        <v>710</v>
      </c>
      <c r="D5" s="178"/>
      <c r="E5" s="179" t="s">
        <v>457</v>
      </c>
      <c r="F5" s="178" t="s">
        <v>458</v>
      </c>
      <c r="G5" s="178"/>
      <c r="H5" s="178"/>
      <c r="I5" s="179" t="s">
        <v>459</v>
      </c>
    </row>
    <row r="6" spans="1:9" ht="140.25">
      <c r="B6" s="80" t="str">
        <f>INDEX('Interface List'!$D$7:$D$45,MATCH($C6,'Interface List'!$E$7:$E$45,0))</f>
        <v>IFMDFIX0021</v>
      </c>
      <c r="C6" s="80" t="s">
        <v>710</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80" t="str">
        <f>INDEX('Interface List'!$D$7:$D$45,MATCH($C7,'Interface List'!$E$7:$E$45,0))</f>
        <v>IFMDFIX0021</v>
      </c>
      <c r="C7" s="80" t="s">
        <v>710</v>
      </c>
      <c r="D7" s="78">
        <v>20004</v>
      </c>
      <c r="E7" s="79" t="str">
        <f>VLOOKUP($D7,'Tag(Glossary)'!$B:$G,2,0)</f>
        <v>BoardID</v>
      </c>
      <c r="F7" s="78" t="s">
        <v>85</v>
      </c>
      <c r="G7" s="78" t="str">
        <f>VLOOKUP($D7,'Tag(Glossary)'!$B:$G,4,0)</f>
        <v>String</v>
      </c>
      <c r="H7" s="78">
        <f>VLOOKUP($D7,'Tag(Glossary)'!$B:$G,5,0)</f>
        <v>2</v>
      </c>
      <c r="I7" s="79"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80" t="str">
        <f>INDEX('Interface List'!$D$7:$D$45,MATCH($C8,'Interface List'!$E$7:$E$45,0))</f>
        <v>IFMDFIX0021</v>
      </c>
      <c r="C8" s="80" t="s">
        <v>710</v>
      </c>
      <c r="D8" s="84">
        <v>55</v>
      </c>
      <c r="E8" s="85" t="str">
        <f>VLOOKUP($D8,'Tag(Glossary)'!$B:$G,2,0)</f>
        <v>Symbol</v>
      </c>
      <c r="F8" s="84" t="s">
        <v>85</v>
      </c>
      <c r="G8" s="78" t="str">
        <f>VLOOKUP($D8,'Tag(Glossary)'!$B:$G,4,0)</f>
        <v>String</v>
      </c>
      <c r="H8" s="78">
        <f>VLOOKUP($D8,'Tag(Glossary)'!$B:$G,5,0)</f>
        <v>12</v>
      </c>
      <c r="I8" s="79" t="str">
        <f>VLOOKUP($D8,'Tag(Glossary)'!$B:$H,6,0)&amp;IF(ISBLANK(VLOOKUP($D8,'Tag(Glossary)'!$B:$H,7,0)),"",CHAR(10))&amp;VLOOKUP($D8,'Tag(Glossary)'!$B:$H,7,0)</f>
        <v>The unique code of an issue (a.k.a. instrument or symbol). Generally it is ISIN code but in case of Repo market it is defined as the exchange staffs want</v>
      </c>
    </row>
    <row r="9" spans="1:9">
      <c r="B9" s="80" t="str">
        <f>INDEX('Interface List'!$D$7:$D$45,MATCH($C9,'Interface List'!$E$7:$E$45,0))</f>
        <v>IFMDFIX0021</v>
      </c>
      <c r="C9" s="80" t="s">
        <v>710</v>
      </c>
      <c r="D9" s="84">
        <v>30552</v>
      </c>
      <c r="E9" s="85" t="str">
        <f>VLOOKUP($D9,'Tag(Glossary)'!$B:$G,2,0)</f>
        <v>ExpectedTradePx</v>
      </c>
      <c r="F9" s="84" t="s">
        <v>85</v>
      </c>
      <c r="G9" s="78" t="str">
        <f>VLOOKUP($D9,'Tag(Glossary)'!$B:$G,4,0)</f>
        <v>Price</v>
      </c>
      <c r="H9" s="78" t="str">
        <f>VLOOKUP($D9,'Tag(Glossary)'!$B:$G,5,0)</f>
        <v>15(9.4)</v>
      </c>
      <c r="I9" s="79" t="str">
        <f>VLOOKUP($D9,'Tag(Glossary)'!$B:$H,6,0)&amp;IF(ISBLANK(VLOOKUP($D9,'Tag(Glossary)'!$B:$H,7,0)),"",CHAR(10))&amp;VLOOKUP($D9,'Tag(Glossary)'!$B:$H,7,0)</f>
        <v>Deemed trading price</v>
      </c>
    </row>
    <row r="10" spans="1:9">
      <c r="B10" s="80" t="str">
        <f>INDEX('Interface List'!$D$7:$D$45,MATCH($C10,'Interface List'!$E$7:$E$45,0))</f>
        <v>IFMDFIX0021</v>
      </c>
      <c r="C10" s="80" t="s">
        <v>710</v>
      </c>
      <c r="D10" s="84">
        <v>30553</v>
      </c>
      <c r="E10" s="85" t="str">
        <f>VLOOKUP($D10,'Tag(Glossary)'!$B:$G,2,0)</f>
        <v>ExpectedTradeQty</v>
      </c>
      <c r="F10" s="84" t="s">
        <v>85</v>
      </c>
      <c r="G10" s="78" t="str">
        <f>VLOOKUP($D10,'Tag(Glossary)'!$B:$G,4,0)</f>
        <v>Int</v>
      </c>
      <c r="H10" s="78">
        <f>VLOOKUP($D10,'Tag(Glossary)'!$B:$G,5,0)</f>
        <v>12</v>
      </c>
      <c r="I10" s="79" t="str">
        <f>VLOOKUP($D10,'Tag(Glossary)'!$B:$H,6,0)&amp;IF(ISBLANK(VLOOKUP($D10,'Tag(Glossary)'!$B:$H,7,0)),"",CHAR(10))&amp;VLOOKUP($D10,'Tag(Glossary)'!$B:$H,7,0)</f>
        <v/>
      </c>
    </row>
    <row r="11" spans="1:9">
      <c r="B11" s="80" t="str">
        <f>INDEX('Interface List'!$D$7:$D$45,MATCH($C11,'Interface List'!$E$7:$E$45,0))</f>
        <v>IFMDFIX0021</v>
      </c>
      <c r="C11" s="80" t="s">
        <v>710</v>
      </c>
      <c r="D11" s="84">
        <v>30554</v>
      </c>
      <c r="E11" s="85" t="str">
        <f>VLOOKUP($D11,'Tag(Glossary)'!$B:$G,2,0)</f>
        <v>ExpectedTradeYield</v>
      </c>
      <c r="F11" s="84" t="s">
        <v>709</v>
      </c>
      <c r="G11" s="78" t="str">
        <f>VLOOKUP($D11,'Tag(Glossary)'!$B:$G,4,0)</f>
        <v>Float</v>
      </c>
      <c r="H11" s="78" t="str">
        <f>VLOOKUP($D11,'Tag(Glossary)'!$B:$G,5,0)</f>
        <v>13(5.6)</v>
      </c>
      <c r="I11" s="79" t="str">
        <f>VLOOKUP($D11,'Tag(Glossary)'!$B:$H,6,0)&amp;IF(ISBLANK(VLOOKUP($D11,'Tag(Glossary)'!$B:$H,7,0)),"",CHAR(10))&amp;VLOOKUP($D11,'Tag(Glossary)'!$B:$H,7,0)</f>
        <v xml:space="preserve">Yield of deemed trading price </v>
      </c>
    </row>
    <row r="12" spans="1:9">
      <c r="B12" s="80" t="str">
        <f>INDEX('Interface List'!$D$7:$D$45,MATCH($C12,'Interface List'!$E$7:$E$45,0))</f>
        <v>IFMDFIX0021</v>
      </c>
      <c r="C12" s="80" t="s">
        <v>710</v>
      </c>
      <c r="D12" s="78"/>
      <c r="E12" s="79" t="s">
        <v>258</v>
      </c>
      <c r="F12" s="78" t="s">
        <v>85</v>
      </c>
      <c r="G12" s="79"/>
      <c r="H12" s="78"/>
      <c r="I12"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2:I17"/>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1"/>
    </sheetView>
  </sheetViews>
  <sheetFormatPr defaultColWidth="8.875" defaultRowHeight="15"/>
  <cols>
    <col min="1" max="1" width="1.75" style="7" customWidth="1"/>
    <col min="2" max="2" width="15.125" style="32" bestFit="1" customWidth="1"/>
    <col min="3" max="3" width="15.7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460</v>
      </c>
      <c r="C2" s="224"/>
      <c r="D2" s="224"/>
      <c r="E2" s="224"/>
      <c r="F2" s="224"/>
      <c r="G2" s="224"/>
      <c r="H2" s="224"/>
      <c r="I2" s="224"/>
    </row>
    <row r="3" spans="1:9" s="3" customFormat="1">
      <c r="A3" s="5"/>
      <c r="B3" s="33"/>
      <c r="C3" s="33"/>
      <c r="D3" s="33"/>
      <c r="E3" s="33"/>
      <c r="F3" s="33"/>
      <c r="G3" s="33"/>
      <c r="H3" s="33"/>
      <c r="I3" s="33"/>
    </row>
    <row r="4" spans="1:9" s="4" customFormat="1">
      <c r="A4" s="7"/>
      <c r="B4" s="180" t="s">
        <v>461</v>
      </c>
      <c r="C4" s="180" t="s">
        <v>462</v>
      </c>
      <c r="D4" s="180" t="s">
        <v>463</v>
      </c>
      <c r="E4" s="180" t="s">
        <v>464</v>
      </c>
      <c r="F4" s="180" t="s">
        <v>465</v>
      </c>
      <c r="G4" s="180" t="s">
        <v>466</v>
      </c>
      <c r="H4" s="180" t="s">
        <v>467</v>
      </c>
      <c r="I4" s="180" t="s">
        <v>468</v>
      </c>
    </row>
    <row r="5" spans="1:9">
      <c r="B5" s="166" t="str">
        <f>INDEX('Interface List'!$D$7:$D$45,MATCH($C5,'Interface List'!$E$7:$E$45,0))</f>
        <v>IFMDFIX0022</v>
      </c>
      <c r="C5" s="178" t="s">
        <v>333</v>
      </c>
      <c r="D5" s="178"/>
      <c r="E5" s="179" t="s">
        <v>109</v>
      </c>
      <c r="F5" s="178" t="s">
        <v>86</v>
      </c>
      <c r="G5" s="178"/>
      <c r="H5" s="178"/>
      <c r="I5" s="179" t="s">
        <v>469</v>
      </c>
    </row>
    <row r="6" spans="1:9" ht="140.25">
      <c r="B6" s="80" t="str">
        <f>INDEX('Interface List'!$D$7:$D$45,MATCH($C6,'Interface List'!$E$7:$E$45,0))</f>
        <v>IFMDFIX0022</v>
      </c>
      <c r="C6" s="80" t="s">
        <v>333</v>
      </c>
      <c r="D6" s="78">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IFMDFIX0022</v>
      </c>
      <c r="C7" s="80" t="s">
        <v>333</v>
      </c>
      <c r="D7" s="84">
        <v>55</v>
      </c>
      <c r="E7" s="85" t="str">
        <f>VLOOKUP($D7,'Tag(Glossary)'!$B:$G,2,0)</f>
        <v>Symbol</v>
      </c>
      <c r="F7" s="84" t="s">
        <v>85</v>
      </c>
      <c r="G7" s="84" t="str">
        <f>VLOOKUP($D7,'Tag(Glossary)'!$B:$G,4,0)</f>
        <v>String</v>
      </c>
      <c r="H7" s="84">
        <f>VLOOKUP($D7,'Tag(Glossary)'!$B:$G,5,0)</f>
        <v>12</v>
      </c>
      <c r="I7" s="85" t="str">
        <f>VLOOKUP($D7,'Tag(Glossary)'!$B:$H,6,0)&amp;IF(ISBLANK(VLOOKUP($D7,'Tag(Glossary)'!$B:$H,7,0)),"",CHAR(10))&amp;VLOOKUP($D7,'Tag(Glossary)'!$B:$H,7,0)</f>
        <v>The unique code of an issue (a.k.a. instrument or symbol). Generally it is ISIN code but in case of Repo market it is defined as the exchange staffs want</v>
      </c>
    </row>
    <row r="8" spans="1:9" ht="25.5">
      <c r="B8" s="103" t="str">
        <f>INDEX('Interface List'!$D$7:$D$45,MATCH($C8,'Interface List'!$E$7:$E$45,0))</f>
        <v>IFMDFIX0022</v>
      </c>
      <c r="C8" s="103" t="s">
        <v>333</v>
      </c>
      <c r="D8" s="84">
        <v>30557</v>
      </c>
      <c r="E8" s="85" t="str">
        <f>VLOOKUP($D8,'Tag(Glossary)'!$B:$G,2,0)</f>
        <v>ForeignerBuyPosblQty</v>
      </c>
      <c r="F8" s="84" t="s">
        <v>85</v>
      </c>
      <c r="G8" s="84" t="str">
        <f>VLOOKUP($D8,'Tag(Glossary)'!$B:$G,4,0)</f>
        <v>Int</v>
      </c>
      <c r="H8" s="84">
        <f>VLOOKUP($D8,'Tag(Glossary)'!$B:$G,5,0)</f>
        <v>15</v>
      </c>
      <c r="I8" s="85" t="str">
        <f>VLOOKUP($D8,'Tag(Glossary)'!$B:$H,6,0)&amp;IF(ISBLANK(VLOOKUP($D8,'Tag(Glossary)'!$B:$H,7,0)),"",CHAR(10))&amp;VLOOKUP($D8,'Tag(Glossary)'!$B:$H,7,0)</f>
        <v>Maximum number of shares allocated for foreign investors to buy. It is well known as "Total Room"</v>
      </c>
    </row>
    <row r="9" spans="1:9" ht="38.25">
      <c r="B9" s="80" t="str">
        <f>INDEX('Interface List'!$D$7:$D$45,MATCH($C9,'Interface List'!$E$7:$E$45,0))</f>
        <v>IFMDFIX0022</v>
      </c>
      <c r="C9" s="80" t="s">
        <v>333</v>
      </c>
      <c r="D9" s="78">
        <v>30558</v>
      </c>
      <c r="E9" s="85" t="str">
        <f>VLOOKUP($D9,'Tag(Glossary)'!$B:$G,2,0)</f>
        <v>ForeignerOrderLimitQty</v>
      </c>
      <c r="F9" s="84" t="s">
        <v>85</v>
      </c>
      <c r="G9" s="84" t="str">
        <f>VLOOKUP($D9,'Tag(Glossary)'!$B:$G,4,0)</f>
        <v>Int</v>
      </c>
      <c r="H9" s="84">
        <f>VLOOKUP($D9,'Tag(Glossary)'!$B:$G,5,0)</f>
        <v>16</v>
      </c>
      <c r="I9" s="85" t="str">
        <f>VLOOKUP($D9,'Tag(Glossary)'!$B:$H,6,0)&amp;IF(ISBLANK(VLOOKUP($D9,'Tag(Glossary)'!$B:$H,7,0)),"",CHAR(10))&amp;VLOOKUP($D9,'Tag(Glossary)'!$B:$H,7,0)</f>
        <v>Number of shares available for investors to buy at that time. It is well-known as “Current Room”. Current Room = Total Room – Foreigner Holding Shares</v>
      </c>
    </row>
    <row r="10" spans="1:9">
      <c r="B10" s="80" t="str">
        <f>INDEX('Interface List'!$D$7:$D$45,MATCH($C10,'Interface List'!$E$7:$E$45,0))</f>
        <v>IFMDFIX0022</v>
      </c>
      <c r="C10" s="80" t="s">
        <v>470</v>
      </c>
      <c r="D10" s="78"/>
      <c r="E10" s="85" t="s">
        <v>258</v>
      </c>
      <c r="F10" s="84" t="s">
        <v>85</v>
      </c>
      <c r="G10" s="85"/>
      <c r="H10" s="84"/>
      <c r="I10" s="85"/>
    </row>
    <row r="11" spans="1:9">
      <c r="E11" s="99"/>
      <c r="F11" s="98"/>
      <c r="G11" s="100"/>
      <c r="H11" s="98"/>
      <c r="I11" s="100"/>
    </row>
    <row r="12" spans="1:9">
      <c r="E12" s="99"/>
      <c r="F12" s="98"/>
      <c r="G12" s="100"/>
      <c r="H12" s="98"/>
      <c r="I12" s="100"/>
    </row>
    <row r="13" spans="1:9">
      <c r="E13" s="99"/>
      <c r="F13" s="98"/>
      <c r="G13" s="100"/>
      <c r="H13" s="98"/>
      <c r="I13" s="100"/>
    </row>
    <row r="14" spans="1:9">
      <c r="E14" s="99"/>
      <c r="F14" s="98"/>
      <c r="G14" s="100"/>
      <c r="H14" s="98"/>
      <c r="I14" s="100"/>
    </row>
    <row r="15" spans="1:9">
      <c r="E15" s="99"/>
      <c r="F15" s="98"/>
      <c r="G15" s="100"/>
      <c r="H15" s="98"/>
      <c r="I15" s="100"/>
    </row>
    <row r="16" spans="1:9">
      <c r="E16" s="99"/>
      <c r="F16" s="98"/>
      <c r="G16" s="100"/>
      <c r="H16" s="98"/>
      <c r="I16" s="100"/>
    </row>
    <row r="17" spans="5:9">
      <c r="E17" s="99"/>
      <c r="F17" s="98"/>
      <c r="G17" s="100"/>
      <c r="H17" s="98"/>
      <c r="I17" s="100"/>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7" orientation="portrait" r:id="rId1"/>
  <headerFooter alignWithMargins="0">
    <oddFooter>&amp;C&amp;10&amp;P/&amp;N&amp; Information Technology Service Agreement&amp;R&amp;G</oddFooter>
  </headerFooter>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2:I14"/>
  <sheetViews>
    <sheetView view="pageBreakPreview" zoomScale="115" zoomScaleNormal="75" zoomScaleSheetLayoutView="115" workbookViewId="0">
      <pane xSplit="9" ySplit="4" topLeftCell="J7" activePane="bottomRight" state="frozen"/>
      <selection sqref="A1:XFD1048576"/>
      <selection pane="topRight" sqref="A1:XFD1048576"/>
      <selection pane="bottomLeft" sqref="A1:XFD1048576"/>
      <selection pane="bottomRight" activeCell="B1" sqref="B1:I15"/>
    </sheetView>
  </sheetViews>
  <sheetFormatPr defaultColWidth="8.875" defaultRowHeight="15"/>
  <cols>
    <col min="1" max="1" width="1.75" style="7" customWidth="1"/>
    <col min="2" max="2" width="15.125" style="32" bestFit="1" customWidth="1"/>
    <col min="3" max="3" width="13.37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613</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ht="25.5">
      <c r="B5" s="175" t="str">
        <f>INDEX('Interface List'!$D$7:$D$45,MATCH($C5,'Interface List'!$E$7:$E$45,0))</f>
        <v>IFMDFIX0024</v>
      </c>
      <c r="C5" s="176" t="s">
        <v>613</v>
      </c>
      <c r="D5" s="176"/>
      <c r="E5" s="177" t="s">
        <v>471</v>
      </c>
      <c r="F5" s="176" t="s">
        <v>472</v>
      </c>
      <c r="G5" s="176"/>
      <c r="H5" s="176"/>
      <c r="I5" s="177" t="s">
        <v>618</v>
      </c>
    </row>
    <row r="6" spans="1:9" ht="140.25">
      <c r="B6" s="103" t="str">
        <f>INDEX('Interface List'!$D$7:$D$45,MATCH($C6,'Interface List'!$E$7:$E$45,0))</f>
        <v>IFMDFIX0024</v>
      </c>
      <c r="C6" s="103" t="s">
        <v>613</v>
      </c>
      <c r="D6" s="84">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103" t="str">
        <f>INDEX('Interface List'!$D$7:$D$45,MATCH($C7,'Interface List'!$E$7:$E$45,0))</f>
        <v>IFMDFIX0024</v>
      </c>
      <c r="C7" s="103" t="s">
        <v>613</v>
      </c>
      <c r="D7" s="84">
        <v>20004</v>
      </c>
      <c r="E7" s="38" t="str">
        <f>VLOOKUP($D7,'Tag(Glossary)'!$B:$G,2,0)</f>
        <v>BoardID</v>
      </c>
      <c r="F7" s="39" t="s">
        <v>85</v>
      </c>
      <c r="G7" s="39" t="str">
        <f>VLOOKUP($D7,'Tag(Glossary)'!$B:$G,4,0)</f>
        <v>String</v>
      </c>
      <c r="H7" s="39">
        <f>VLOOKUP($D7,'Tag(Glossary)'!$B:$G,5,0)</f>
        <v>2</v>
      </c>
      <c r="I7" s="3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38.25">
      <c r="B8" s="103" t="str">
        <f>INDEX('Interface List'!$D$7:$D$45,MATCH($C8,'Interface List'!$E$7:$E$45,0))</f>
        <v>IFMDFIX0024</v>
      </c>
      <c r="C8" s="103" t="s">
        <v>613</v>
      </c>
      <c r="D8" s="84">
        <v>55</v>
      </c>
      <c r="E8" s="38" t="str">
        <f>VLOOKUP($D8,'Tag(Glossary)'!$B:$G,2,0)</f>
        <v>Symbol</v>
      </c>
      <c r="F8" s="39" t="s">
        <v>85</v>
      </c>
      <c r="G8" s="39" t="str">
        <f>VLOOKUP($D8,'Tag(Glossary)'!$B:$G,4,0)</f>
        <v>String</v>
      </c>
      <c r="H8" s="39">
        <f>VLOOKUP($D8,'Tag(Glossary)'!$B:$G,5,0)</f>
        <v>12</v>
      </c>
      <c r="I8" s="38" t="str">
        <f>VLOOKUP($D8,'Tag(Glossary)'!$B:$H,6,0)&amp;IF(ISBLANK(VLOOKUP($D8,'Tag(Glossary)'!$B:$H,7,0)),"",CHAR(10))&amp;VLOOKUP($D8,'Tag(Glossary)'!$B:$H,7,0)</f>
        <v>The unique code of an issue (a.k.a. instrument or symbol). Generally it is ISIN code but in case of Repo market it is defined as the exchange staffs want</v>
      </c>
    </row>
    <row r="9" spans="1:9" ht="25.5">
      <c r="B9" s="103" t="str">
        <f>INDEX('Interface List'!$D$7:$D$45,MATCH($C9,'Interface List'!$E$7:$E$45,0))</f>
        <v>IFMDFIX0024</v>
      </c>
      <c r="C9" s="103" t="s">
        <v>613</v>
      </c>
      <c r="D9" s="84">
        <v>60</v>
      </c>
      <c r="E9" s="38" t="str">
        <f>VLOOKUP($D9,'Tag(Glossary)'!$B:$G,2,0)</f>
        <v>TransactTime</v>
      </c>
      <c r="F9" s="39" t="s">
        <v>85</v>
      </c>
      <c r="G9" s="39" t="str">
        <f>VLOOKUP($D9,'Tag(Glossary)'!$B:$G,4,0)</f>
        <v>UTCTime</v>
      </c>
      <c r="H9" s="39">
        <f>VLOOKUP($D9,'Tag(Glossary)'!$B:$G,5,0)</f>
        <v>9</v>
      </c>
      <c r="I9" s="38" t="str">
        <f>VLOOKUP($D9,'Tag(Glossary)'!$B:$H,6,0)&amp;IF(ISBLANK(VLOOKUP($D9,'Tag(Glossary)'!$B:$H,7,0)),"",CHAR(10))&amp;VLOOKUP($D9,'Tag(Glossary)'!$B:$H,7,0)</f>
        <v>Time of execution/order creation
HHmmSSsss : Normal Case</v>
      </c>
    </row>
    <row r="10" spans="1:9" ht="25.5">
      <c r="B10" s="214" t="str">
        <f>INDEX('Interface List'!$D$7:$D$45,MATCH($C10,'Interface List'!$E$7:$E$45,0))</f>
        <v>IFMDFIX0024</v>
      </c>
      <c r="C10" s="214" t="s">
        <v>613</v>
      </c>
      <c r="D10" s="197">
        <v>30649</v>
      </c>
      <c r="E10" s="192" t="s">
        <v>997</v>
      </c>
      <c r="F10" s="193" t="s">
        <v>999</v>
      </c>
      <c r="G10" s="193" t="s">
        <v>1001</v>
      </c>
      <c r="H10" s="193">
        <v>2</v>
      </c>
      <c r="I10" s="192" t="str">
        <f>VLOOKUP($D10,'Tag(Glossary)'!$B:$H,6,0)&amp;IF(ISBLANK(VLOOKUP($D10,'Tag(Glossary)'!$B:$H,7,0)),"",CHAR(10))&amp;VLOOKUP($D10,'Tag(Glossary)'!$B:$H,7,0)</f>
        <v>Final step number of PLE in the upper side actually triggered intraday</v>
      </c>
    </row>
    <row r="11" spans="1:9" ht="25.5">
      <c r="B11" s="214" t="str">
        <f>INDEX('Interface List'!$D$7:$D$45,MATCH($C11,'Interface List'!$E$7:$E$45,0))</f>
        <v>IFMDFIX0024</v>
      </c>
      <c r="C11" s="214" t="s">
        <v>613</v>
      </c>
      <c r="D11" s="197">
        <v>30650</v>
      </c>
      <c r="E11" s="192" t="s">
        <v>998</v>
      </c>
      <c r="F11" s="193" t="s">
        <v>1000</v>
      </c>
      <c r="G11" s="193" t="s">
        <v>1001</v>
      </c>
      <c r="H11" s="193">
        <v>2</v>
      </c>
      <c r="I11" s="192" t="str">
        <f>VLOOKUP($D11,'Tag(Glossary)'!$B:$H,6,0)&amp;IF(ISBLANK(VLOOKUP($D11,'Tag(Glossary)'!$B:$H,7,0)),"",CHAR(10))&amp;VLOOKUP($D11,'Tag(Glossary)'!$B:$H,7,0)</f>
        <v>Final step number of PLE in the lower side actually triggered intraday</v>
      </c>
    </row>
    <row r="12" spans="1:9" ht="25.5">
      <c r="B12" s="103" t="str">
        <f>INDEX('Interface List'!$D$7:$D$45,MATCH($C12,'Interface List'!$E$7:$E$45,0))</f>
        <v>IFMDFIX0024</v>
      </c>
      <c r="C12" s="103" t="s">
        <v>613</v>
      </c>
      <c r="D12" s="84">
        <v>1149</v>
      </c>
      <c r="E12" s="38" t="str">
        <f>VLOOKUP($D12,'Tag(Glossary)'!$B:$G,2,0)</f>
        <v>HighLimitPrice</v>
      </c>
      <c r="F12" s="39" t="s">
        <v>85</v>
      </c>
      <c r="G12" s="39" t="str">
        <f>VLOOKUP($D12,'Tag(Glossary)'!$B:$G,4,0)</f>
        <v>Price</v>
      </c>
      <c r="H12" s="39" t="str">
        <f>VLOOKUP($D12,'Tag(Glossary)'!$B:$G,5,0)</f>
        <v>15(9.4)</v>
      </c>
      <c r="I12" s="38" t="str">
        <f>VLOOKUP($D12,'Tag(Glossary)'!$B:$H,6,0)&amp;IF(ISBLANK(VLOOKUP($D12,'Tag(Glossary)'!$B:$H,7,0)),"",CHAR(10))&amp;VLOOKUP($D12,'Tag(Glossary)'!$B:$H,7,0)</f>
        <v>Available high limit price for the tradig day</v>
      </c>
    </row>
    <row r="13" spans="1:9" ht="25.5">
      <c r="B13" s="103" t="str">
        <f>INDEX('Interface List'!$D$7:$D$45,MATCH($C13,'Interface List'!$E$7:$E$45,0))</f>
        <v>IFMDFIX0024</v>
      </c>
      <c r="C13" s="103" t="s">
        <v>613</v>
      </c>
      <c r="D13" s="84">
        <v>1148</v>
      </c>
      <c r="E13" s="38" t="str">
        <f>VLOOKUP($D13,'Tag(Glossary)'!$B:$G,2,0)</f>
        <v>LowLimitPrice</v>
      </c>
      <c r="F13" s="39" t="s">
        <v>85</v>
      </c>
      <c r="G13" s="39" t="str">
        <f>VLOOKUP($D13,'Tag(Glossary)'!$B:$G,4,0)</f>
        <v>Price</v>
      </c>
      <c r="H13" s="39" t="str">
        <f>VLOOKUP($D13,'Tag(Glossary)'!$B:$G,5,0)</f>
        <v>15(9.4)</v>
      </c>
      <c r="I13" s="38" t="str">
        <f>VLOOKUP($D13,'Tag(Glossary)'!$B:$H,6,0)&amp;IF(ISBLANK(VLOOKUP($D13,'Tag(Glossary)'!$B:$H,7,0)),"",CHAR(10))&amp;VLOOKUP($D13,'Tag(Glossary)'!$B:$H,7,0)</f>
        <v>Available low limit price for the tradig day</v>
      </c>
    </row>
    <row r="14" spans="1:9" ht="25.5">
      <c r="B14" s="80" t="str">
        <f>INDEX('Interface List'!$D$7:$D$45,MATCH($C14,'Interface List'!$E$7:$E$45,0))</f>
        <v>IFMDFIX0024</v>
      </c>
      <c r="C14" s="80" t="s">
        <v>613</v>
      </c>
      <c r="D14" s="78"/>
      <c r="E14" s="79" t="s">
        <v>258</v>
      </c>
      <c r="F14" s="78" t="s">
        <v>85</v>
      </c>
      <c r="G14" s="79"/>
      <c r="H14" s="78"/>
      <c r="I14"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9" orientation="portrait" r:id="rId1"/>
  <headerFooter alignWithMargins="0">
    <oddFooter>&amp;C&amp;10&amp;P/&amp;N&amp; Information Technology Service Agreement&amp;R&amp;G</oddFoot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2:I10"/>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1"/>
    </sheetView>
  </sheetViews>
  <sheetFormatPr defaultColWidth="8.875" defaultRowHeight="15"/>
  <cols>
    <col min="1" max="1" width="1.75" style="7" customWidth="1"/>
    <col min="2" max="2" width="16.25" style="32" customWidth="1"/>
    <col min="3" max="3" width="10.62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335</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IFMDFIX0025</v>
      </c>
      <c r="C5" s="178" t="s">
        <v>335</v>
      </c>
      <c r="D5" s="178"/>
      <c r="E5" s="179" t="s">
        <v>109</v>
      </c>
      <c r="F5" s="178" t="s">
        <v>86</v>
      </c>
      <c r="G5" s="178"/>
      <c r="H5" s="178"/>
      <c r="I5" s="179" t="s">
        <v>473</v>
      </c>
    </row>
    <row r="6" spans="1:9" ht="140.25">
      <c r="B6" s="80" t="str">
        <f>INDEX('Interface List'!$D$7:$D$45,MATCH($C6,'Interface List'!$E$7:$E$45,0))</f>
        <v>IFMDFIX0025</v>
      </c>
      <c r="C6" s="80" t="s">
        <v>335</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IFMDFIX0025</v>
      </c>
      <c r="C7" s="80" t="s">
        <v>335</v>
      </c>
      <c r="D7" s="84">
        <v>55</v>
      </c>
      <c r="E7" s="37" t="str">
        <f>VLOOKUP($D7,'Tag(Glossary)'!$B:$G,2,0)</f>
        <v>Symbol</v>
      </c>
      <c r="F7" s="39" t="s">
        <v>85</v>
      </c>
      <c r="G7" s="36" t="str">
        <f>VLOOKUP($D7,'Tag(Glossary)'!$B:$G,4,0)</f>
        <v>String</v>
      </c>
      <c r="H7" s="36">
        <f>VLOOKUP($D7,'Tag(Glossary)'!$B:$G,5,0)</f>
        <v>12</v>
      </c>
      <c r="I7" s="37" t="str">
        <f>VLOOKUP($D7,'Tag(Glossary)'!$B:$H,6,0)&amp;IF(ISBLANK(VLOOKUP($D7,'Tag(Glossary)'!$B:$H,7,0)),"",CHAR(10))&amp;VLOOKUP($D7,'Tag(Glossary)'!$B:$H,7,0)</f>
        <v>The unique code of an issue (a.k.a. instrument or symbol). Generally it is ISIN code but in case of Repo market it is defined as the exchange staffs want</v>
      </c>
    </row>
    <row r="8" spans="1:9" ht="25.5">
      <c r="B8" s="80" t="str">
        <f>INDEX('Interface List'!$D$7:$D$45,MATCH($C8,'Interface List'!$E$7:$E$45,0))</f>
        <v>IFMDFIX0025</v>
      </c>
      <c r="C8" s="80" t="s">
        <v>335</v>
      </c>
      <c r="D8" s="78">
        <v>60</v>
      </c>
      <c r="E8" s="37" t="str">
        <f>VLOOKUP($D8,'Tag(Glossary)'!$B:$G,2,0)</f>
        <v>TransactTime</v>
      </c>
      <c r="F8" s="39" t="s">
        <v>85</v>
      </c>
      <c r="G8" s="36" t="str">
        <f>VLOOKUP($D8,'Tag(Glossary)'!$B:$G,4,0)</f>
        <v>UTCTime</v>
      </c>
      <c r="H8" s="36">
        <f>VLOOKUP($D8,'Tag(Glossary)'!$B:$G,5,0)</f>
        <v>9</v>
      </c>
      <c r="I8" s="37" t="str">
        <f>VLOOKUP($D8,'Tag(Glossary)'!$B:$H,6,0)&amp;IF(ISBLANK(VLOOKUP($D8,'Tag(Glossary)'!$B:$H,7,0)),"",CHAR(10))&amp;VLOOKUP($D8,'Tag(Glossary)'!$B:$H,7,0)</f>
        <v>Time of execution/order creation
HHmmSSsss : Normal Case</v>
      </c>
    </row>
    <row r="9" spans="1:9">
      <c r="B9" s="80" t="str">
        <f>INDEX('Interface List'!$D$7:$D$45,MATCH($C9,'Interface List'!$E$7:$E$45,0))</f>
        <v>IFMDFIX0025</v>
      </c>
      <c r="C9" s="80" t="s">
        <v>474</v>
      </c>
      <c r="D9" s="81">
        <v>30599</v>
      </c>
      <c r="E9" s="37" t="str">
        <f>VLOOKUP($D9,'Tag(Glossary)'!$B:$G,2,0)</f>
        <v>iNAVvalue</v>
      </c>
      <c r="F9" s="39" t="s">
        <v>85</v>
      </c>
      <c r="G9" s="36" t="str">
        <f>VLOOKUP($D9,'Tag(Glossary)'!$B:$G,4,0)</f>
        <v>Float</v>
      </c>
      <c r="H9" s="36" t="str">
        <f>VLOOKUP($D9,'Tag(Glossary)'!$B:$G,5,0)</f>
        <v>24(18.4)</v>
      </c>
      <c r="I9" s="37" t="str">
        <f>VLOOKUP($D9,'Tag(Glossary)'!$B:$H,6,0)&amp;IF(ISBLANK(VLOOKUP($D9,'Tag(Glossary)'!$B:$H,7,0)),"",CHAR(10))&amp;VLOOKUP($D9,'Tag(Glossary)'!$B:$H,7,0)</f>
        <v>Indicative Net Asset Value</v>
      </c>
    </row>
    <row r="10" spans="1:9">
      <c r="B10" s="80" t="str">
        <f>INDEX('Interface List'!$D$7:$D$45,MATCH($C10,'Interface List'!$E$7:$E$45,0))</f>
        <v>IFMDFIX0025</v>
      </c>
      <c r="C10" s="80" t="s">
        <v>474</v>
      </c>
      <c r="D10" s="78"/>
      <c r="E10" s="79" t="s">
        <v>258</v>
      </c>
      <c r="F10" s="78" t="s">
        <v>85</v>
      </c>
      <c r="G10" s="79"/>
      <c r="H10" s="78"/>
      <c r="I10"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80" orientation="portrait" r:id="rId1"/>
  <headerFooter alignWithMargins="0">
    <oddFooter>&amp;C&amp;10&amp;P/&amp;N&amp; Information Technology Service Agreement&amp;R&amp;G</oddFooter>
  </headerFooter>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2:I10"/>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1"/>
    </sheetView>
  </sheetViews>
  <sheetFormatPr defaultColWidth="8.875" defaultRowHeight="15"/>
  <cols>
    <col min="1" max="1" width="1.75" style="7" customWidth="1"/>
    <col min="2" max="2" width="16.25" style="32" customWidth="1"/>
    <col min="3" max="3" width="10.625" style="32" bestFit="1"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337</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IFMDFIX0026</v>
      </c>
      <c r="C5" s="178" t="s">
        <v>337</v>
      </c>
      <c r="D5" s="178"/>
      <c r="E5" s="179" t="s">
        <v>109</v>
      </c>
      <c r="F5" s="178" t="s">
        <v>86</v>
      </c>
      <c r="G5" s="178"/>
      <c r="H5" s="178"/>
      <c r="I5" s="179" t="s">
        <v>475</v>
      </c>
    </row>
    <row r="6" spans="1:9" ht="140.25">
      <c r="B6" s="80" t="str">
        <f>INDEX('Interface List'!$D$7:$D$45,MATCH($C6,'Interface List'!$E$7:$E$45,0))</f>
        <v>IFMDFIX0026</v>
      </c>
      <c r="C6" s="80" t="s">
        <v>337</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IFMDFIX0026</v>
      </c>
      <c r="C7" s="80" t="s">
        <v>337</v>
      </c>
      <c r="D7" s="84">
        <v>55</v>
      </c>
      <c r="E7" s="37" t="str">
        <f>VLOOKUP($D7,'Tag(Glossary)'!$B:$G,2,0)</f>
        <v>Symbol</v>
      </c>
      <c r="F7" s="39" t="s">
        <v>85</v>
      </c>
      <c r="G7" s="36" t="str">
        <f>VLOOKUP($D7,'Tag(Glossary)'!$B:$G,4,0)</f>
        <v>String</v>
      </c>
      <c r="H7" s="36">
        <f>VLOOKUP($D7,'Tag(Glossary)'!$B:$G,5,0)</f>
        <v>12</v>
      </c>
      <c r="I7" s="37" t="str">
        <f>VLOOKUP($D7,'Tag(Glossary)'!$B:$H,6,0)&amp;IF(ISBLANK(VLOOKUP($D7,'Tag(Glossary)'!$B:$H,7,0)),"",CHAR(10))&amp;VLOOKUP($D7,'Tag(Glossary)'!$B:$H,7,0)</f>
        <v>The unique code of an issue (a.k.a. instrument or symbol). Generally it is ISIN code but in case of Repo market it is defined as the exchange staffs want</v>
      </c>
    </row>
    <row r="8" spans="1:9" ht="25.5">
      <c r="B8" s="80" t="str">
        <f>INDEX('Interface List'!$D$7:$D$45,MATCH($C8,'Interface List'!$E$7:$E$45,0))</f>
        <v>IFMDFIX0026</v>
      </c>
      <c r="C8" s="80" t="s">
        <v>337</v>
      </c>
      <c r="D8" s="78">
        <v>60</v>
      </c>
      <c r="E8" s="37" t="str">
        <f>VLOOKUP($D8,'Tag(Glossary)'!$B:$G,2,0)</f>
        <v>TransactTime</v>
      </c>
      <c r="F8" s="39" t="s">
        <v>85</v>
      </c>
      <c r="G8" s="36" t="str">
        <f>VLOOKUP($D8,'Tag(Glossary)'!$B:$G,4,0)</f>
        <v>UTCTime</v>
      </c>
      <c r="H8" s="36">
        <f>VLOOKUP($D8,'Tag(Glossary)'!$B:$G,5,0)</f>
        <v>9</v>
      </c>
      <c r="I8" s="37" t="str">
        <f>VLOOKUP($D8,'Tag(Glossary)'!$B:$H,6,0)&amp;IF(ISBLANK(VLOOKUP($D8,'Tag(Glossary)'!$B:$H,7,0)),"",CHAR(10))&amp;VLOOKUP($D8,'Tag(Glossary)'!$B:$H,7,0)</f>
        <v>Time of execution/order creation
HHmmSSsss : Normal Case</v>
      </c>
    </row>
    <row r="9" spans="1:9">
      <c r="B9" s="80" t="str">
        <f>INDEX('Interface List'!$D$7:$D$45,MATCH($C9,'Interface List'!$E$7:$E$45,0))</f>
        <v>IFMDFIX0026</v>
      </c>
      <c r="C9" s="80" t="s">
        <v>337</v>
      </c>
      <c r="D9" s="81">
        <v>30217</v>
      </c>
      <c r="E9" s="37" t="str">
        <f>VLOOKUP($D9,'Tag(Glossary)'!$B:$G,2,0)</f>
        <v>ValueIndexes</v>
      </c>
      <c r="F9" s="39" t="s">
        <v>85</v>
      </c>
      <c r="G9" s="36" t="str">
        <f>VLOOKUP($D9,'Tag(Glossary)'!$B:$G,4,0)</f>
        <v>Float</v>
      </c>
      <c r="H9" s="36" t="str">
        <f>VLOOKUP($D9,'Tag(Glossary)'!$B:$G,5,0)</f>
        <v>10(6.2)</v>
      </c>
      <c r="I9" s="37" t="str">
        <f>VLOOKUP($D9,'Tag(Glossary)'!$B:$H,6,0)&amp;IF(ISBLANK(VLOOKUP($D9,'Tag(Glossary)'!$B:$H,7,0)),"",CHAR(10))&amp;VLOOKUP($D9,'Tag(Glossary)'!$B:$H,7,0)</f>
        <v>Value of the index calculated</v>
      </c>
    </row>
    <row r="10" spans="1:9">
      <c r="B10" s="80" t="str">
        <f>INDEX('Interface List'!$D$7:$D$45,MATCH($C10,'Interface List'!$E$7:$E$45,0))</f>
        <v>IFMDFIX0026</v>
      </c>
      <c r="C10" s="80" t="s">
        <v>337</v>
      </c>
      <c r="D10" s="78"/>
      <c r="E10" s="79" t="s">
        <v>258</v>
      </c>
      <c r="F10" s="78" t="s">
        <v>85</v>
      </c>
      <c r="G10" s="79"/>
      <c r="H10" s="78"/>
      <c r="I10"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80" orientation="portrait" r:id="rId1"/>
  <headerFooter alignWithMargins="0">
    <oddFooter>&amp;C&amp;10&amp;P/&amp;N&amp; Information Technology Service Agreement&amp;R&amp;G</oddFooter>
  </headerFooter>
  <drawing r:id="rId2"/>
  <legacyDrawingHF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2:I11"/>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2"/>
    </sheetView>
  </sheetViews>
  <sheetFormatPr defaultColWidth="8.875" defaultRowHeight="15"/>
  <cols>
    <col min="1" max="1" width="1.75" style="7" customWidth="1"/>
    <col min="2" max="2" width="15.125" style="32" bestFit="1" customWidth="1"/>
    <col min="3" max="3" width="16.62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339</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IFMDFIX0027</v>
      </c>
      <c r="C5" s="178" t="s">
        <v>476</v>
      </c>
      <c r="D5" s="178"/>
      <c r="E5" s="179" t="s">
        <v>471</v>
      </c>
      <c r="F5" s="178" t="s">
        <v>472</v>
      </c>
      <c r="G5" s="178"/>
      <c r="H5" s="178"/>
      <c r="I5" s="179" t="s">
        <v>477</v>
      </c>
    </row>
    <row r="6" spans="1:9" ht="140.25">
      <c r="B6" s="80" t="str">
        <f>INDEX('Interface List'!$D$7:$D$45,MATCH($C6,'Interface List'!$E$7:$E$45,0))</f>
        <v>IFMDFIX0027</v>
      </c>
      <c r="C6" s="80" t="s">
        <v>476</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IFMDFIX0027</v>
      </c>
      <c r="C7" s="80" t="s">
        <v>476</v>
      </c>
      <c r="D7" s="84">
        <v>55</v>
      </c>
      <c r="E7" s="37" t="str">
        <f>VLOOKUP($D7,'Tag(Glossary)'!$B:$G,2,0)</f>
        <v>Symbol</v>
      </c>
      <c r="F7" s="39" t="s">
        <v>85</v>
      </c>
      <c r="G7" s="36" t="str">
        <f>VLOOKUP($D7,'Tag(Glossary)'!$B:$G,4,0)</f>
        <v>String</v>
      </c>
      <c r="H7" s="36">
        <f>VLOOKUP($D7,'Tag(Glossary)'!$B:$G,5,0)</f>
        <v>12</v>
      </c>
      <c r="I7" s="37" t="str">
        <f>VLOOKUP($D7,'Tag(Glossary)'!$B:$H,6,0)&amp;IF(ISBLANK(VLOOKUP($D7,'Tag(Glossary)'!$B:$H,7,0)),"",CHAR(10))&amp;VLOOKUP($D7,'Tag(Glossary)'!$B:$H,7,0)</f>
        <v>The unique code of an issue (a.k.a. instrument or symbol). Generally it is ISIN code but in case of Repo market it is defined as the exchange staffs want</v>
      </c>
    </row>
    <row r="8" spans="1:9" ht="38.25">
      <c r="B8" s="80" t="str">
        <f>INDEX('Interface List'!$D$7:$D$45,MATCH($C8,'Interface List'!$E$7:$E$45,0))</f>
        <v>IFMDFIX0027</v>
      </c>
      <c r="C8" s="80" t="s">
        <v>476</v>
      </c>
      <c r="D8" s="78">
        <v>75</v>
      </c>
      <c r="E8" s="37" t="str">
        <f>VLOOKUP($D8,'Tag(Glossary)'!$B:$G,2,0)</f>
        <v>TradeDate</v>
      </c>
      <c r="F8" s="39" t="s">
        <v>85</v>
      </c>
      <c r="G8" s="36" t="str">
        <f>VLOOKUP($D8,'Tag(Glossary)'!$B:$G,4,0)</f>
        <v>LocalMktDate</v>
      </c>
      <c r="H8" s="36">
        <f>VLOOKUP($D8,'Tag(Glossary)'!$B:$G,5,0)</f>
        <v>8</v>
      </c>
      <c r="I8" s="37" t="str">
        <f>VLOOKUP($D8,'Tag(Glossary)'!$B:$H,6,0)&amp;IF(ISBLANK(VLOOKUP($D8,'Tag(Glossary)'!$B:$H,7,0)),"",CHAR(10))&amp;VLOOKUP($D8,'Tag(Glossary)'!$B:$H,7,0)</f>
        <v>Indicates local date of trade refereneced in this message in YYYYMMDD format.
YYYYMMDD</v>
      </c>
    </row>
    <row r="9" spans="1:9">
      <c r="B9" s="80" t="str">
        <f>INDEX('Interface List'!$D$7:$D$45,MATCH($C9,'Interface List'!$E$7:$E$45,0))</f>
        <v>IFMDFIX0027</v>
      </c>
      <c r="C9" s="80" t="s">
        <v>476</v>
      </c>
      <c r="D9" s="81">
        <v>30600</v>
      </c>
      <c r="E9" s="37" t="str">
        <f>VLOOKUP($D9,'Tag(Glossary)'!$B:$G,2,0)</f>
        <v>TrackingError</v>
      </c>
      <c r="F9" s="39" t="s">
        <v>85</v>
      </c>
      <c r="G9" s="36" t="str">
        <f>VLOOKUP($D9,'Tag(Glossary)'!$B:$G,4,0)</f>
        <v>Float</v>
      </c>
      <c r="H9" s="36" t="str">
        <f>VLOOKUP($D9,'Tag(Glossary)'!$B:$G,5,0)</f>
        <v>13(5.6)</v>
      </c>
      <c r="I9" s="37" t="str">
        <f>VLOOKUP($D9,'Tag(Glossary)'!$B:$H,6,0)&amp;IF(ISBLANK(VLOOKUP($D9,'Tag(Glossary)'!$B:$H,7,0)),"",CHAR(10))&amp;VLOOKUP($D9,'Tag(Glossary)'!$B:$H,7,0)</f>
        <v>Value of tracking error calculated</v>
      </c>
    </row>
    <row r="10" spans="1:9" ht="25.5">
      <c r="B10" s="80" t="str">
        <f>INDEX('Interface List'!$D$7:$D$45,MATCH($C10,'Interface List'!$E$7:$E$45,0))</f>
        <v>IFMDFIX0027</v>
      </c>
      <c r="C10" s="80" t="s">
        <v>476</v>
      </c>
      <c r="D10" s="81">
        <v>30602</v>
      </c>
      <c r="E10" s="37" t="str">
        <f>VLOOKUP($D10,'Tag(Glossary)'!$B:$G,2,0)</f>
        <v>DisparateRatio</v>
      </c>
      <c r="F10" s="39" t="s">
        <v>85</v>
      </c>
      <c r="G10" s="36" t="str">
        <f>VLOOKUP($D10,'Tag(Glossary)'!$B:$G,4,0)</f>
        <v>Float</v>
      </c>
      <c r="H10" s="36" t="str">
        <f>VLOOKUP($D10,'Tag(Glossary)'!$B:$G,5,0)</f>
        <v>24(16.6)</v>
      </c>
      <c r="I10" s="37" t="str">
        <f>VLOOKUP($D10,'Tag(Glossary)'!$B:$H,6,0)&amp;IF(ISBLANK(VLOOKUP($D10,'Tag(Glossary)'!$B:$H,7,0)),"",CHAR(10))&amp;VLOOKUP($D10,'Tag(Glossary)'!$B:$H,7,0)</f>
        <v>Value of disparate ratio for the tracking error which is calculated by closing price of the ETF - NAV</v>
      </c>
    </row>
    <row r="11" spans="1:9">
      <c r="B11" s="80" t="str">
        <f>INDEX('Interface List'!$D$7:$D$45,MATCH($C11,'Interface List'!$E$7:$E$45,0))</f>
        <v>IFMDFIX0027</v>
      </c>
      <c r="C11" s="80" t="s">
        <v>476</v>
      </c>
      <c r="D11" s="78"/>
      <c r="E11" s="79" t="s">
        <v>258</v>
      </c>
      <c r="F11" s="78" t="s">
        <v>85</v>
      </c>
      <c r="G11" s="79"/>
      <c r="H11" s="78"/>
      <c r="I11"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7" orientation="portrait" r:id="rId1"/>
  <headerFooter alignWithMargins="0">
    <oddFooter>&amp;C&amp;10&amp;P/&amp;N&amp; Information Technology Service Agreement&amp;R&amp;G</oddFooter>
  </headerFooter>
  <drawing r:id="rId2"/>
  <legacyDrawingHF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2:I11"/>
  <sheetViews>
    <sheetView view="pageBreakPreview" zoomScale="85" zoomScaleNormal="75" zoomScaleSheetLayoutView="85" workbookViewId="0">
      <pane xSplit="9" ySplit="4" topLeftCell="J5" activePane="bottomRight" state="frozen"/>
      <selection sqref="A1:XFD1048576"/>
      <selection pane="topRight" sqref="A1:XFD1048576"/>
      <selection pane="bottomLeft" sqref="A1:XFD1048576"/>
      <selection pane="bottomRight" activeCell="B1" sqref="B1:I12"/>
    </sheetView>
  </sheetViews>
  <sheetFormatPr defaultColWidth="8.875" defaultRowHeight="15"/>
  <cols>
    <col min="1" max="1" width="1.75" style="7" customWidth="1"/>
    <col min="2" max="2" width="16.87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341</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ht="25.5">
      <c r="B5" s="166" t="str">
        <f>INDEX('Interface List'!$D$7:$D$45,MATCH($C5,'Interface List'!$E$7:$E$45,0))</f>
        <v>IFMDFIX0028</v>
      </c>
      <c r="C5" s="178" t="s">
        <v>341</v>
      </c>
      <c r="D5" s="178"/>
      <c r="E5" s="179" t="s">
        <v>109</v>
      </c>
      <c r="F5" s="178" t="s">
        <v>86</v>
      </c>
      <c r="G5" s="178"/>
      <c r="H5" s="178"/>
      <c r="I5" s="179" t="s">
        <v>478</v>
      </c>
    </row>
    <row r="6" spans="1:9" ht="140.25">
      <c r="B6" s="103" t="str">
        <f>INDEX('Interface List'!$D$7:$D$45,MATCH($C6,'Interface List'!$E$7:$E$45,0))</f>
        <v>IFMDFIX0028</v>
      </c>
      <c r="C6" s="103" t="s">
        <v>341</v>
      </c>
      <c r="D6" s="84">
        <v>30001</v>
      </c>
      <c r="E6" s="38" t="str">
        <f>VLOOKUP($D6,'Tag(Glossary)'!$B:$G,2,0)</f>
        <v>MarketID</v>
      </c>
      <c r="F6" s="39" t="s">
        <v>85</v>
      </c>
      <c r="G6" s="39" t="str">
        <f>VLOOKUP($D6,'Tag(Glossary)'!$B:$G,4,0)</f>
        <v>String</v>
      </c>
      <c r="H6" s="39">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104" t="str">
        <f>INDEX('Interface List'!$D$7:$D$45,MATCH($C7,'Interface List'!$E$7:$E$45,0))</f>
        <v>IFMDFIX0028</v>
      </c>
      <c r="C7" s="103" t="s">
        <v>479</v>
      </c>
      <c r="D7" s="105">
        <v>911</v>
      </c>
      <c r="E7" s="85" t="str">
        <f>VLOOKUP($D7,'Tag(Glossary)'!$B:$G,2,0)</f>
        <v>TotNumReports</v>
      </c>
      <c r="F7" s="84" t="s">
        <v>85</v>
      </c>
      <c r="G7" s="84" t="str">
        <f>VLOOKUP($D7,'Tag(Glossary)'!$B:$G,4,0)</f>
        <v>Int</v>
      </c>
      <c r="H7" s="84">
        <f>VLOOKUP($D7,'Tag(Glossary)'!$B:$G,5,0)</f>
        <v>16</v>
      </c>
      <c r="I7" s="85" t="str">
        <f>VLOOKUP($D7,'Tag(Glossary)'!$B:$H,6,0)&amp;IF(ISBLANK(VLOOKUP($D7,'Tag(Glossary)'!$B:$H,7,0)),"",CHAR(10))&amp;VLOOKUP($D7,'Tag(Glossary)'!$B:$H,7,0)</f>
        <v>Entire number of messages for issue information transmission or for a set of statistics results</v>
      </c>
    </row>
    <row r="8" spans="1:9" ht="25.5">
      <c r="B8" s="106" t="str">
        <f>INDEX('Interface List'!$D$7:$D$45,MATCH($C8,'Interface List'!$E$7:$E$45,0))</f>
        <v>IFMDFIX0028</v>
      </c>
      <c r="C8" s="103" t="s">
        <v>480</v>
      </c>
      <c r="D8" s="84">
        <v>30634</v>
      </c>
      <c r="E8" s="38" t="str">
        <f>VLOOKUP($D8,'Tag(Glossary)'!$B:$G,2,0)</f>
        <v>Rank</v>
      </c>
      <c r="F8" s="39" t="s">
        <v>85</v>
      </c>
      <c r="G8" s="39" t="str">
        <f>VLOOKUP($D8,'Tag(Glossary)'!$B:$G,4,0)</f>
        <v>Int</v>
      </c>
      <c r="H8" s="39">
        <f>VLOOKUP($D8,'Tag(Glossary)'!$B:$G,5,0)</f>
        <v>6</v>
      </c>
      <c r="I8" s="184" t="str">
        <f>VLOOKUP($D8,'Tag(Glossary)'!$B:$H,6,0)&amp;IF(ISBLANK(VLOOKUP($D8,'Tag(Glossary)'!$B:$H,7,0)),"",CHAR(10))&amp;VLOOKUP($D8,'Tag(Glossary)'!$B:$H,7,0)</f>
        <v>Sequential rank for 'Top N' statistics</v>
      </c>
    </row>
    <row r="9" spans="1:9" ht="38.25">
      <c r="B9" s="106" t="str">
        <f>INDEX('Interface List'!$D$7:$D$45,MATCH($C9,'Interface List'!$E$7:$E$45,0))</f>
        <v>IFMDFIX0028</v>
      </c>
      <c r="C9" s="103" t="s">
        <v>480</v>
      </c>
      <c r="D9" s="84">
        <v>55</v>
      </c>
      <c r="E9" s="85" t="str">
        <f>VLOOKUP($D9,'Tag(Glossary)'!$B:$G,2,0)</f>
        <v>Symbol</v>
      </c>
      <c r="F9" s="84" t="s">
        <v>85</v>
      </c>
      <c r="G9" s="84" t="str">
        <f>VLOOKUP($D9,'Tag(Glossary)'!$B:$G,4,0)</f>
        <v>String</v>
      </c>
      <c r="H9" s="84">
        <f>VLOOKUP($D9,'Tag(Glossary)'!$B:$G,5,0)</f>
        <v>12</v>
      </c>
      <c r="I9" s="107"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106" t="str">
        <f>INDEX('Interface List'!$D$7:$D$45,MATCH($C10,'Interface List'!$E$7:$E$45,0))</f>
        <v>IFMDFIX0028</v>
      </c>
      <c r="C10" s="103" t="s">
        <v>822</v>
      </c>
      <c r="D10" s="84">
        <v>271</v>
      </c>
      <c r="E10" s="85" t="str">
        <f>VLOOKUP($D10,'Tag(Glossary)'!$B:$G,2,0)</f>
        <v>MDEntrySize</v>
      </c>
      <c r="F10" s="84" t="s">
        <v>85</v>
      </c>
      <c r="G10" s="84" t="str">
        <f>VLOOKUP($D10,'Tag(Glossary)'!$B:$G,4,0)</f>
        <v>Int</v>
      </c>
      <c r="H10" s="84">
        <f>VLOOKUP($D10,'Tag(Glossary)'!$B:$G,5,0)</f>
        <v>12</v>
      </c>
      <c r="I10" s="107" t="str">
        <f>VLOOKUP($D10,'Tag(Glossary)'!$B:$H,6,0)&amp;IF(ISBLANK(VLOOKUP($D10,'Tag(Glossary)'!$B:$H,7,0)),"",CHAR(10))&amp;VLOOKUP($D10,'Tag(Glossary)'!$B:$H,7,0)</f>
        <v>Size (or quantity) for an entry of market data</v>
      </c>
    </row>
    <row r="11" spans="1:9" ht="25.5">
      <c r="B11" s="103" t="str">
        <f>INDEX('Interface List'!$D$7:$D$45,MATCH($C11,'Interface List'!$E$7:$E$45,0))</f>
        <v>IFMDFIX0028</v>
      </c>
      <c r="C11" s="103" t="s">
        <v>341</v>
      </c>
      <c r="D11" s="84"/>
      <c r="E11" s="85" t="s">
        <v>258</v>
      </c>
      <c r="F11" s="84" t="s">
        <v>85</v>
      </c>
      <c r="G11" s="84"/>
      <c r="H11" s="84"/>
      <c r="I11" s="8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2:I11"/>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2"/>
    </sheetView>
  </sheetViews>
  <sheetFormatPr defaultColWidth="8.875" defaultRowHeight="15"/>
  <cols>
    <col min="1" max="1" width="1.75" style="7" customWidth="1"/>
    <col min="2" max="2" width="16.87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481</v>
      </c>
      <c r="C2" s="224"/>
      <c r="D2" s="224"/>
      <c r="E2" s="224"/>
      <c r="F2" s="224"/>
      <c r="G2" s="224"/>
      <c r="H2" s="224"/>
      <c r="I2" s="224"/>
    </row>
    <row r="3" spans="1:9" s="3" customFormat="1">
      <c r="A3" s="5"/>
      <c r="B3" s="33"/>
      <c r="C3" s="33"/>
      <c r="D3" s="33"/>
      <c r="E3" s="33"/>
      <c r="F3" s="33"/>
      <c r="G3" s="33"/>
      <c r="H3" s="33"/>
      <c r="I3" s="33"/>
    </row>
    <row r="4" spans="1:9" s="4" customFormat="1">
      <c r="A4" s="7"/>
      <c r="B4" s="180" t="s">
        <v>482</v>
      </c>
      <c r="C4" s="180" t="s">
        <v>483</v>
      </c>
      <c r="D4" s="180" t="s">
        <v>484</v>
      </c>
      <c r="E4" s="180" t="s">
        <v>485</v>
      </c>
      <c r="F4" s="180" t="s">
        <v>486</v>
      </c>
      <c r="G4" s="180" t="s">
        <v>487</v>
      </c>
      <c r="H4" s="180" t="s">
        <v>488</v>
      </c>
      <c r="I4" s="180" t="s">
        <v>489</v>
      </c>
    </row>
    <row r="5" spans="1:9" ht="25.5">
      <c r="B5" s="166" t="str">
        <f>INDEX('Interface List'!$D$7:$D$45,MATCH($C5,'Interface List'!$E$7:$E$45,0))</f>
        <v>IFMDFIX0029</v>
      </c>
      <c r="C5" s="178" t="s">
        <v>481</v>
      </c>
      <c r="D5" s="178"/>
      <c r="E5" s="179" t="s">
        <v>471</v>
      </c>
      <c r="F5" s="178" t="s">
        <v>472</v>
      </c>
      <c r="G5" s="178"/>
      <c r="H5" s="178"/>
      <c r="I5" s="179" t="s">
        <v>490</v>
      </c>
    </row>
    <row r="6" spans="1:9" ht="140.25">
      <c r="B6" s="80" t="str">
        <f>INDEX('Interface List'!$D$7:$D$45,MATCH($C6,'Interface List'!$E$7:$E$45,0))</f>
        <v>IFMDFIX0029</v>
      </c>
      <c r="C6" s="80" t="s">
        <v>481</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104" t="str">
        <f>INDEX('Interface List'!$D$7:$D$45,MATCH($C7,'Interface List'!$E$7:$E$45,0))</f>
        <v>IFMDFIX0029</v>
      </c>
      <c r="C7" s="103" t="s">
        <v>481</v>
      </c>
      <c r="D7" s="105">
        <v>911</v>
      </c>
      <c r="E7" s="38" t="str">
        <f>VLOOKUP($D7,'Tag(Glossary)'!$B:$G,2,0)</f>
        <v>TotNumReports</v>
      </c>
      <c r="F7" s="39" t="s">
        <v>85</v>
      </c>
      <c r="G7" s="39" t="str">
        <f>VLOOKUP($D7,'Tag(Glossary)'!$B:$G,4,0)</f>
        <v>Int</v>
      </c>
      <c r="H7" s="39">
        <f>VLOOKUP($D7,'Tag(Glossary)'!$B:$G,5,0)</f>
        <v>16</v>
      </c>
      <c r="I7" s="38" t="str">
        <f>VLOOKUP($D7,'Tag(Glossary)'!$B:$H,6,0)&amp;IF(ISBLANK(VLOOKUP($D7,'Tag(Glossary)'!$B:$H,7,0)),"",CHAR(10))&amp;VLOOKUP($D7,'Tag(Glossary)'!$B:$H,7,0)</f>
        <v>Entire number of messages for issue information transmission or for a set of statistics results</v>
      </c>
    </row>
    <row r="8" spans="1:9" ht="25.5">
      <c r="B8" s="106" t="str">
        <f>INDEX('Interface List'!$D$7:$D$45,MATCH($C8,'Interface List'!$E$7:$E$45,0))</f>
        <v>IFMDFIX0029</v>
      </c>
      <c r="C8" s="103" t="s">
        <v>481</v>
      </c>
      <c r="D8" s="84">
        <v>30634</v>
      </c>
      <c r="E8" s="38" t="str">
        <f>VLOOKUP($D8,'Tag(Glossary)'!$B:$G,2,0)</f>
        <v>Rank</v>
      </c>
      <c r="F8" s="39" t="s">
        <v>85</v>
      </c>
      <c r="G8" s="39" t="str">
        <f>VLOOKUP($D8,'Tag(Glossary)'!$B:$G,4,0)</f>
        <v>Int</v>
      </c>
      <c r="H8" s="39">
        <f>VLOOKUP($D8,'Tag(Glossary)'!$B:$G,5,0)</f>
        <v>6</v>
      </c>
      <c r="I8" s="184" t="str">
        <f>VLOOKUP($D8,'Tag(Glossary)'!$B:$H,6,0)&amp;IF(ISBLANK(VLOOKUP($D8,'Tag(Glossary)'!$B:$H,7,0)),"",CHAR(10))&amp;VLOOKUP($D8,'Tag(Glossary)'!$B:$H,7,0)</f>
        <v>Sequential rank for 'Top N' statistics</v>
      </c>
    </row>
    <row r="9" spans="1:9" ht="38.25">
      <c r="B9" s="106" t="str">
        <f>INDEX('Interface List'!$D$7:$D$45,MATCH($C9,'Interface List'!$E$7:$E$45,0))</f>
        <v>IFMDFIX0029</v>
      </c>
      <c r="C9" s="103" t="s">
        <v>481</v>
      </c>
      <c r="D9" s="84">
        <v>55</v>
      </c>
      <c r="E9" s="85" t="str">
        <f>VLOOKUP($D9,'Tag(Glossary)'!$B:$G,2,0)</f>
        <v>Symbol</v>
      </c>
      <c r="F9" s="84" t="s">
        <v>85</v>
      </c>
      <c r="G9" s="84" t="str">
        <f>VLOOKUP($D9,'Tag(Glossary)'!$B:$G,4,0)</f>
        <v>String</v>
      </c>
      <c r="H9" s="84">
        <f>VLOOKUP($D9,'Tag(Glossary)'!$B:$G,5,0)</f>
        <v>12</v>
      </c>
      <c r="I9" s="107"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106" t="str">
        <f>INDEX('Interface List'!$D$7:$D$45,MATCH($C10,'Interface List'!$E$7:$E$45,0))</f>
        <v>IFMDFIX0029</v>
      </c>
      <c r="C10" s="103" t="s">
        <v>821</v>
      </c>
      <c r="D10" s="84">
        <v>270</v>
      </c>
      <c r="E10" s="85" t="str">
        <f>VLOOKUP($D10,'Tag(Glossary)'!$B:$G,2,0)</f>
        <v>MDEntryPx</v>
      </c>
      <c r="F10" s="84" t="s">
        <v>85</v>
      </c>
      <c r="G10" s="84" t="str">
        <f>VLOOKUP($D10,'Tag(Glossary)'!$B:$G,4,0)</f>
        <v>Price</v>
      </c>
      <c r="H10" s="84" t="str">
        <f>VLOOKUP($D10,'Tag(Glossary)'!$B:$G,5,0)</f>
        <v>15(9.4)</v>
      </c>
      <c r="I10" s="107" t="str">
        <f>VLOOKUP($D10,'Tag(Glossary)'!$B:$H,6,0)&amp;IF(ISBLANK(VLOOKUP($D10,'Tag(Glossary)'!$B:$H,7,0)),"",CHAR(10))&amp;VLOOKUP($D10,'Tag(Glossary)'!$B:$H,7,0)</f>
        <v>Price for an entry of market data</v>
      </c>
    </row>
    <row r="11" spans="1:9" ht="25.5">
      <c r="B11" s="80" t="str">
        <f>INDEX('Interface List'!$D$7:$D$45,MATCH($C11,'Interface List'!$E$7:$E$45,0))</f>
        <v>IFMDFIX0029</v>
      </c>
      <c r="C11" s="80" t="s">
        <v>343</v>
      </c>
      <c r="D11" s="78"/>
      <c r="E11" s="37" t="s">
        <v>258</v>
      </c>
      <c r="F11" s="39" t="s">
        <v>85</v>
      </c>
      <c r="G11" s="36"/>
      <c r="H11" s="36"/>
      <c r="I11" s="37"/>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2:I11"/>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B1" sqref="B1:I12"/>
    </sheetView>
  </sheetViews>
  <sheetFormatPr defaultColWidth="8.875" defaultRowHeight="15"/>
  <cols>
    <col min="1" max="1" width="1.75" style="7" customWidth="1"/>
    <col min="2" max="2" width="16.87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491</v>
      </c>
      <c r="C2" s="224"/>
      <c r="D2" s="224"/>
      <c r="E2" s="224"/>
      <c r="F2" s="224"/>
      <c r="G2" s="224"/>
      <c r="H2" s="224"/>
      <c r="I2" s="224"/>
    </row>
    <row r="3" spans="1:9" s="3" customFormat="1">
      <c r="A3" s="5"/>
      <c r="B3" s="33"/>
      <c r="C3" s="33"/>
      <c r="D3" s="33"/>
      <c r="E3" s="33"/>
      <c r="F3" s="33"/>
      <c r="G3" s="33"/>
      <c r="H3" s="33"/>
      <c r="I3" s="33"/>
    </row>
    <row r="4" spans="1:9" s="4" customFormat="1">
      <c r="A4" s="7"/>
      <c r="B4" s="180" t="s">
        <v>492</v>
      </c>
      <c r="C4" s="180" t="s">
        <v>493</v>
      </c>
      <c r="D4" s="180" t="s">
        <v>494</v>
      </c>
      <c r="E4" s="180" t="s">
        <v>495</v>
      </c>
      <c r="F4" s="180" t="s">
        <v>496</v>
      </c>
      <c r="G4" s="180" t="s">
        <v>497</v>
      </c>
      <c r="H4" s="180" t="s">
        <v>498</v>
      </c>
      <c r="I4" s="180" t="s">
        <v>499</v>
      </c>
    </row>
    <row r="5" spans="1:9" ht="25.5">
      <c r="B5" s="166" t="str">
        <f>INDEX('Interface List'!$D$7:$D$45,MATCH($C5,'Interface List'!$E$7:$E$45,0))</f>
        <v>IFMDFIX0030</v>
      </c>
      <c r="C5" s="178" t="s">
        <v>500</v>
      </c>
      <c r="D5" s="178"/>
      <c r="E5" s="179" t="s">
        <v>501</v>
      </c>
      <c r="F5" s="178" t="s">
        <v>502</v>
      </c>
      <c r="G5" s="178"/>
      <c r="H5" s="178"/>
      <c r="I5" s="179" t="s">
        <v>503</v>
      </c>
    </row>
    <row r="6" spans="1:9" ht="140.25">
      <c r="B6" s="80" t="str">
        <f>INDEX('Interface List'!$D$7:$D$45,MATCH($C6,'Interface List'!$E$7:$E$45,0))</f>
        <v>IFMDFIX0030</v>
      </c>
      <c r="C6" s="80" t="s">
        <v>500</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104" t="str">
        <f>INDEX('Interface List'!$D$7:$D$45,MATCH($C7,'Interface List'!$E$7:$E$45,0))</f>
        <v>IFMDFIX0030</v>
      </c>
      <c r="C7" s="103" t="s">
        <v>504</v>
      </c>
      <c r="D7" s="105">
        <v>911</v>
      </c>
      <c r="E7" s="38" t="str">
        <f>VLOOKUP($D7,'Tag(Glossary)'!$B:$G,2,0)</f>
        <v>TotNumReports</v>
      </c>
      <c r="F7" s="39" t="s">
        <v>85</v>
      </c>
      <c r="G7" s="39" t="str">
        <f>VLOOKUP($D7,'Tag(Glossary)'!$B:$G,4,0)</f>
        <v>Int</v>
      </c>
      <c r="H7" s="39">
        <f>VLOOKUP($D7,'Tag(Glossary)'!$B:$G,5,0)</f>
        <v>16</v>
      </c>
      <c r="I7" s="38" t="str">
        <f>VLOOKUP($D7,'Tag(Glossary)'!$B:$H,6,0)&amp;IF(ISBLANK(VLOOKUP($D7,'Tag(Glossary)'!$B:$H,7,0)),"",CHAR(10))&amp;VLOOKUP($D7,'Tag(Glossary)'!$B:$H,7,0)</f>
        <v>Entire number of messages for issue information transmission or for a set of statistics results</v>
      </c>
    </row>
    <row r="8" spans="1:9" ht="25.5">
      <c r="B8" s="106" t="str">
        <f>INDEX('Interface List'!$D$7:$D$45,MATCH($C8,'Interface List'!$E$7:$E$45,0))</f>
        <v>IFMDFIX0030</v>
      </c>
      <c r="C8" s="103" t="s">
        <v>505</v>
      </c>
      <c r="D8" s="84">
        <v>30634</v>
      </c>
      <c r="E8" s="38" t="str">
        <f>VLOOKUP($D8,'Tag(Glossary)'!$B:$G,2,0)</f>
        <v>Rank</v>
      </c>
      <c r="F8" s="39" t="s">
        <v>85</v>
      </c>
      <c r="G8" s="39" t="str">
        <f>VLOOKUP($D8,'Tag(Glossary)'!$B:$G,4,0)</f>
        <v>Int</v>
      </c>
      <c r="H8" s="39">
        <f>VLOOKUP($D8,'Tag(Glossary)'!$B:$G,5,0)</f>
        <v>6</v>
      </c>
      <c r="I8" s="184" t="str">
        <f>VLOOKUP($D8,'Tag(Glossary)'!$B:$H,6,0)&amp;IF(ISBLANK(VLOOKUP($D8,'Tag(Glossary)'!$B:$H,7,0)),"",CHAR(10))&amp;VLOOKUP($D8,'Tag(Glossary)'!$B:$H,7,0)</f>
        <v>Sequential rank for 'Top N' statistics</v>
      </c>
    </row>
    <row r="9" spans="1:9" ht="38.25">
      <c r="B9" s="106" t="str">
        <f>INDEX('Interface List'!$D$7:$D$45,MATCH($C9,'Interface List'!$E$7:$E$45,0))</f>
        <v>IFMDFIX0030</v>
      </c>
      <c r="C9" s="103" t="s">
        <v>504</v>
      </c>
      <c r="D9" s="84">
        <v>55</v>
      </c>
      <c r="E9" s="85" t="str">
        <f>VLOOKUP($D9,'Tag(Glossary)'!$B:$G,2,0)</f>
        <v>Symbol</v>
      </c>
      <c r="F9" s="84" t="s">
        <v>85</v>
      </c>
      <c r="G9" s="84" t="str">
        <f>VLOOKUP($D9,'Tag(Glossary)'!$B:$G,4,0)</f>
        <v>String</v>
      </c>
      <c r="H9" s="84">
        <f>VLOOKUP($D9,'Tag(Glossary)'!$B:$G,5,0)</f>
        <v>12</v>
      </c>
      <c r="I9" s="107"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106" t="str">
        <f>INDEX('Interface List'!$D$7:$D$45,MATCH($C10,'Interface List'!$E$7:$E$45,0))</f>
        <v>IFMDFIX0030</v>
      </c>
      <c r="C10" s="103" t="s">
        <v>820</v>
      </c>
      <c r="D10" s="84">
        <v>30603</v>
      </c>
      <c r="E10" s="85" t="str">
        <f>VLOOKUP($D10,'Tag(Glossary)'!$B:$G,2,0)</f>
        <v>PriceFluctuationRatio</v>
      </c>
      <c r="F10" s="84" t="s">
        <v>85</v>
      </c>
      <c r="G10" s="84" t="str">
        <f>VLOOKUP($D10,'Tag(Glossary)'!$B:$G,4,0)</f>
        <v>Float</v>
      </c>
      <c r="H10" s="84" t="str">
        <f>VLOOKUP($D10,'Tag(Glossary)'!$B:$G,5,0)</f>
        <v>10(6.2)</v>
      </c>
      <c r="I10" s="107" t="str">
        <f>VLOOKUP($D10,'Tag(Glossary)'!$B:$H,6,0)&amp;IF(ISBLANK(VLOOKUP($D10,'Tag(Glossary)'!$B:$H,7,0)),"",CHAR(10))&amp;VLOOKUP($D10,'Tag(Glossary)'!$B:$H,7,0)</f>
        <v>Fluctuation ratio of the current price compared to the price of the previous day for a symbol</v>
      </c>
    </row>
    <row r="11" spans="1:9" ht="25.5">
      <c r="B11" s="80" t="str">
        <f>INDEX('Interface List'!$D$7:$D$45,MATCH($C11,'Interface List'!$E$7:$E$45,0))</f>
        <v>IFMDFIX0030</v>
      </c>
      <c r="C11" s="80" t="s">
        <v>345</v>
      </c>
      <c r="D11" s="78"/>
      <c r="E11" s="37" t="s">
        <v>258</v>
      </c>
      <c r="F11" s="39" t="s">
        <v>85</v>
      </c>
      <c r="G11" s="36"/>
      <c r="H11" s="36"/>
      <c r="I11" s="37"/>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2:I11"/>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6.87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506</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ht="25.5">
      <c r="B5" s="166" t="str">
        <f>INDEX('Interface List'!$D$7:$D$45,MATCH($C5,'Interface List'!$E$7:$E$45,0))</f>
        <v>IFMDFIX0031</v>
      </c>
      <c r="C5" s="178" t="s">
        <v>347</v>
      </c>
      <c r="D5" s="178"/>
      <c r="E5" s="179" t="s">
        <v>109</v>
      </c>
      <c r="F5" s="178" t="s">
        <v>86</v>
      </c>
      <c r="G5" s="178"/>
      <c r="H5" s="178"/>
      <c r="I5" s="179" t="s">
        <v>507</v>
      </c>
    </row>
    <row r="6" spans="1:9" ht="140.25">
      <c r="B6" s="80" t="str">
        <f>INDEX('Interface List'!$D$7:$D$45,MATCH($C6,'Interface List'!$E$7:$E$45,0))</f>
        <v>IFMDFIX0031</v>
      </c>
      <c r="C6" s="80" t="s">
        <v>347</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25.5">
      <c r="B7" s="104" t="str">
        <f>INDEX('Interface List'!$D$7:$D$45,MATCH($C7,'Interface List'!$E$7:$E$45,0))</f>
        <v>IFMDFIX0031</v>
      </c>
      <c r="C7" s="103" t="s">
        <v>506</v>
      </c>
      <c r="D7" s="105">
        <v>911</v>
      </c>
      <c r="E7" s="85" t="str">
        <f>VLOOKUP($D7,'Tag(Glossary)'!$B:$G,2,0)</f>
        <v>TotNumReports</v>
      </c>
      <c r="F7" s="84" t="s">
        <v>85</v>
      </c>
      <c r="G7" s="84" t="str">
        <f>VLOOKUP($D7,'Tag(Glossary)'!$B:$G,4,0)</f>
        <v>Int</v>
      </c>
      <c r="H7" s="84">
        <f>VLOOKUP($D7,'Tag(Glossary)'!$B:$G,5,0)</f>
        <v>16</v>
      </c>
      <c r="I7" s="85" t="str">
        <f>VLOOKUP($D7,'Tag(Glossary)'!$B:$H,6,0)&amp;IF(ISBLANK(VLOOKUP($D7,'Tag(Glossary)'!$B:$H,7,0)),"",CHAR(10))&amp;VLOOKUP($D7,'Tag(Glossary)'!$B:$H,7,0)</f>
        <v>Entire number of messages for issue information transmission or for a set of statistics results</v>
      </c>
    </row>
    <row r="8" spans="1:9" ht="25.5">
      <c r="B8" s="106" t="str">
        <f>INDEX('Interface List'!$D$7:$D$45,MATCH($C8,'Interface List'!$E$7:$E$45,0))</f>
        <v>IFMDFIX0031</v>
      </c>
      <c r="C8" s="103" t="s">
        <v>506</v>
      </c>
      <c r="D8" s="84">
        <v>30634</v>
      </c>
      <c r="E8" s="85" t="str">
        <f>VLOOKUP($D8,'Tag(Glossary)'!$B:$G,2,0)</f>
        <v>Rank</v>
      </c>
      <c r="F8" s="84" t="s">
        <v>85</v>
      </c>
      <c r="G8" s="84" t="str">
        <f>VLOOKUP($D8,'Tag(Glossary)'!$B:$G,4,0)</f>
        <v>Int</v>
      </c>
      <c r="H8" s="84">
        <f>VLOOKUP($D8,'Tag(Glossary)'!$B:$G,5,0)</f>
        <v>6</v>
      </c>
      <c r="I8" s="107" t="str">
        <f>VLOOKUP($D8,'Tag(Glossary)'!$B:$H,6,0)&amp;IF(ISBLANK(VLOOKUP($D8,'Tag(Glossary)'!$B:$H,7,0)),"",CHAR(10))&amp;VLOOKUP($D8,'Tag(Glossary)'!$B:$H,7,0)</f>
        <v>Sequential rank for 'Top N' statistics</v>
      </c>
    </row>
    <row r="9" spans="1:9" ht="38.25">
      <c r="B9" s="106" t="str">
        <f>INDEX('Interface List'!$D$7:$D$45,MATCH($C9,'Interface List'!$E$7:$E$45,0))</f>
        <v>IFMDFIX0031</v>
      </c>
      <c r="C9" s="103" t="s">
        <v>506</v>
      </c>
      <c r="D9" s="84">
        <v>55</v>
      </c>
      <c r="E9" s="85" t="str">
        <f>VLOOKUP($D9,'Tag(Glossary)'!$B:$G,2,0)</f>
        <v>Symbol</v>
      </c>
      <c r="F9" s="84" t="s">
        <v>85</v>
      </c>
      <c r="G9" s="84" t="str">
        <f>VLOOKUP($D9,'Tag(Glossary)'!$B:$G,4,0)</f>
        <v>String</v>
      </c>
      <c r="H9" s="84">
        <f>VLOOKUP($D9,'Tag(Glossary)'!$B:$G,5,0)</f>
        <v>12</v>
      </c>
      <c r="I9" s="107"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106" t="str">
        <f>INDEX('Interface List'!$D$7:$D$45,MATCH($C10,'Interface List'!$E$7:$E$45,0))</f>
        <v>IFMDFIX0031</v>
      </c>
      <c r="C10" s="103" t="s">
        <v>819</v>
      </c>
      <c r="D10" s="84">
        <v>30603</v>
      </c>
      <c r="E10" s="85" t="str">
        <f>VLOOKUP($D10,'Tag(Glossary)'!$B:$G,2,0)</f>
        <v>PriceFluctuationRatio</v>
      </c>
      <c r="F10" s="84" t="s">
        <v>85</v>
      </c>
      <c r="G10" s="84" t="str">
        <f>VLOOKUP($D10,'Tag(Glossary)'!$B:$G,4,0)</f>
        <v>Float</v>
      </c>
      <c r="H10" s="84" t="str">
        <f>VLOOKUP($D10,'Tag(Glossary)'!$B:$G,5,0)</f>
        <v>10(6.2)</v>
      </c>
      <c r="I10" s="107" t="str">
        <f>VLOOKUP($D10,'Tag(Glossary)'!$B:$H,6,0)&amp;IF(ISBLANK(VLOOKUP($D10,'Tag(Glossary)'!$B:$H,7,0)),"",CHAR(10))&amp;VLOOKUP($D10,'Tag(Glossary)'!$B:$H,7,0)</f>
        <v>Fluctuation ratio of the current price compared to the price of the previous day for a symbol</v>
      </c>
    </row>
    <row r="11" spans="1:9" ht="25.5">
      <c r="B11" s="103" t="str">
        <f>INDEX('Interface List'!$D$7:$D$45,MATCH($C11,'Interface List'!$E$7:$E$45,0))</f>
        <v>IFMDFIX0031</v>
      </c>
      <c r="C11" s="103" t="s">
        <v>347</v>
      </c>
      <c r="D11" s="84"/>
      <c r="E11" s="85" t="s">
        <v>258</v>
      </c>
      <c r="F11" s="84" t="s">
        <v>85</v>
      </c>
      <c r="G11" s="84"/>
      <c r="H11" s="84"/>
      <c r="I11" s="85"/>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2:I20"/>
  <sheetViews>
    <sheetView view="pageBreakPreview" zoomScale="75" zoomScaleNormal="75" zoomScaleSheetLayoutView="75"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6.5" style="32" customWidth="1"/>
    <col min="3" max="3" width="16"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508</v>
      </c>
      <c r="C2" s="224"/>
      <c r="D2" s="224"/>
      <c r="E2" s="224"/>
      <c r="F2" s="224"/>
      <c r="G2" s="224"/>
      <c r="H2" s="224"/>
      <c r="I2" s="224"/>
    </row>
    <row r="3" spans="1:9" s="3" customFormat="1">
      <c r="A3" s="5"/>
      <c r="B3" s="33"/>
      <c r="C3" s="33"/>
      <c r="D3" s="33"/>
      <c r="E3" s="33"/>
      <c r="F3" s="33"/>
      <c r="G3" s="33"/>
      <c r="H3" s="33"/>
      <c r="I3" s="33"/>
    </row>
    <row r="4" spans="1:9" s="4" customFormat="1">
      <c r="A4" s="7"/>
      <c r="B4" s="180" t="s">
        <v>509</v>
      </c>
      <c r="C4" s="180" t="s">
        <v>510</v>
      </c>
      <c r="D4" s="180" t="s">
        <v>511</v>
      </c>
      <c r="E4" s="180" t="s">
        <v>512</v>
      </c>
      <c r="F4" s="180" t="s">
        <v>513</v>
      </c>
      <c r="G4" s="180" t="s">
        <v>514</v>
      </c>
      <c r="H4" s="180" t="s">
        <v>515</v>
      </c>
      <c r="I4" s="180" t="s">
        <v>516</v>
      </c>
    </row>
    <row r="5" spans="1:9" ht="25.5">
      <c r="B5" s="166" t="str">
        <f>INDEX('Interface List'!$D$7:$D$45,MATCH($C5,'Interface List'!$E$7:$E$45,0))</f>
        <v>IFMDFIX0032</v>
      </c>
      <c r="C5" s="178" t="s">
        <v>517</v>
      </c>
      <c r="D5" s="178"/>
      <c r="E5" s="179" t="s">
        <v>518</v>
      </c>
      <c r="F5" s="178" t="s">
        <v>519</v>
      </c>
      <c r="G5" s="178"/>
      <c r="H5" s="178"/>
      <c r="I5" s="179" t="s">
        <v>520</v>
      </c>
    </row>
    <row r="6" spans="1:9" ht="140.25">
      <c r="B6" s="80" t="str">
        <f>INDEX('Interface List'!$D$7:$D$45,MATCH($C6,'Interface List'!$E$7:$E$45,0))</f>
        <v>IFMDFIX0032</v>
      </c>
      <c r="C6" s="80" t="s">
        <v>517</v>
      </c>
      <c r="D6" s="78">
        <v>30001</v>
      </c>
      <c r="E6" s="37" t="str">
        <f>VLOOKUP($D6,'Tag(Glossary)'!$B:$G,2,0)</f>
        <v>MarketID</v>
      </c>
      <c r="F6" s="39" t="s">
        <v>85</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178.5">
      <c r="B7" s="80" t="str">
        <f>INDEX('Interface List'!$D$7:$D$45,MATCH($C7,'Interface List'!$E$7:$E$45,0))</f>
        <v>IFMDFIX0032</v>
      </c>
      <c r="C7" s="80" t="s">
        <v>349</v>
      </c>
      <c r="D7" s="84">
        <v>20004</v>
      </c>
      <c r="E7" s="38" t="str">
        <f>VLOOKUP($D7,'Tag(Glossary)'!$B:$G,2,0)</f>
        <v>BoardID</v>
      </c>
      <c r="F7" s="39" t="s">
        <v>85</v>
      </c>
      <c r="G7" s="39" t="str">
        <f>VLOOKUP($D7,'Tag(Glossary)'!$B:$G,4,0)</f>
        <v>String</v>
      </c>
      <c r="H7" s="39">
        <f>VLOOKUP($D7,'Tag(Glossary)'!$B:$G,5,0)</f>
        <v>2</v>
      </c>
      <c r="I7" s="38" t="str">
        <f>VLOOKUP($D7,'Tag(Glossary)'!$B:$H,6,0)&amp;IF(ISBLANK(VLOOKUP($D7,'Tag(Glossary)'!$B:$H,7,0)),"",CHAR(10))&amp;VLOOKUP($D7,'Tag(Glossary)'!$B:$H,7,0)</f>
        <v>Unique identifier to a Board where a given instrument is traded
G1 : Main
G2 : Pre open
G3 : Post closing
G4 : Odd lot
G7 : Buy-in
G8 : Sell-out
T1 : Negotiation (regular)
T4 : Negotiation (regular for Odd lot)
T2 : Negotiation (pre)
T3 : Negotiation (post)
T6 : Negotiation (post for Odd lot)
R1 : Negotiation (Repo)
AL : All Boards</v>
      </c>
    </row>
    <row r="8" spans="1:9" ht="178.5">
      <c r="B8" s="80" t="str">
        <f>INDEX('Interface List'!$D$7:$D$45,MATCH($C8,'Interface List'!$E$7:$E$45,0))</f>
        <v>IFMDFIX0032</v>
      </c>
      <c r="C8" s="80" t="s">
        <v>517</v>
      </c>
      <c r="D8" s="84">
        <v>336</v>
      </c>
      <c r="E8" s="38" t="str">
        <f>VLOOKUP($D8,'Tag(Glossary)'!$B:$G,2,0)</f>
        <v>TradingSessionID</v>
      </c>
      <c r="F8" s="39" t="s">
        <v>85</v>
      </c>
      <c r="G8" s="39" t="str">
        <f>VLOOKUP($D8,'Tag(Glossary)'!$B:$G,4,0)</f>
        <v>String</v>
      </c>
      <c r="H8" s="39">
        <f>VLOOKUP($D8,'Tag(Glossary)'!$B:$G,5,0)</f>
        <v>2</v>
      </c>
      <c r="I8" s="38" t="str">
        <f>VLOOKUP($D8,'Tag(Glossary)'!$B:$H,6,0)&amp;IF(ISBLANK(VLOOKUP($D8,'Tag(Glossary)'!$B:$H,7,0)),"",CHAR(10))&amp;VLOOKUP($D8,'Tag(Glossary)'!$B:$H,7,0)</f>
        <v>Trading Session
01 = GT Order Load
10 = Opening Call Auction
11 = Opening Call Auction Extension
20 = Call Auction after Halt
21 = Call Auction after Halt Extension
30 = Closing Call Auction
40 = Continuous Auction
50 = VI Call Auction
51 = VI Call Auction Extension
60 = Order Accept Only
80 = Periodic Call Auction
90 = Trading Halt
99 = Board Closing</v>
      </c>
    </row>
    <row r="9" spans="1:9" ht="38.25">
      <c r="B9" s="80" t="str">
        <f>INDEX('Interface List'!$D$7:$D$45,MATCH($C9,'Interface List'!$E$7:$E$45,0))</f>
        <v>IFMDFIX0032</v>
      </c>
      <c r="C9" s="80" t="s">
        <v>349</v>
      </c>
      <c r="D9" s="84">
        <v>55</v>
      </c>
      <c r="E9" s="38" t="str">
        <f>VLOOKUP($D9,'Tag(Glossary)'!$B:$G,2,0)</f>
        <v>Symbol</v>
      </c>
      <c r="F9" s="39" t="s">
        <v>85</v>
      </c>
      <c r="G9" s="39" t="str">
        <f>VLOOKUP($D9,'Tag(Glossary)'!$B:$G,4,0)</f>
        <v>String</v>
      </c>
      <c r="H9" s="39">
        <f>VLOOKUP($D9,'Tag(Glossary)'!$B:$G,5,0)</f>
        <v>12</v>
      </c>
      <c r="I9" s="38" t="str">
        <f>VLOOKUP($D9,'Tag(Glossary)'!$B:$H,6,0)&amp;IF(ISBLANK(VLOOKUP($D9,'Tag(Glossary)'!$B:$H,7,0)),"",CHAR(10))&amp;VLOOKUP($D9,'Tag(Glossary)'!$B:$H,7,0)</f>
        <v>The unique code of an issue (a.k.a. instrument or symbol). Generally it is ISIN code but in case of Repo market it is defined as the exchange staffs want</v>
      </c>
    </row>
    <row r="10" spans="1:9" ht="25.5">
      <c r="B10" s="80" t="str">
        <f>INDEX('Interface List'!$D$7:$D$45,MATCH($C10,'Interface List'!$E$7:$E$45,0))</f>
        <v>IFMDFIX0032</v>
      </c>
      <c r="C10" s="80" t="s">
        <v>349</v>
      </c>
      <c r="D10" s="84">
        <v>60</v>
      </c>
      <c r="E10" s="38" t="str">
        <f>VLOOKUP($D10,'Tag(Glossary)'!$B:$G,2,0)</f>
        <v>TransactTime</v>
      </c>
      <c r="F10" s="39" t="s">
        <v>85</v>
      </c>
      <c r="G10" s="39" t="str">
        <f>VLOOKUP($D10,'Tag(Glossary)'!$B:$G,4,0)</f>
        <v>UTCTime</v>
      </c>
      <c r="H10" s="39">
        <f>VLOOKUP($D10,'Tag(Glossary)'!$B:$G,5,0)</f>
        <v>9</v>
      </c>
      <c r="I10" s="38" t="str">
        <f>VLOOKUP($D10,'Tag(Glossary)'!$B:$H,6,0)&amp;IF(ISBLANK(VLOOKUP($D10,'Tag(Glossary)'!$B:$H,7,0)),"",CHAR(10))&amp;VLOOKUP($D10,'Tag(Glossary)'!$B:$H,7,0)</f>
        <v>Time of execution/order creation
HHmmSSsss : Normal Case</v>
      </c>
    </row>
    <row r="11" spans="1:9" ht="38.25">
      <c r="B11" s="103" t="str">
        <f>INDEX('Interface List'!$D$7:$D$45,MATCH($C11,'Interface List'!$E$7:$E$45,0))</f>
        <v>IFMDFIX0032</v>
      </c>
      <c r="C11" s="185" t="s">
        <v>775</v>
      </c>
      <c r="D11" s="186">
        <v>20054</v>
      </c>
      <c r="E11" s="38" t="str">
        <f>VLOOKUP($D11,'Tag(Glossary)'!$B:$G,2,0)</f>
        <v>FornInvestTypeCode</v>
      </c>
      <c r="F11" s="39" t="s">
        <v>85</v>
      </c>
      <c r="G11" s="39" t="str">
        <f>VLOOKUP($D11,'Tag(Glossary)'!$B:$G,4,0)</f>
        <v>String</v>
      </c>
      <c r="H11" s="39">
        <f>VLOOKUP($D11,'Tag(Glossary)'!$B:$G,5,0)</f>
        <v>2</v>
      </c>
      <c r="I11" s="38" t="str">
        <f>VLOOKUP($D11,'Tag(Glossary)'!$B:$H,6,0)&amp;IF(ISBLANK(VLOOKUP($D11,'Tag(Glossary)'!$B:$H,7,0)),"",CHAR(10))&amp;VLOOKUP($D11,'Tag(Glossary)'!$B:$H,7,0)</f>
        <v>Indicates whether a given order or quote is owned by foreigner.
00 Domestic(default)
10 Foreginer</v>
      </c>
    </row>
    <row r="12" spans="1:9" ht="25.5">
      <c r="B12" s="187" t="str">
        <f>INDEX('Interface List'!$D$7:$D$45,MATCH($C12,'Interface List'!$E$7:$E$45,0))</f>
        <v>IFMDFIX0032</v>
      </c>
      <c r="C12" s="185" t="s">
        <v>775</v>
      </c>
      <c r="D12" s="186">
        <v>331</v>
      </c>
      <c r="E12" s="188" t="str">
        <f>VLOOKUP($D12,'Tag(Glossary)'!$B:$G,2,0)</f>
        <v>SellVolume</v>
      </c>
      <c r="F12" s="186" t="s">
        <v>85</v>
      </c>
      <c r="G12" s="186" t="str">
        <f>VLOOKUP($D12,'Tag(Glossary)'!$B:$G,4,0)</f>
        <v>Int</v>
      </c>
      <c r="H12" s="186">
        <f>VLOOKUP($D12,'Tag(Glossary)'!$B:$G,5,0)</f>
        <v>12</v>
      </c>
      <c r="I12" s="189" t="str">
        <f>VLOOKUP($D12,'Tag(Glossary)'!$B:$H,6,0)&amp;IF(ISBLANK(VLOOKUP($D12,'Tag(Glossary)'!$B:$H,7,0)),"",CHAR(10))&amp;VLOOKUP($D12,'Tag(Glossary)'!$B:$H,7,0)</f>
        <v>Trading volume in sell side</v>
      </c>
    </row>
    <row r="13" spans="1:9" ht="25.5">
      <c r="B13" s="187" t="str">
        <f>INDEX('Interface List'!$D$7:$D$45,MATCH($C13,'Interface List'!$E$7:$E$45,0))</f>
        <v>IFMDFIX0032</v>
      </c>
      <c r="C13" s="185" t="s">
        <v>775</v>
      </c>
      <c r="D13" s="186">
        <v>30168</v>
      </c>
      <c r="E13" s="188" t="str">
        <f>VLOOKUP($D13,'Tag(Glossary)'!$B:$G,2,0)</f>
        <v>SellTradeAmount</v>
      </c>
      <c r="F13" s="186" t="s">
        <v>85</v>
      </c>
      <c r="G13" s="186" t="str">
        <f>VLOOKUP($D13,'Tag(Glossary)'!$B:$G,4,0)</f>
        <v>Float</v>
      </c>
      <c r="H13" s="186" t="str">
        <f>VLOOKUP($D13,'Tag(Glossary)'!$B:$G,5,0)</f>
        <v>23(18.4)</v>
      </c>
      <c r="I13" s="189" t="str">
        <f>VLOOKUP($D13,'Tag(Glossary)'!$B:$H,6,0)&amp;IF(ISBLANK(VLOOKUP($D13,'Tag(Glossary)'!$B:$H,7,0)),"",CHAR(10))&amp;VLOOKUP($D13,'Tag(Glossary)'!$B:$H,7,0)</f>
        <v>Trading value in ask side</v>
      </c>
    </row>
    <row r="14" spans="1:9" ht="25.5">
      <c r="B14" s="187" t="str">
        <f>INDEX('Interface List'!$D$7:$D$45,MATCH($C14,'Interface List'!$E$7:$E$45,0))</f>
        <v>IFMDFIX0032</v>
      </c>
      <c r="C14" s="185" t="s">
        <v>776</v>
      </c>
      <c r="D14" s="186">
        <v>330</v>
      </c>
      <c r="E14" s="188" t="str">
        <f>VLOOKUP($D14,'Tag(Glossary)'!$B:$G,2,0)</f>
        <v>BuyVolume</v>
      </c>
      <c r="F14" s="186" t="s">
        <v>85</v>
      </c>
      <c r="G14" s="186" t="str">
        <f>VLOOKUP($D14,'Tag(Glossary)'!$B:$G,4,0)</f>
        <v>Int</v>
      </c>
      <c r="H14" s="186">
        <f>VLOOKUP($D14,'Tag(Glossary)'!$B:$G,5,0)</f>
        <v>12</v>
      </c>
      <c r="I14" s="189" t="str">
        <f>VLOOKUP($D14,'Tag(Glossary)'!$B:$H,6,0)&amp;IF(ISBLANK(VLOOKUP($D14,'Tag(Glossary)'!$B:$H,7,0)),"",CHAR(10))&amp;VLOOKUP($D14,'Tag(Glossary)'!$B:$H,7,0)</f>
        <v>Trading volume in buy side</v>
      </c>
    </row>
    <row r="15" spans="1:9" ht="25.5">
      <c r="B15" s="187" t="str">
        <f>INDEX('Interface List'!$D$7:$D$45,MATCH($C15,'Interface List'!$E$7:$E$45,0))</f>
        <v>IFMDFIX0032</v>
      </c>
      <c r="C15" s="185" t="s">
        <v>775</v>
      </c>
      <c r="D15" s="186">
        <v>30169</v>
      </c>
      <c r="E15" s="188" t="str">
        <f>VLOOKUP($D15,'Tag(Glossary)'!$B:$G,2,0)</f>
        <v>BuyTradedAmount</v>
      </c>
      <c r="F15" s="186" t="s">
        <v>85</v>
      </c>
      <c r="G15" s="186" t="str">
        <f>VLOOKUP($D15,'Tag(Glossary)'!$B:$G,4,0)</f>
        <v>Float</v>
      </c>
      <c r="H15" s="186" t="str">
        <f>VLOOKUP($D15,'Tag(Glossary)'!$B:$G,5,0)</f>
        <v>23(18.4)</v>
      </c>
      <c r="I15" s="189" t="str">
        <f>VLOOKUP($D15,'Tag(Glossary)'!$B:$H,6,0)&amp;IF(ISBLANK(VLOOKUP($D15,'Tag(Glossary)'!$B:$H,7,0)),"",CHAR(10))&amp;VLOOKUP($D15,'Tag(Glossary)'!$B:$H,7,0)</f>
        <v>Trading value in bid side</v>
      </c>
    </row>
    <row r="16" spans="1:9" ht="25.5">
      <c r="B16" s="187" t="str">
        <f>INDEX('Interface List'!$D$7:$D$45,MATCH($C16,'Interface List'!$E$7:$E$45,0))</f>
        <v>IFMDFIX0032</v>
      </c>
      <c r="C16" s="185" t="s">
        <v>349</v>
      </c>
      <c r="D16" s="186">
        <v>30643</v>
      </c>
      <c r="E16" s="188" t="str">
        <f>VLOOKUP($D16,'Tag(Glossary)'!$B:$G,2,0)</f>
        <v>SellVolume(Total)</v>
      </c>
      <c r="F16" s="186" t="s">
        <v>85</v>
      </c>
      <c r="G16" s="186" t="str">
        <f>VLOOKUP($D16,'Tag(Glossary)'!$B:$G,4,0)</f>
        <v>Int</v>
      </c>
      <c r="H16" s="186">
        <f>VLOOKUP($D16,'Tag(Glossary)'!$B:$G,5,0)</f>
        <v>12</v>
      </c>
      <c r="I16" s="189" t="str">
        <f>VLOOKUP($D16,'Tag(Glossary)'!$B:$H,6,0)&amp;IF(ISBLANK(VLOOKUP($D16,'Tag(Glossary)'!$B:$H,7,0)),"",CHAR(10))&amp;VLOOKUP($D16,'Tag(Glossary)'!$B:$H,7,0)</f>
        <v>Total trading volume in sell side</v>
      </c>
    </row>
    <row r="17" spans="2:9" ht="25.5">
      <c r="B17" s="187" t="str">
        <f>INDEX('Interface List'!$D$7:$D$45,MATCH($C17,'Interface List'!$E$7:$E$45,0))</f>
        <v>IFMDFIX0032</v>
      </c>
      <c r="C17" s="185" t="s">
        <v>349</v>
      </c>
      <c r="D17" s="186">
        <v>30644</v>
      </c>
      <c r="E17" s="188" t="str">
        <f>VLOOKUP($D17,'Tag(Glossary)'!$B:$G,2,0)</f>
        <v>SellTradeAmount(Total)</v>
      </c>
      <c r="F17" s="186" t="s">
        <v>85</v>
      </c>
      <c r="G17" s="186" t="str">
        <f>VLOOKUP($D17,'Tag(Glossary)'!$B:$G,4,0)</f>
        <v>Float</v>
      </c>
      <c r="H17" s="186" t="str">
        <f>VLOOKUP($D17,'Tag(Glossary)'!$B:$G,5,0)</f>
        <v>23(18.4)</v>
      </c>
      <c r="I17" s="189" t="str">
        <f>VLOOKUP($D17,'Tag(Glossary)'!$B:$H,6,0)&amp;IF(ISBLANK(VLOOKUP($D17,'Tag(Glossary)'!$B:$H,7,0)),"",CHAR(10))&amp;VLOOKUP($D17,'Tag(Glossary)'!$B:$H,7,0)</f>
        <v>Total trading value in ask side</v>
      </c>
    </row>
    <row r="18" spans="2:9" ht="25.5">
      <c r="B18" s="187" t="str">
        <f>INDEX('Interface List'!$D$7:$D$45,MATCH($C18,'Interface List'!$E$7:$E$45,0))</f>
        <v>IFMDFIX0032</v>
      </c>
      <c r="C18" s="185" t="s">
        <v>349</v>
      </c>
      <c r="D18" s="186">
        <v>30645</v>
      </c>
      <c r="E18" s="188" t="str">
        <f>VLOOKUP($D18,'Tag(Glossary)'!$B:$G,2,0)</f>
        <v>BuyVolume(Total)</v>
      </c>
      <c r="F18" s="186" t="s">
        <v>85</v>
      </c>
      <c r="G18" s="186" t="str">
        <f>VLOOKUP($D18,'Tag(Glossary)'!$B:$G,4,0)</f>
        <v>Int</v>
      </c>
      <c r="H18" s="186">
        <f>VLOOKUP($D18,'Tag(Glossary)'!$B:$G,5,0)</f>
        <v>12</v>
      </c>
      <c r="I18" s="189" t="str">
        <f>VLOOKUP($D18,'Tag(Glossary)'!$B:$H,6,0)&amp;IF(ISBLANK(VLOOKUP($D18,'Tag(Glossary)'!$B:$H,7,0)),"",CHAR(10))&amp;VLOOKUP($D18,'Tag(Glossary)'!$B:$H,7,0)</f>
        <v>Total trading volume in buy side</v>
      </c>
    </row>
    <row r="19" spans="2:9" ht="25.5">
      <c r="B19" s="187" t="str">
        <f>INDEX('Interface List'!$D$7:$D$45,MATCH($C19,'Interface List'!$E$7:$E$45,0))</f>
        <v>IFMDFIX0032</v>
      </c>
      <c r="C19" s="185" t="s">
        <v>349</v>
      </c>
      <c r="D19" s="186">
        <v>30646</v>
      </c>
      <c r="E19" s="188" t="str">
        <f>VLOOKUP($D19,'Tag(Glossary)'!$B:$G,2,0)</f>
        <v>BuyTradedAmount(Total)</v>
      </c>
      <c r="F19" s="186" t="s">
        <v>85</v>
      </c>
      <c r="G19" s="186" t="str">
        <f>VLOOKUP($D19,'Tag(Glossary)'!$B:$G,4,0)</f>
        <v>Float</v>
      </c>
      <c r="H19" s="186" t="str">
        <f>VLOOKUP($D19,'Tag(Glossary)'!$B:$G,5,0)</f>
        <v>23(18.3)</v>
      </c>
      <c r="I19" s="189" t="str">
        <f>VLOOKUP($D19,'Tag(Glossary)'!$B:$H,6,0)&amp;IF(ISBLANK(VLOOKUP($D19,'Tag(Glossary)'!$B:$H,7,0)),"",CHAR(10))&amp;VLOOKUP($D19,'Tag(Glossary)'!$B:$H,7,0)</f>
        <v>Total trading value in bid side</v>
      </c>
    </row>
    <row r="20" spans="2:9" ht="25.5">
      <c r="B20" s="187" t="str">
        <f>INDEX('Interface List'!$D$7:$D$45,MATCH($C20,'Interface List'!$E$7:$E$45,0))</f>
        <v>IFMDFIX0032</v>
      </c>
      <c r="C20" s="80" t="s">
        <v>349</v>
      </c>
      <c r="D20" s="78"/>
      <c r="E20" s="37" t="s">
        <v>258</v>
      </c>
      <c r="F20" s="39" t="s">
        <v>85</v>
      </c>
      <c r="G20" s="36"/>
      <c r="H20" s="36"/>
      <c r="I20" s="37"/>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6" orientation="portrait" r:id="rId1"/>
  <headerFooter alignWithMargins="0">
    <oddFooter>&amp;C&amp;10&amp;P/&amp;N&amp; Information Technology Service Agreement&amp;R&amp;G</oddFooter>
  </headerFooter>
  <drawing r:id="rId2"/>
  <legacyDrawingHF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2:I20"/>
  <sheetViews>
    <sheetView view="pageBreakPreview" zoomScaleNormal="75" zoomScaleSheetLayoutView="100" workbookViewId="0">
      <pane xSplit="9" ySplit="4" topLeftCell="J7" activePane="bottomRight" state="frozen"/>
      <selection sqref="A1:XFD1048576"/>
      <selection pane="topRight" sqref="A1:XFD1048576"/>
      <selection pane="bottomLeft" sqref="A1:XFD1048576"/>
      <selection pane="bottomRight" activeCell="B1" sqref="B1:I21"/>
    </sheetView>
  </sheetViews>
  <sheetFormatPr defaultColWidth="8.875" defaultRowHeight="15"/>
  <cols>
    <col min="1" max="1" width="1.75" style="7" customWidth="1"/>
    <col min="2" max="2" width="15.125" style="32" bestFit="1" customWidth="1"/>
    <col min="3" max="3" width="20.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2.875" style="35" customWidth="1"/>
    <col min="10" max="16384" width="8.875" style="2"/>
  </cols>
  <sheetData>
    <row r="2" spans="1:9" ht="18.75">
      <c r="B2" s="224" t="s">
        <v>521</v>
      </c>
      <c r="C2" s="224"/>
      <c r="D2" s="224"/>
      <c r="E2" s="224"/>
      <c r="F2" s="224"/>
      <c r="G2" s="224"/>
      <c r="H2" s="224"/>
      <c r="I2" s="224"/>
    </row>
    <row r="3" spans="1:9" s="3" customFormat="1">
      <c r="A3" s="5"/>
      <c r="B3" s="33"/>
      <c r="C3" s="33"/>
      <c r="D3" s="33"/>
      <c r="E3" s="33"/>
      <c r="F3" s="33"/>
      <c r="G3" s="33"/>
      <c r="H3" s="33"/>
      <c r="I3" s="33"/>
    </row>
    <row r="4" spans="1:9" s="4" customFormat="1">
      <c r="A4" s="7"/>
      <c r="B4" s="180" t="s">
        <v>90</v>
      </c>
      <c r="C4" s="180" t="s">
        <v>104</v>
      </c>
      <c r="D4" s="180" t="s">
        <v>84</v>
      </c>
      <c r="E4" s="180" t="s">
        <v>98</v>
      </c>
      <c r="F4" s="180" t="s">
        <v>99</v>
      </c>
      <c r="G4" s="180" t="s">
        <v>100</v>
      </c>
      <c r="H4" s="180" t="s">
        <v>101</v>
      </c>
      <c r="I4" s="180" t="s">
        <v>102</v>
      </c>
    </row>
    <row r="5" spans="1:9">
      <c r="B5" s="166" t="str">
        <f>INDEX('Interface List'!$D$7:$D$45,MATCH($C5,'Interface List'!$E$7:$E$45,0))</f>
        <v>IFMDFIX0033</v>
      </c>
      <c r="C5" s="178" t="s">
        <v>351</v>
      </c>
      <c r="D5" s="178"/>
      <c r="E5" s="179" t="s">
        <v>109</v>
      </c>
      <c r="F5" s="178" t="s">
        <v>86</v>
      </c>
      <c r="G5" s="178"/>
      <c r="H5" s="178"/>
      <c r="I5" s="179" t="s">
        <v>522</v>
      </c>
    </row>
    <row r="6" spans="1:9" ht="140.25">
      <c r="B6" s="80" t="str">
        <f>INDEX('Interface List'!$D$7:$D$45,MATCH($C6,'Interface List'!$E$7:$E$45,0))</f>
        <v>IFMDFIX0033</v>
      </c>
      <c r="C6" s="80" t="s">
        <v>351</v>
      </c>
      <c r="D6" s="78">
        <v>30001</v>
      </c>
      <c r="E6" s="37" t="str">
        <f>VLOOKUP($D6,'Tag(Glossary)'!$B:$G,2,0)</f>
        <v>MarketID</v>
      </c>
      <c r="F6" s="39" t="s">
        <v>869</v>
      </c>
      <c r="G6" s="36" t="str">
        <f>VLOOKUP($D6,'Tag(Glossary)'!$B:$G,4,0)</f>
        <v>String</v>
      </c>
      <c r="H6" s="36">
        <f>VLOOKUP($D6,'Tag(Glossary)'!$B:$G,5,0)</f>
        <v>3</v>
      </c>
      <c r="I6" s="38" t="str">
        <f>VLOOKUP($D6,'Tag(Glossary)'!$B:$H,6,0)&amp;IF(ISBLANK(VLOOKUP($D6,'Tag(Glossary)'!$B:$H,7,0)),"",CHAR(10))&amp;VLOOKUP($D6,'Tag(Glossary)'!$B:$H,7,0)</f>
        <v>ID for identifying the market
&lt;Hochiminh Exchange&gt;
 - STO: HoSE Stock Market
 - BDO: HoSE Bond Market
 - RPO: HoSE Repo Market
&lt;Hanoi Exchange&gt;
 - STX: HNX Listed Stock Market
 - BDX: HNX Government Bond Market
 - DVX: HNX Derivative Market
 - UPX: HNX UpCoM Stock Market
 - HCX: HNX Corporate Bond Market</v>
      </c>
    </row>
    <row r="7" spans="1:9" ht="38.25">
      <c r="B7" s="80" t="str">
        <f>INDEX('Interface List'!$D$7:$D$45,MATCH($C7,'Interface List'!$E$7:$E$45,0))</f>
        <v>IFMDFIX0033</v>
      </c>
      <c r="C7" s="80" t="s">
        <v>351</v>
      </c>
      <c r="D7" s="84">
        <v>207</v>
      </c>
      <c r="E7" s="85" t="str">
        <f>VLOOKUP($D7,'Tag(Glossary)'!$B:$G,2,0)</f>
        <v>SecurityExchange</v>
      </c>
      <c r="F7" s="84" t="s">
        <v>869</v>
      </c>
      <c r="G7" s="84" t="str">
        <f>VLOOKUP($D7,'Tag(Glossary)'!$B:$G,4,0)</f>
        <v>String</v>
      </c>
      <c r="H7" s="84">
        <f>VLOOKUP($D7,'Tag(Glossary)'!$B:$G,5,0)</f>
        <v>2</v>
      </c>
      <c r="I7" s="38" t="str">
        <f>VLOOKUP($D7,'Tag(Glossary)'!$B:$H,6,0)&amp;IF(ISBLANK(VLOOKUP($D7,'Tag(Glossary)'!$B:$H,7,0)),"",CHAR(10))&amp;VLOOKUP($D7,'Tag(Glossary)'!$B:$H,7,0)</f>
        <v>The unique ID assigned by Exchange
HO: HoSE
HX: HNX</v>
      </c>
    </row>
    <row r="8" spans="1:9" ht="38.25">
      <c r="B8" s="80" t="str">
        <f>INDEX('Interface List'!$D$7:$D$45,MATCH($C8,'Interface List'!$E$7:$E$45,0))</f>
        <v>IFMDFIX0033</v>
      </c>
      <c r="C8" s="80" t="s">
        <v>351</v>
      </c>
      <c r="D8" s="84">
        <v>55</v>
      </c>
      <c r="E8" s="85" t="str">
        <f>VLOOKUP($D8,'Tag(Glossary)'!$B:$G,2,0)</f>
        <v>Symbol</v>
      </c>
      <c r="F8" s="84" t="s">
        <v>869</v>
      </c>
      <c r="G8" s="84" t="str">
        <f>VLOOKUP($D8,'Tag(Glossary)'!$B:$G,4,0)</f>
        <v>String</v>
      </c>
      <c r="H8" s="84">
        <f>VLOOKUP($D8,'Tag(Glossary)'!$B:$G,5,0)</f>
        <v>12</v>
      </c>
      <c r="I8" s="38" t="str">
        <f>VLOOKUP($D8,'Tag(Glossary)'!$B:$H,6,0)&amp;IF(ISBLANK(VLOOKUP($D8,'Tag(Glossary)'!$B:$H,7,0)),"",CHAR(10))&amp;VLOOKUP($D8,'Tag(Glossary)'!$B:$H,7,0)</f>
        <v>The unique code of an issue (a.k.a. instrument or symbol). Generally it is ISIN code but in case of Repo market it is defined as the exchange staffs want</v>
      </c>
    </row>
    <row r="9" spans="1:9">
      <c r="B9" s="80" t="str">
        <f>INDEX('Interface List'!$D$7:$D$45,MATCH($C9,'Interface List'!$E$7:$E$45,0))</f>
        <v>IFMDFIX0033</v>
      </c>
      <c r="C9" s="80" t="s">
        <v>351</v>
      </c>
      <c r="D9" s="84">
        <v>30629</v>
      </c>
      <c r="E9" s="85" t="str">
        <f>VLOOKUP($D9,'Tag(Glossary)'!$B:$G,2,0)</f>
        <v>SymbolName</v>
      </c>
      <c r="F9" s="84" t="s">
        <v>869</v>
      </c>
      <c r="G9" s="84" t="str">
        <f>VLOOKUP($D9,'Tag(Glossary)'!$B:$G,4,0)</f>
        <v>String</v>
      </c>
      <c r="H9" s="84">
        <f>VLOOKUP($D9,'Tag(Glossary)'!$B:$G,5,0)</f>
        <v>120</v>
      </c>
      <c r="I9" s="38" t="str">
        <f>VLOOKUP($D9,'Tag(Glossary)'!$B:$H,6,0)&amp;IF(ISBLANK(VLOOKUP($D9,'Tag(Glossary)'!$B:$H,7,0)),"",CHAR(10))&amp;VLOOKUP($D9,'Tag(Glossary)'!$B:$H,7,0)</f>
        <v>Instrument name</v>
      </c>
    </row>
    <row r="10" spans="1:9">
      <c r="B10" s="80" t="str">
        <f>INDEX('Interface List'!$D$7:$D$45,MATCH($C10,'Interface List'!$E$7:$E$45,0))</f>
        <v>IFMDFIX0033</v>
      </c>
      <c r="C10" s="80" t="s">
        <v>351</v>
      </c>
      <c r="D10" s="81">
        <v>30605</v>
      </c>
      <c r="E10" s="85" t="str">
        <f>VLOOKUP($D10,'Tag(Glossary)'!$B:$G,2,0)</f>
        <v>DisclosureID</v>
      </c>
      <c r="F10" s="84" t="s">
        <v>85</v>
      </c>
      <c r="G10" s="84" t="str">
        <f>VLOOKUP($D10,'Tag(Glossary)'!$B:$G,4,0)</f>
        <v>String</v>
      </c>
      <c r="H10" s="197">
        <f>VLOOKUP($D10,'Tag(Glossary)'!$B:$G,5,0)</f>
        <v>16</v>
      </c>
      <c r="I10" s="38" t="str">
        <f>VLOOKUP($D10,'Tag(Glossary)'!$B:$H,6,0)&amp;IF(ISBLANK(VLOOKUP($D10,'Tag(Glossary)'!$B:$H,7,0)),"",CHAR(10))&amp;VLOOKUP($D10,'Tag(Glossary)'!$B:$H,7,0)</f>
        <v>Unique ID of a disclosure</v>
      </c>
    </row>
    <row r="11" spans="1:9" ht="38.25">
      <c r="B11" s="80" t="str">
        <f>INDEX('Interface List'!$D$7:$D$45,MATCH($C11,'Interface List'!$E$7:$E$45,0))</f>
        <v>IFMDFIX0033</v>
      </c>
      <c r="C11" s="80" t="s">
        <v>351</v>
      </c>
      <c r="D11" s="81">
        <v>30606</v>
      </c>
      <c r="E11" s="85" t="str">
        <f>VLOOKUP($D11,'Tag(Glossary)'!$B:$G,2,0)</f>
        <v>TotalMsgNo</v>
      </c>
      <c r="F11" s="84" t="s">
        <v>85</v>
      </c>
      <c r="G11" s="84" t="str">
        <f>VLOOKUP($D11,'Tag(Glossary)'!$B:$G,4,0)</f>
        <v>Int</v>
      </c>
      <c r="H11" s="84">
        <f>VLOOKUP($D11,'Tag(Glossary)'!$B:$G,5,0)</f>
        <v>16</v>
      </c>
      <c r="I11" s="38" t="str">
        <f>VLOOKUP($D11,'Tag(Glossary)'!$B:$H,6,0)&amp;IF(ISBLANK(VLOOKUP($D11,'Tag(Glossary)'!$B:$H,7,0)),"",CHAR(10))&amp;VLOOKUP($D11,'Tag(Glossary)'!$B:$H,7,0)</f>
        <v>1. Disclosure : Total message number of messages for a discosure when the length of text is over the size
2. Index Constituents Information : Total number of contituents for an index</v>
      </c>
    </row>
    <row r="12" spans="1:9" ht="51">
      <c r="B12" s="80" t="str">
        <f>INDEX('Interface List'!$D$7:$D$45,MATCH($C12,'Interface List'!$E$7:$E$45,0))</f>
        <v>IFMDFIX0033</v>
      </c>
      <c r="C12" s="80" t="s">
        <v>521</v>
      </c>
      <c r="D12" s="81">
        <v>30607</v>
      </c>
      <c r="E12" s="85" t="str">
        <f>VLOOKUP($D12,'Tag(Glossary)'!$B:$G,2,0)</f>
        <v>CurrentMsgNo</v>
      </c>
      <c r="F12" s="84" t="s">
        <v>85</v>
      </c>
      <c r="G12" s="84" t="str">
        <f>VLOOKUP($D12,'Tag(Glossary)'!$B:$G,4,0)</f>
        <v>Int</v>
      </c>
      <c r="H12" s="84">
        <f>VLOOKUP($D12,'Tag(Glossary)'!$B:$G,5,0)</f>
        <v>16</v>
      </c>
      <c r="I12" s="38" t="str">
        <f>VLOOKUP($D12,'Tag(Glossary)'!$B:$H,6,0)&amp;IF(ISBLANK(VLOOKUP($D12,'Tag(Glossary)'!$B:$H,7,0)),"",CHAR(10))&amp;VLOOKUP($D12,'Tag(Glossary)'!$B:$H,7,0)</f>
        <v>1. Disclosure : Current message number of messages for a disclosure when the length of text is over the size
2. Index Constituents Information : Current sequence number of contituents for an index</v>
      </c>
    </row>
    <row r="13" spans="1:9" ht="38.25">
      <c r="B13" s="80" t="str">
        <f>INDEX('Interface List'!$D$7:$D$45,MATCH($C13,'Interface List'!$E$7:$E$45,0))</f>
        <v>IFMDFIX0033</v>
      </c>
      <c r="C13" s="80" t="s">
        <v>351</v>
      </c>
      <c r="D13" s="81">
        <v>30608</v>
      </c>
      <c r="E13" s="85" t="str">
        <f>VLOOKUP($D13,'Tag(Glossary)'!$B:$G,2,0)</f>
        <v>LanguageCategory</v>
      </c>
      <c r="F13" s="84" t="s">
        <v>85</v>
      </c>
      <c r="G13" s="84" t="str">
        <f>VLOOKUP($D13,'Tag(Glossary)'!$B:$G,4,0)</f>
        <v>String</v>
      </c>
      <c r="H13" s="84">
        <f>VLOOKUP($D13,'Tag(Glossary)'!$B:$G,5,0)</f>
        <v>1</v>
      </c>
      <c r="I13" s="38" t="str">
        <f>VLOOKUP($D13,'Tag(Glossary)'!$B:$H,6,0)&amp;IF(ISBLANK(VLOOKUP($D13,'Tag(Glossary)'!$B:$H,7,0)),"",CHAR(10))&amp;VLOOKUP($D13,'Tag(Glossary)'!$B:$H,7,0)</f>
        <v>Value of type code for the language of the body text
1: Vietnamese
2: English</v>
      </c>
    </row>
    <row r="14" spans="1:9" ht="38.25">
      <c r="B14" s="80" t="str">
        <f>INDEX('Interface List'!$D$7:$D$45,MATCH($C14,'Interface List'!$E$7:$E$45,0))</f>
        <v>IFMDFIX0033</v>
      </c>
      <c r="C14" s="80" t="s">
        <v>521</v>
      </c>
      <c r="D14" s="81">
        <v>30609</v>
      </c>
      <c r="E14" s="85" t="str">
        <f>VLOOKUP($D14,'Tag(Glossary)'!$B:$G,2,0)</f>
        <v>DataCategory</v>
      </c>
      <c r="F14" s="84" t="s">
        <v>85</v>
      </c>
      <c r="G14" s="84" t="str">
        <f>VLOOKUP($D14,'Tag(Glossary)'!$B:$G,4,0)</f>
        <v>String</v>
      </c>
      <c r="H14" s="84">
        <f>VLOOKUP($D14,'Tag(Glossary)'!$B:$G,5,0)</f>
        <v>1</v>
      </c>
      <c r="I14" s="38" t="str">
        <f>VLOOKUP($D14,'Tag(Glossary)'!$B:$H,6,0)&amp;IF(ISBLANK(VLOOKUP($D14,'Tag(Glossary)'!$B:$H,7,0)),"",CHAR(10))&amp;VLOOKUP($D14,'Tag(Glossary)'!$B:$H,7,0)</f>
        <v>Whether the distributed data is on batch or in realtime
1: Batch
2: Realtime</v>
      </c>
    </row>
    <row r="15" spans="1:9" ht="25.5">
      <c r="B15" s="80" t="str">
        <f>INDEX('Interface List'!$D$7:$D$45,MATCH($C15,'Interface List'!$E$7:$E$45,0))</f>
        <v>IFMDFIX0033</v>
      </c>
      <c r="C15" s="80" t="s">
        <v>351</v>
      </c>
      <c r="D15" s="81">
        <v>30610</v>
      </c>
      <c r="E15" s="85" t="str">
        <f>VLOOKUP($D15,'Tag(Glossary)'!$B:$G,2,0)</f>
        <v>PublicInformationDate</v>
      </c>
      <c r="F15" s="84" t="s">
        <v>85</v>
      </c>
      <c r="G15" s="84" t="str">
        <f>VLOOKUP($D15,'Tag(Glossary)'!$B:$G,4,0)</f>
        <v>LocalMktDate</v>
      </c>
      <c r="H15" s="84">
        <f>VLOOKUP($D15,'Tag(Glossary)'!$B:$G,5,0)</f>
        <v>8</v>
      </c>
      <c r="I15" s="38" t="str">
        <f>VLOOKUP($D15,'Tag(Glossary)'!$B:$H,6,0)&amp;IF(ISBLANK(VLOOKUP($D15,'Tag(Glossary)'!$B:$H,7,0)),"",CHAR(10))&amp;VLOOKUP($D15,'Tag(Glossary)'!$B:$H,7,0)</f>
        <v>Date of the publication occured
YYYYMMDD</v>
      </c>
    </row>
    <row r="16" spans="1:9" ht="25.5">
      <c r="B16" s="80" t="str">
        <f>INDEX('Interface List'!$D$7:$D$45,MATCH($C16,'Interface List'!$E$7:$E$45,0))</f>
        <v>IFMDFIX0033</v>
      </c>
      <c r="C16" s="80" t="s">
        <v>351</v>
      </c>
      <c r="D16" s="81">
        <v>30611</v>
      </c>
      <c r="E16" s="85" t="str">
        <f>VLOOKUP($D16,'Tag(Glossary)'!$B:$G,2,0)</f>
        <v>TransmissionDate</v>
      </c>
      <c r="F16" s="84" t="s">
        <v>85</v>
      </c>
      <c r="G16" s="84" t="str">
        <f>VLOOKUP($D16,'Tag(Glossary)'!$B:$G,4,0)</f>
        <v>LocalMktDate</v>
      </c>
      <c r="H16" s="84">
        <f>VLOOKUP($D16,'Tag(Glossary)'!$B:$G,5,0)</f>
        <v>8</v>
      </c>
      <c r="I16" s="38" t="str">
        <f>VLOOKUP($D16,'Tag(Glossary)'!$B:$H,6,0)&amp;IF(ISBLANK(VLOOKUP($D16,'Tag(Glossary)'!$B:$H,7,0)),"",CHAR(10))&amp;VLOOKUP($D16,'Tag(Glossary)'!$B:$H,7,0)</f>
        <v>Date of the transmission occured
YYYYMMDD</v>
      </c>
    </row>
    <row r="17" spans="2:9" ht="63.75">
      <c r="B17" s="80" t="str">
        <f>INDEX('Interface List'!$D$7:$D$45,MATCH($C17,'Interface List'!$E$7:$E$45,0))</f>
        <v>IFMDFIX0033</v>
      </c>
      <c r="C17" s="80" t="s">
        <v>351</v>
      </c>
      <c r="D17" s="81">
        <v>30612</v>
      </c>
      <c r="E17" s="85" t="str">
        <f>VLOOKUP($D17,'Tag(Glossary)'!$B:$G,2,0)</f>
        <v>ProcessType</v>
      </c>
      <c r="F17" s="84" t="s">
        <v>85</v>
      </c>
      <c r="G17" s="84" t="str">
        <f>VLOOKUP($D17,'Tag(Glossary)'!$B:$G,4,0)</f>
        <v>String</v>
      </c>
      <c r="H17" s="84">
        <f>VLOOKUP($D17,'Tag(Glossary)'!$B:$G,5,0)</f>
        <v>1</v>
      </c>
      <c r="I17" s="38" t="str">
        <f>VLOOKUP($D17,'Tag(Glossary)'!$B:$H,6,0)&amp;IF(ISBLANK(VLOOKUP($D17,'Tag(Glossary)'!$B:$H,7,0)),"",CHAR(10))&amp;VLOOKUP($D17,'Tag(Glossary)'!$B:$H,7,0)</f>
        <v>Whether the distributed data is in normal or the revision version or to be deleted
1: Normal
2: Revision
3: Deleted</v>
      </c>
    </row>
    <row r="18" spans="2:9">
      <c r="B18" s="80" t="str">
        <f>INDEX('Interface List'!$D$7:$D$45,MATCH($C18,'Interface List'!$E$7:$E$45,0))</f>
        <v>IFMDFIX0033</v>
      </c>
      <c r="C18" s="80" t="s">
        <v>351</v>
      </c>
      <c r="D18" s="84">
        <v>148</v>
      </c>
      <c r="E18" s="85" t="str">
        <f>VLOOKUP($D18,'Tag(Glossary)'!$B:$G,2,0)</f>
        <v>Headline</v>
      </c>
      <c r="F18" s="84" t="s">
        <v>85</v>
      </c>
      <c r="G18" s="84" t="str">
        <f>VLOOKUP($D18,'Tag(Glossary)'!$B:$G,4,0)</f>
        <v>String</v>
      </c>
      <c r="H18" s="84">
        <f>VLOOKUP($D18,'Tag(Glossary)'!$B:$G,5,0)</f>
        <v>250</v>
      </c>
      <c r="I18" s="38" t="str">
        <f>VLOOKUP($D18,'Tag(Glossary)'!$B:$H,6,0)&amp;IF(ISBLANK(VLOOKUP($D18,'Tag(Glossary)'!$B:$H,7,0)),"",CHAR(10))&amp;VLOOKUP($D18,'Tag(Glossary)'!$B:$H,7,0)</f>
        <v>TEXT Format</v>
      </c>
    </row>
    <row r="19" spans="2:9">
      <c r="B19" s="80" t="str">
        <f>INDEX('Interface List'!$D$7:$D$45,MATCH($C19,'Interface List'!$E$7:$E$45,0))</f>
        <v>IFMDFIX0033</v>
      </c>
      <c r="C19" s="80" t="s">
        <v>351</v>
      </c>
      <c r="D19" s="84">
        <v>30613</v>
      </c>
      <c r="E19" s="85" t="str">
        <f>VLOOKUP($D19,'Tag(Glossary)'!$B:$G,2,0)</f>
        <v>Body</v>
      </c>
      <c r="F19" s="197" t="s">
        <v>86</v>
      </c>
      <c r="G19" s="84" t="str">
        <f>VLOOKUP($D19,'Tag(Glossary)'!$B:$G,4,0)</f>
        <v>String</v>
      </c>
      <c r="H19" s="84">
        <f>VLOOKUP($D19,'Tag(Glossary)'!$B:$G,5,0)</f>
        <v>1000</v>
      </c>
      <c r="I19" s="38" t="str">
        <f>VLOOKUP($D19,'Tag(Glossary)'!$B:$H,6,0)&amp;IF(ISBLANK(VLOOKUP($D19,'Tag(Glossary)'!$B:$H,7,0)),"",CHAR(10))&amp;VLOOKUP($D19,'Tag(Glossary)'!$B:$H,7,0)</f>
        <v>Body of disclosure</v>
      </c>
    </row>
    <row r="20" spans="2:9">
      <c r="B20" s="80" t="str">
        <f>INDEX('Interface List'!$D$7:$D$45,MATCH($C20,'Interface List'!$E$7:$E$45,0))</f>
        <v>IFMDFIX0033</v>
      </c>
      <c r="C20" s="80" t="s">
        <v>351</v>
      </c>
      <c r="D20" s="78"/>
      <c r="E20" s="79" t="s">
        <v>258</v>
      </c>
      <c r="F20" s="78" t="s">
        <v>85</v>
      </c>
      <c r="G20" s="79"/>
      <c r="H20" s="78"/>
      <c r="I20"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2:I7"/>
  <sheetViews>
    <sheetView view="pageBreakPreview" zoomScaleNormal="75" zoomScaleSheetLayoutView="100" workbookViewId="0">
      <pane xSplit="9" ySplit="4" topLeftCell="J5" activePane="bottomRight" state="frozen"/>
      <selection sqref="A1:XFD1048576"/>
      <selection pane="topRight" sqref="A1:XFD1048576"/>
      <selection pane="bottomLeft" sqref="A1:XFD1048576"/>
      <selection pane="bottomRight" activeCell="A4" sqref="A4:XFD4"/>
    </sheetView>
  </sheetViews>
  <sheetFormatPr defaultColWidth="8.875" defaultRowHeight="15"/>
  <cols>
    <col min="1" max="1" width="1.75" style="7" customWidth="1"/>
    <col min="2" max="2" width="15.125" style="32" bestFit="1" customWidth="1"/>
    <col min="3" max="3" width="20.5" style="32" customWidth="1"/>
    <col min="4" max="4" width="5.75" style="32" customWidth="1"/>
    <col min="5" max="5" width="20.625" style="7" customWidth="1"/>
    <col min="6" max="6" width="5.375" style="32" bestFit="1" customWidth="1"/>
    <col min="7" max="7" width="7.75" style="35" bestFit="1" customWidth="1"/>
    <col min="8" max="8" width="6.125" style="32" bestFit="1" customWidth="1"/>
    <col min="9" max="9" width="51.625" style="35" customWidth="1"/>
    <col min="10" max="16384" width="8.875" style="2"/>
  </cols>
  <sheetData>
    <row r="2" spans="1:9" ht="18.75">
      <c r="B2" s="224" t="s">
        <v>523</v>
      </c>
      <c r="C2" s="224"/>
      <c r="D2" s="224"/>
      <c r="E2" s="224"/>
      <c r="F2" s="224"/>
      <c r="G2" s="224"/>
      <c r="H2" s="224"/>
      <c r="I2" s="224"/>
    </row>
    <row r="3" spans="1:9" s="3" customFormat="1">
      <c r="A3" s="5"/>
      <c r="B3" s="33"/>
      <c r="C3" s="33"/>
      <c r="D3" s="33"/>
      <c r="E3" s="33"/>
      <c r="F3" s="33"/>
      <c r="G3" s="33"/>
      <c r="H3" s="33"/>
      <c r="I3" s="33"/>
    </row>
    <row r="4" spans="1:9" s="4" customFormat="1">
      <c r="A4" s="7"/>
      <c r="B4" s="180" t="s">
        <v>524</v>
      </c>
      <c r="C4" s="180" t="s">
        <v>525</v>
      </c>
      <c r="D4" s="180" t="s">
        <v>526</v>
      </c>
      <c r="E4" s="180" t="s">
        <v>527</v>
      </c>
      <c r="F4" s="180" t="s">
        <v>528</v>
      </c>
      <c r="G4" s="180" t="s">
        <v>529</v>
      </c>
      <c r="H4" s="180" t="s">
        <v>530</v>
      </c>
      <c r="I4" s="180" t="s">
        <v>531</v>
      </c>
    </row>
    <row r="5" spans="1:9">
      <c r="B5" s="166" t="str">
        <f>INDEX('Interface List'!$D$7:$D$45,MATCH($C5,'Interface List'!$E$7:$E$45,0))</f>
        <v>IFMDFIX0034</v>
      </c>
      <c r="C5" s="178" t="s">
        <v>532</v>
      </c>
      <c r="D5" s="178"/>
      <c r="E5" s="179" t="s">
        <v>533</v>
      </c>
      <c r="F5" s="178" t="s">
        <v>534</v>
      </c>
      <c r="G5" s="178"/>
      <c r="H5" s="178"/>
      <c r="I5" s="179" t="s">
        <v>535</v>
      </c>
    </row>
    <row r="6" spans="1:9" ht="25.5">
      <c r="B6" s="80" t="str">
        <f>INDEX('Interface List'!$D$7:$D$45,MATCH($C6,'Interface List'!$E$7:$E$45,0))</f>
        <v>IFMDFIX0034</v>
      </c>
      <c r="C6" s="80" t="s">
        <v>532</v>
      </c>
      <c r="D6" s="84">
        <v>60</v>
      </c>
      <c r="E6" s="37" t="str">
        <f>VLOOKUP($D6,'Tag(Glossary)'!$B:$G,2,0)</f>
        <v>TransactTime</v>
      </c>
      <c r="F6" s="39" t="s">
        <v>85</v>
      </c>
      <c r="G6" s="36" t="str">
        <f>VLOOKUP($D6,'Tag(Glossary)'!$B:$G,4,0)</f>
        <v>UTCTime</v>
      </c>
      <c r="H6" s="36">
        <f>VLOOKUP($D6,'Tag(Glossary)'!$B:$G,5,0)</f>
        <v>9</v>
      </c>
      <c r="I6" s="38" t="str">
        <f>VLOOKUP($D6,'Tag(Glossary)'!$B:$H,6,0)&amp;IF(ISBLANK(VLOOKUP($D6,'Tag(Glossary)'!$B:$H,7,0)),"",CHAR(10))&amp;VLOOKUP($D6,'Tag(Glossary)'!$B:$H,7,0)</f>
        <v>Time of execution/order creation
HHmmSSsss : Normal Case</v>
      </c>
    </row>
    <row r="7" spans="1:9">
      <c r="B7" s="80" t="str">
        <f>INDEX('Interface List'!$D$7:$D$45,MATCH($C7,'Interface List'!$E$7:$E$45,0))</f>
        <v>IFMDFIX0034</v>
      </c>
      <c r="C7" s="80" t="s">
        <v>353</v>
      </c>
      <c r="D7" s="78"/>
      <c r="E7" s="79" t="s">
        <v>258</v>
      </c>
      <c r="F7" s="78" t="s">
        <v>85</v>
      </c>
      <c r="G7" s="79"/>
      <c r="H7" s="78"/>
      <c r="I7" s="79"/>
    </row>
  </sheetData>
  <mergeCells count="1">
    <mergeCell ref="B2:I2"/>
  </mergeCells>
  <phoneticPr fontId="8" type="noConversion"/>
  <printOptions horizontalCentered="1"/>
  <pageMargins left="0.35433070866141736" right="0.27559055118110237" top="0.43307086614173229" bottom="0.51181102362204722" header="0.27559055118110237" footer="0.19685039370078741"/>
  <pageSetup paperSize="9" scale="74" orientation="portrait" r:id="rId1"/>
  <headerFooter alignWithMargins="0">
    <oddFooter>&amp;C&amp;10&amp;P/&amp;N&amp; Information Technology Service Agreement&amp;R&amp;G</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79</vt:i4>
      </vt:variant>
    </vt:vector>
  </HeadingPairs>
  <TitlesOfParts>
    <vt:vector size="120" baseType="lpstr">
      <vt:lpstr>Title</vt:lpstr>
      <vt:lpstr>History</vt:lpstr>
      <vt:lpstr>Guildline</vt:lpstr>
      <vt:lpstr>Interface List</vt:lpstr>
      <vt:lpstr>Tag(Glossary)</vt:lpstr>
      <vt:lpstr>Header</vt:lpstr>
      <vt:lpstr>Trailer</vt:lpstr>
      <vt:lpstr>Security Definition</vt:lpstr>
      <vt:lpstr>Security Status</vt:lpstr>
      <vt:lpstr>Security Info Notification</vt:lpstr>
      <vt:lpstr>Symbol Closing Info</vt:lpstr>
      <vt:lpstr>Volatility Interruption</vt:lpstr>
      <vt:lpstr>Market Maker Information</vt:lpstr>
      <vt:lpstr>Symbol Event</vt:lpstr>
      <vt:lpstr>Index Constituents Information</vt:lpstr>
      <vt:lpstr>Random End</vt:lpstr>
      <vt:lpstr>Price</vt:lpstr>
      <vt:lpstr>PriceRecovery</vt:lpstr>
      <vt:lpstr>PriceRecovery(Bond)</vt:lpstr>
      <vt:lpstr>(Block Trade) PriceRecovery</vt:lpstr>
      <vt:lpstr>(Block Trade) PriceRecovery(B) </vt:lpstr>
      <vt:lpstr>Index</vt:lpstr>
      <vt:lpstr>Investor by Industry</vt:lpstr>
      <vt:lpstr>Investor by Industry(Bond)</vt:lpstr>
      <vt:lpstr>Investor by Industry(Drv)</vt:lpstr>
      <vt:lpstr>Investor per Symbol</vt:lpstr>
      <vt:lpstr>Top N Members per Symbol</vt:lpstr>
      <vt:lpstr>Open Interest</vt:lpstr>
      <vt:lpstr>Deem Trade Price</vt:lpstr>
      <vt:lpstr>Foreigner Order Limit</vt:lpstr>
      <vt:lpstr>Price Limit Expansion</vt:lpstr>
      <vt:lpstr>ETF iNav</vt:lpstr>
      <vt:lpstr>ETF iIndex</vt:lpstr>
      <vt:lpstr>ETF TrackingError</vt:lpstr>
      <vt:lpstr>Top N Symbols with Quantity</vt:lpstr>
      <vt:lpstr>Top N Symbols with Price</vt:lpstr>
      <vt:lpstr>Top N Symbols with High Ratio</vt:lpstr>
      <vt:lpstr>Top N Symbols with Low Ratio</vt:lpstr>
      <vt:lpstr>Trading Result of Foreigners</vt:lpstr>
      <vt:lpstr>Disclosure</vt:lpstr>
      <vt:lpstr>Time Stamp (Polling)</vt:lpstr>
      <vt:lpstr>'(Block Trade) PriceRecovery'!Print_Area</vt:lpstr>
      <vt:lpstr>'(Block Trade) PriceRecovery(B) '!Print_Area</vt:lpstr>
      <vt:lpstr>'Deem Trade Price'!Print_Area</vt:lpstr>
      <vt:lpstr>Disclosure!Print_Area</vt:lpstr>
      <vt:lpstr>'ETF iIndex'!Print_Area</vt:lpstr>
      <vt:lpstr>'ETF iNav'!Print_Area</vt:lpstr>
      <vt:lpstr>'ETF TrackingError'!Print_Area</vt:lpstr>
      <vt:lpstr>'Foreigner Order Limit'!Print_Area</vt:lpstr>
      <vt:lpstr>Guildline!Print_Area</vt:lpstr>
      <vt:lpstr>Header!Print_Area</vt:lpstr>
      <vt:lpstr>History!Print_Area</vt:lpstr>
      <vt:lpstr>Index!Print_Area</vt:lpstr>
      <vt:lpstr>'Index Constituents Information'!Print_Area</vt:lpstr>
      <vt:lpstr>'Interface List'!Print_Area</vt:lpstr>
      <vt:lpstr>'Investor by Industry'!Print_Area</vt:lpstr>
      <vt:lpstr>'Investor by Industry(Bond)'!Print_Area</vt:lpstr>
      <vt:lpstr>'Investor by Industry(Drv)'!Print_Area</vt:lpstr>
      <vt:lpstr>'Investor per Symbol'!Print_Area</vt:lpstr>
      <vt:lpstr>'Market Maker Information'!Print_Area</vt:lpstr>
      <vt:lpstr>'Open Interest'!Print_Area</vt:lpstr>
      <vt:lpstr>Price!Print_Area</vt:lpstr>
      <vt:lpstr>'Price Limit Expansion'!Print_Area</vt:lpstr>
      <vt:lpstr>PriceRecovery!Print_Area</vt:lpstr>
      <vt:lpstr>'PriceRecovery(Bond)'!Print_Area</vt:lpstr>
      <vt:lpstr>'Random End'!Print_Area</vt:lpstr>
      <vt:lpstr>'Security Definition'!Print_Area</vt:lpstr>
      <vt:lpstr>'Security Info Notification'!Print_Area</vt:lpstr>
      <vt:lpstr>'Security Status'!Print_Area</vt:lpstr>
      <vt:lpstr>'Symbol Closing Info'!Print_Area</vt:lpstr>
      <vt:lpstr>'Symbol Event'!Print_Area</vt:lpstr>
      <vt:lpstr>'Tag(Glossary)'!Print_Area</vt:lpstr>
      <vt:lpstr>'Time Stamp (Polling)'!Print_Area</vt:lpstr>
      <vt:lpstr>Title!Print_Area</vt:lpstr>
      <vt:lpstr>'Top N Members per Symbol'!Print_Area</vt:lpstr>
      <vt:lpstr>'Top N Symbols with High Ratio'!Print_Area</vt:lpstr>
      <vt:lpstr>'Top N Symbols with Low Ratio'!Print_Area</vt:lpstr>
      <vt:lpstr>'Top N Symbols with Price'!Print_Area</vt:lpstr>
      <vt:lpstr>'Top N Symbols with Quantity'!Print_Area</vt:lpstr>
      <vt:lpstr>'Trading Result of Foreigners'!Print_Area</vt:lpstr>
      <vt:lpstr>Trailer!Print_Area</vt:lpstr>
      <vt:lpstr>'Volatility Interruption'!Print_Area</vt:lpstr>
      <vt:lpstr>'(Block Trade) PriceRecovery'!Print_Titles</vt:lpstr>
      <vt:lpstr>'(Block Trade) PriceRecovery(B) '!Print_Titles</vt:lpstr>
      <vt:lpstr>'Deem Trade Price'!Print_Titles</vt:lpstr>
      <vt:lpstr>Disclosure!Print_Titles</vt:lpstr>
      <vt:lpstr>'ETF iIndex'!Print_Titles</vt:lpstr>
      <vt:lpstr>'ETF iNav'!Print_Titles</vt:lpstr>
      <vt:lpstr>'ETF TrackingError'!Print_Titles</vt:lpstr>
      <vt:lpstr>'Foreigner Order Limit'!Print_Titles</vt:lpstr>
      <vt:lpstr>Guildline!Print_Titles</vt:lpstr>
      <vt:lpstr>Header!Print_Titles</vt:lpstr>
      <vt:lpstr>Index!Print_Titles</vt:lpstr>
      <vt:lpstr>'Index Constituents Information'!Print_Titles</vt:lpstr>
      <vt:lpstr>'Interface List'!Print_Titles</vt:lpstr>
      <vt:lpstr>'Investor by Industry'!Print_Titles</vt:lpstr>
      <vt:lpstr>'Investor by Industry(Bond)'!Print_Titles</vt:lpstr>
      <vt:lpstr>'Investor by Industry(Drv)'!Print_Titles</vt:lpstr>
      <vt:lpstr>'Investor per Symbol'!Print_Titles</vt:lpstr>
      <vt:lpstr>'Market Maker Information'!Print_Titles</vt:lpstr>
      <vt:lpstr>'Open Interest'!Print_Titles</vt:lpstr>
      <vt:lpstr>'Price Limit Expansion'!Print_Titles</vt:lpstr>
      <vt:lpstr>PriceRecovery!Print_Titles</vt:lpstr>
      <vt:lpstr>'PriceRecovery(Bond)'!Print_Titles</vt:lpstr>
      <vt:lpstr>'Random End'!Print_Titles</vt:lpstr>
      <vt:lpstr>'Security Definition'!Print_Titles</vt:lpstr>
      <vt:lpstr>'Security Info Notification'!Print_Titles</vt:lpstr>
      <vt:lpstr>'Security Status'!Print_Titles</vt:lpstr>
      <vt:lpstr>'Symbol Closing Info'!Print_Titles</vt:lpstr>
      <vt:lpstr>'Symbol Event'!Print_Titles</vt:lpstr>
      <vt:lpstr>'Tag(Glossary)'!Print_Titles</vt:lpstr>
      <vt:lpstr>'Time Stamp (Polling)'!Print_Titles</vt:lpstr>
      <vt:lpstr>'Top N Members per Symbol'!Print_Titles</vt:lpstr>
      <vt:lpstr>'Top N Symbols with High Ratio'!Print_Titles</vt:lpstr>
      <vt:lpstr>'Top N Symbols with Low Ratio'!Print_Titles</vt:lpstr>
      <vt:lpstr>'Top N Symbols with Price'!Print_Titles</vt:lpstr>
      <vt:lpstr>'Top N Symbols with Quantity'!Print_Titles</vt:lpstr>
      <vt:lpstr>'Trading Result of Foreigners'!Print_Titles</vt:lpstr>
      <vt:lpstr>Trailer!Print_Titles</vt:lpstr>
      <vt:lpstr>'Volatility Interruption'!Print_Titles</vt:lpstr>
    </vt:vector>
  </TitlesOfParts>
  <Manager>PMO</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표준 템플릿</dc:title>
  <dc:creator>Lee, Dong-Won (KR/RCS)</dc:creator>
  <cp:lastModifiedBy>Hang Trinh Thi Minh</cp:lastModifiedBy>
  <cp:lastPrinted>2017-03-21T11:11:05Z</cp:lastPrinted>
  <dcterms:created xsi:type="dcterms:W3CDTF">2004-03-30T00:47:38Z</dcterms:created>
  <dcterms:modified xsi:type="dcterms:W3CDTF">2023-09-15T00:43:40Z</dcterms:modified>
</cp:coreProperties>
</file>